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213D6196-2810-46D9-A87D-AB69410CE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s" sheetId="1" r:id="rId1"/>
    <sheet name="Virat Kholi" sheetId="2" r:id="rId2"/>
    <sheet name="MS Dhoni" sheetId="3" r:id="rId3"/>
    <sheet name="Sachin Tendulkar" sheetId="5" r:id="rId4"/>
    <sheet name="Rohit Sharma" sheetId="4" r:id="rId5"/>
    <sheet name="Shubman Gill" sheetId="6" r:id="rId6"/>
    <sheet name="Virender Sehwag" sheetId="7" r:id="rId7"/>
  </sheets>
  <definedNames>
    <definedName name="_xlnm._FilterDatabase" localSheetId="2" hidden="1">'MS Dhoni'!$N$19:$X$19</definedName>
    <definedName name="_xlnm._FilterDatabase" localSheetId="4" hidden="1">'Rohit Sharma'!$N$18:$X$18</definedName>
    <definedName name="_xlnm._FilterDatabase" localSheetId="3" hidden="1">'Sachin Tendulkar'!$N$17:$X$17</definedName>
    <definedName name="_xlnm._FilterDatabase" localSheetId="5" hidden="1">'Shubman Gill'!$N$18:$X$18</definedName>
    <definedName name="_xlnm._FilterDatabase" localSheetId="0" hidden="1">Stats!$B$12:$L$314</definedName>
    <definedName name="_xlnm._FilterDatabase" localSheetId="1" hidden="1">'Virat Kholi'!$L$17:$U$319</definedName>
    <definedName name="_xlnm._FilterDatabase" localSheetId="6" hidden="1">'Virender Sehwag'!$N$18:$X$18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9" i="5" l="1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18" i="5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19" i="6"/>
  <c r="O13" i="6"/>
  <c r="O13" i="7"/>
  <c r="O13" i="4"/>
  <c r="O13" i="5"/>
  <c r="O14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20" i="3"/>
  <c r="M4" i="2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19" i="7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19" i="4"/>
  <c r="W19" i="6"/>
  <c r="W20" i="6"/>
  <c r="V19" i="6"/>
  <c r="V20" i="6"/>
  <c r="T19" i="6"/>
  <c r="T20" i="6"/>
  <c r="T21" i="6"/>
  <c r="T22" i="6"/>
  <c r="T23" i="6"/>
  <c r="T24" i="6"/>
  <c r="V18" i="5"/>
  <c r="O3" i="7"/>
  <c r="O3" i="6"/>
  <c r="O3" i="4"/>
  <c r="O3" i="5"/>
  <c r="R18" i="2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20" i="3"/>
  <c r="O4" i="3" l="1"/>
  <c r="O13" i="1"/>
  <c r="O14" i="1"/>
  <c r="O15" i="1"/>
  <c r="O16" i="1"/>
  <c r="O17" i="1"/>
  <c r="O18" i="1"/>
  <c r="O19" i="1"/>
  <c r="O20" i="1"/>
  <c r="O22" i="1"/>
  <c r="O23" i="1"/>
  <c r="O24" i="1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19" i="7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19" i="6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18" i="5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19" i="4"/>
  <c r="C6" i="1"/>
  <c r="C8" i="1"/>
  <c r="C9" i="1"/>
  <c r="C10" i="1"/>
  <c r="C5" i="1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N20" i="7"/>
  <c r="X20" i="7" s="1"/>
  <c r="N21" i="7"/>
  <c r="O21" i="7" s="1"/>
  <c r="N22" i="7"/>
  <c r="O22" i="7" s="1"/>
  <c r="N23" i="7"/>
  <c r="O23" i="7" s="1"/>
  <c r="N24" i="7"/>
  <c r="O24" i="7" s="1"/>
  <c r="N25" i="7"/>
  <c r="O25" i="7" s="1"/>
  <c r="N26" i="7"/>
  <c r="O26" i="7" s="1"/>
  <c r="N27" i="7"/>
  <c r="O27" i="7" s="1"/>
  <c r="N28" i="7"/>
  <c r="X28" i="7" s="1"/>
  <c r="N29" i="7"/>
  <c r="O29" i="7" s="1"/>
  <c r="N30" i="7"/>
  <c r="O30" i="7" s="1"/>
  <c r="N31" i="7"/>
  <c r="O31" i="7" s="1"/>
  <c r="N32" i="7"/>
  <c r="O32" i="7" s="1"/>
  <c r="N33" i="7"/>
  <c r="O33" i="7" s="1"/>
  <c r="N34" i="7"/>
  <c r="O34" i="7" s="1"/>
  <c r="N35" i="7"/>
  <c r="O35" i="7" s="1"/>
  <c r="N36" i="7"/>
  <c r="O36" i="7" s="1"/>
  <c r="N37" i="7"/>
  <c r="O37" i="7" s="1"/>
  <c r="N38" i="7"/>
  <c r="O38" i="7" s="1"/>
  <c r="N39" i="7"/>
  <c r="O39" i="7" s="1"/>
  <c r="N40" i="7"/>
  <c r="O40" i="7" s="1"/>
  <c r="N41" i="7"/>
  <c r="O41" i="7" s="1"/>
  <c r="N42" i="7"/>
  <c r="O42" i="7" s="1"/>
  <c r="N43" i="7"/>
  <c r="O43" i="7" s="1"/>
  <c r="N44" i="7"/>
  <c r="X44" i="7" s="1"/>
  <c r="N45" i="7"/>
  <c r="O45" i="7" s="1"/>
  <c r="N46" i="7"/>
  <c r="O46" i="7" s="1"/>
  <c r="N47" i="7"/>
  <c r="O47" i="7" s="1"/>
  <c r="N48" i="7"/>
  <c r="O48" i="7" s="1"/>
  <c r="N49" i="7"/>
  <c r="O49" i="7" s="1"/>
  <c r="N50" i="7"/>
  <c r="O50" i="7" s="1"/>
  <c r="N51" i="7"/>
  <c r="O51" i="7" s="1"/>
  <c r="N52" i="7"/>
  <c r="O52" i="7" s="1"/>
  <c r="N53" i="7"/>
  <c r="O53" i="7" s="1"/>
  <c r="N54" i="7"/>
  <c r="O54" i="7" s="1"/>
  <c r="N55" i="7"/>
  <c r="O55" i="7" s="1"/>
  <c r="N56" i="7"/>
  <c r="O56" i="7" s="1"/>
  <c r="N57" i="7"/>
  <c r="O57" i="7" s="1"/>
  <c r="N58" i="7"/>
  <c r="O58" i="7" s="1"/>
  <c r="N59" i="7"/>
  <c r="O59" i="7" s="1"/>
  <c r="N60" i="7"/>
  <c r="X60" i="7" s="1"/>
  <c r="N61" i="7"/>
  <c r="O61" i="7" s="1"/>
  <c r="N62" i="7"/>
  <c r="O62" i="7" s="1"/>
  <c r="N63" i="7"/>
  <c r="O63" i="7" s="1"/>
  <c r="N64" i="7"/>
  <c r="O64" i="7" s="1"/>
  <c r="N65" i="7"/>
  <c r="O65" i="7" s="1"/>
  <c r="N66" i="7"/>
  <c r="O66" i="7" s="1"/>
  <c r="N67" i="7"/>
  <c r="O67" i="7" s="1"/>
  <c r="N68" i="7"/>
  <c r="O68" i="7" s="1"/>
  <c r="N69" i="7"/>
  <c r="O69" i="7" s="1"/>
  <c r="N70" i="7"/>
  <c r="O70" i="7" s="1"/>
  <c r="N71" i="7"/>
  <c r="O71" i="7" s="1"/>
  <c r="N72" i="7"/>
  <c r="O72" i="7" s="1"/>
  <c r="N73" i="7"/>
  <c r="O73" i="7" s="1"/>
  <c r="N74" i="7"/>
  <c r="O74" i="7" s="1"/>
  <c r="N75" i="7"/>
  <c r="O75" i="7" s="1"/>
  <c r="N76" i="7"/>
  <c r="X76" i="7" s="1"/>
  <c r="N77" i="7"/>
  <c r="O77" i="7" s="1"/>
  <c r="N78" i="7"/>
  <c r="O78" i="7" s="1"/>
  <c r="N79" i="7"/>
  <c r="O79" i="7" s="1"/>
  <c r="N80" i="7"/>
  <c r="O80" i="7" s="1"/>
  <c r="N81" i="7"/>
  <c r="O81" i="7" s="1"/>
  <c r="N82" i="7"/>
  <c r="O82" i="7" s="1"/>
  <c r="N83" i="7"/>
  <c r="O83" i="7" s="1"/>
  <c r="N84" i="7"/>
  <c r="O84" i="7" s="1"/>
  <c r="N85" i="7"/>
  <c r="O85" i="7" s="1"/>
  <c r="N86" i="7"/>
  <c r="O86" i="7" s="1"/>
  <c r="N87" i="7"/>
  <c r="O87" i="7" s="1"/>
  <c r="N88" i="7"/>
  <c r="O88" i="7" s="1"/>
  <c r="N89" i="7"/>
  <c r="O89" i="7" s="1"/>
  <c r="N90" i="7"/>
  <c r="O90" i="7" s="1"/>
  <c r="N91" i="7"/>
  <c r="O91" i="7" s="1"/>
  <c r="N92" i="7"/>
  <c r="X92" i="7" s="1"/>
  <c r="N93" i="7"/>
  <c r="O93" i="7" s="1"/>
  <c r="N94" i="7"/>
  <c r="O94" i="7" s="1"/>
  <c r="N95" i="7"/>
  <c r="O95" i="7" s="1"/>
  <c r="N96" i="7"/>
  <c r="X96" i="7" s="1"/>
  <c r="N97" i="7"/>
  <c r="O97" i="7" s="1"/>
  <c r="N98" i="7"/>
  <c r="O98" i="7" s="1"/>
  <c r="N99" i="7"/>
  <c r="O99" i="7" s="1"/>
  <c r="N100" i="7"/>
  <c r="O100" i="7" s="1"/>
  <c r="N101" i="7"/>
  <c r="O101" i="7" s="1"/>
  <c r="N102" i="7"/>
  <c r="O102" i="7" s="1"/>
  <c r="N103" i="7"/>
  <c r="O103" i="7" s="1"/>
  <c r="N104" i="7"/>
  <c r="O104" i="7" s="1"/>
  <c r="N105" i="7"/>
  <c r="O105" i="7" s="1"/>
  <c r="N106" i="7"/>
  <c r="O106" i="7" s="1"/>
  <c r="N107" i="7"/>
  <c r="O107" i="7" s="1"/>
  <c r="N108" i="7"/>
  <c r="O108" i="7" s="1"/>
  <c r="N109" i="7"/>
  <c r="O109" i="7" s="1"/>
  <c r="N110" i="7"/>
  <c r="O110" i="7" s="1"/>
  <c r="N111" i="7"/>
  <c r="O111" i="7" s="1"/>
  <c r="N112" i="7"/>
  <c r="O112" i="7" s="1"/>
  <c r="N113" i="7"/>
  <c r="O113" i="7" s="1"/>
  <c r="N114" i="7"/>
  <c r="O114" i="7" s="1"/>
  <c r="N115" i="7"/>
  <c r="O115" i="7" s="1"/>
  <c r="N116" i="7"/>
  <c r="O116" i="7" s="1"/>
  <c r="N117" i="7"/>
  <c r="O117" i="7" s="1"/>
  <c r="N118" i="7"/>
  <c r="O118" i="7" s="1"/>
  <c r="N119" i="7"/>
  <c r="O119" i="7" s="1"/>
  <c r="N120" i="7"/>
  <c r="O120" i="7" s="1"/>
  <c r="N121" i="7"/>
  <c r="O121" i="7" s="1"/>
  <c r="N122" i="7"/>
  <c r="O122" i="7" s="1"/>
  <c r="N123" i="7"/>
  <c r="O123" i="7" s="1"/>
  <c r="N124" i="7"/>
  <c r="O124" i="7" s="1"/>
  <c r="N125" i="7"/>
  <c r="O125" i="7" s="1"/>
  <c r="N126" i="7"/>
  <c r="O126" i="7" s="1"/>
  <c r="N127" i="7"/>
  <c r="O127" i="7" s="1"/>
  <c r="N128" i="7"/>
  <c r="O128" i="7" s="1"/>
  <c r="N129" i="7"/>
  <c r="O129" i="7" s="1"/>
  <c r="N130" i="7"/>
  <c r="O130" i="7" s="1"/>
  <c r="N131" i="7"/>
  <c r="O131" i="7" s="1"/>
  <c r="N132" i="7"/>
  <c r="O132" i="7" s="1"/>
  <c r="N133" i="7"/>
  <c r="O133" i="7" s="1"/>
  <c r="N134" i="7"/>
  <c r="O134" i="7" s="1"/>
  <c r="N135" i="7"/>
  <c r="O135" i="7" s="1"/>
  <c r="N136" i="7"/>
  <c r="O136" i="7" s="1"/>
  <c r="N137" i="7"/>
  <c r="O137" i="7" s="1"/>
  <c r="N138" i="7"/>
  <c r="O138" i="7" s="1"/>
  <c r="N139" i="7"/>
  <c r="O139" i="7" s="1"/>
  <c r="N140" i="7"/>
  <c r="O140" i="7" s="1"/>
  <c r="N141" i="7"/>
  <c r="O141" i="7" s="1"/>
  <c r="N142" i="7"/>
  <c r="O142" i="7" s="1"/>
  <c r="N143" i="7"/>
  <c r="O143" i="7" s="1"/>
  <c r="N144" i="7"/>
  <c r="O144" i="7" s="1"/>
  <c r="N145" i="7"/>
  <c r="O145" i="7" s="1"/>
  <c r="N146" i="7"/>
  <c r="O146" i="7" s="1"/>
  <c r="N147" i="7"/>
  <c r="O147" i="7" s="1"/>
  <c r="N148" i="7"/>
  <c r="O148" i="7" s="1"/>
  <c r="N149" i="7"/>
  <c r="O149" i="7" s="1"/>
  <c r="N150" i="7"/>
  <c r="O150" i="7" s="1"/>
  <c r="N151" i="7"/>
  <c r="O151" i="7" s="1"/>
  <c r="N152" i="7"/>
  <c r="O152" i="7" s="1"/>
  <c r="N153" i="7"/>
  <c r="O153" i="7" s="1"/>
  <c r="N154" i="7"/>
  <c r="O154" i="7" s="1"/>
  <c r="N155" i="7"/>
  <c r="O155" i="7" s="1"/>
  <c r="N156" i="7"/>
  <c r="O156" i="7" s="1"/>
  <c r="N157" i="7"/>
  <c r="O157" i="7" s="1"/>
  <c r="N158" i="7"/>
  <c r="O158" i="7" s="1"/>
  <c r="N159" i="7"/>
  <c r="O159" i="7" s="1"/>
  <c r="N160" i="7"/>
  <c r="O160" i="7" s="1"/>
  <c r="N161" i="7"/>
  <c r="O161" i="7" s="1"/>
  <c r="N162" i="7"/>
  <c r="O162" i="7" s="1"/>
  <c r="N163" i="7"/>
  <c r="O163" i="7" s="1"/>
  <c r="N164" i="7"/>
  <c r="O164" i="7" s="1"/>
  <c r="N165" i="7"/>
  <c r="O165" i="7" s="1"/>
  <c r="N166" i="7"/>
  <c r="O166" i="7" s="1"/>
  <c r="N167" i="7"/>
  <c r="O167" i="7" s="1"/>
  <c r="N168" i="7"/>
  <c r="O168" i="7" s="1"/>
  <c r="N169" i="7"/>
  <c r="O169" i="7" s="1"/>
  <c r="N170" i="7"/>
  <c r="O170" i="7" s="1"/>
  <c r="N171" i="7"/>
  <c r="O171" i="7" s="1"/>
  <c r="N172" i="7"/>
  <c r="O172" i="7" s="1"/>
  <c r="N173" i="7"/>
  <c r="O173" i="7" s="1"/>
  <c r="N174" i="7"/>
  <c r="O174" i="7" s="1"/>
  <c r="N175" i="7"/>
  <c r="O175" i="7" s="1"/>
  <c r="N176" i="7"/>
  <c r="O176" i="7" s="1"/>
  <c r="N177" i="7"/>
  <c r="O177" i="7" s="1"/>
  <c r="N178" i="7"/>
  <c r="O178" i="7" s="1"/>
  <c r="N179" i="7"/>
  <c r="O179" i="7" s="1"/>
  <c r="N180" i="7"/>
  <c r="O180" i="7" s="1"/>
  <c r="N181" i="7"/>
  <c r="O181" i="7" s="1"/>
  <c r="N182" i="7"/>
  <c r="X182" i="7" s="1"/>
  <c r="N183" i="7"/>
  <c r="O183" i="7" s="1"/>
  <c r="N184" i="7"/>
  <c r="O184" i="7" s="1"/>
  <c r="N185" i="7"/>
  <c r="O185" i="7" s="1"/>
  <c r="N186" i="7"/>
  <c r="O186" i="7" s="1"/>
  <c r="N187" i="7"/>
  <c r="O187" i="7" s="1"/>
  <c r="N188" i="7"/>
  <c r="O188" i="7" s="1"/>
  <c r="N189" i="7"/>
  <c r="O189" i="7" s="1"/>
  <c r="N190" i="7"/>
  <c r="O190" i="7" s="1"/>
  <c r="N191" i="7"/>
  <c r="O191" i="7" s="1"/>
  <c r="N192" i="7"/>
  <c r="O192" i="7" s="1"/>
  <c r="N193" i="7"/>
  <c r="O193" i="7" s="1"/>
  <c r="N194" i="7"/>
  <c r="O194" i="7" s="1"/>
  <c r="N195" i="7"/>
  <c r="O195" i="7" s="1"/>
  <c r="N196" i="7"/>
  <c r="O196" i="7" s="1"/>
  <c r="N197" i="7"/>
  <c r="O197" i="7" s="1"/>
  <c r="N198" i="7"/>
  <c r="O198" i="7" s="1"/>
  <c r="N199" i="7"/>
  <c r="O199" i="7" s="1"/>
  <c r="N200" i="7"/>
  <c r="O200" i="7" s="1"/>
  <c r="N201" i="7"/>
  <c r="O201" i="7" s="1"/>
  <c r="N202" i="7"/>
  <c r="O202" i="7" s="1"/>
  <c r="N203" i="7"/>
  <c r="O203" i="7" s="1"/>
  <c r="N204" i="7"/>
  <c r="O204" i="7" s="1"/>
  <c r="N205" i="7"/>
  <c r="O205" i="7" s="1"/>
  <c r="N206" i="7"/>
  <c r="O206" i="7" s="1"/>
  <c r="N207" i="7"/>
  <c r="O207" i="7" s="1"/>
  <c r="N208" i="7"/>
  <c r="O208" i="7" s="1"/>
  <c r="N209" i="7"/>
  <c r="O209" i="7" s="1"/>
  <c r="N210" i="7"/>
  <c r="O210" i="7" s="1"/>
  <c r="N211" i="7"/>
  <c r="O211" i="7" s="1"/>
  <c r="N212" i="7"/>
  <c r="O212" i="7" s="1"/>
  <c r="N213" i="7"/>
  <c r="O213" i="7" s="1"/>
  <c r="N214" i="7"/>
  <c r="O214" i="7" s="1"/>
  <c r="N215" i="7"/>
  <c r="O215" i="7" s="1"/>
  <c r="N216" i="7"/>
  <c r="O216" i="7" s="1"/>
  <c r="N217" i="7"/>
  <c r="O217" i="7" s="1"/>
  <c r="N218" i="7"/>
  <c r="O218" i="7" s="1"/>
  <c r="N219" i="7"/>
  <c r="O219" i="7" s="1"/>
  <c r="N220" i="7"/>
  <c r="O220" i="7" s="1"/>
  <c r="N221" i="7"/>
  <c r="O221" i="7" s="1"/>
  <c r="N222" i="7"/>
  <c r="O222" i="7" s="1"/>
  <c r="N223" i="7"/>
  <c r="O223" i="7" s="1"/>
  <c r="N224" i="7"/>
  <c r="O224" i="7" s="1"/>
  <c r="N225" i="7"/>
  <c r="O225" i="7" s="1"/>
  <c r="N226" i="7"/>
  <c r="O226" i="7" s="1"/>
  <c r="N227" i="7"/>
  <c r="O227" i="7" s="1"/>
  <c r="N228" i="7"/>
  <c r="O228" i="7" s="1"/>
  <c r="N229" i="7"/>
  <c r="O229" i="7" s="1"/>
  <c r="N230" i="7"/>
  <c r="O230" i="7" s="1"/>
  <c r="N231" i="7"/>
  <c r="O231" i="7" s="1"/>
  <c r="N232" i="7"/>
  <c r="O232" i="7" s="1"/>
  <c r="N233" i="7"/>
  <c r="O233" i="7" s="1"/>
  <c r="N234" i="7"/>
  <c r="X234" i="7" s="1"/>
  <c r="N235" i="7"/>
  <c r="O235" i="7" s="1"/>
  <c r="N236" i="7"/>
  <c r="O236" i="7" s="1"/>
  <c r="N237" i="7"/>
  <c r="O237" i="7" s="1"/>
  <c r="N238" i="7"/>
  <c r="O238" i="7" s="1"/>
  <c r="N239" i="7"/>
  <c r="O239" i="7" s="1"/>
  <c r="N240" i="7"/>
  <c r="O240" i="7" s="1"/>
  <c r="N241" i="7"/>
  <c r="O241" i="7" s="1"/>
  <c r="N242" i="7"/>
  <c r="O242" i="7" s="1"/>
  <c r="N243" i="7"/>
  <c r="O243" i="7" s="1"/>
  <c r="N244" i="7"/>
  <c r="O244" i="7" s="1"/>
  <c r="N245" i="7"/>
  <c r="O245" i="7" s="1"/>
  <c r="N246" i="7"/>
  <c r="O246" i="7" s="1"/>
  <c r="N247" i="7"/>
  <c r="O247" i="7" s="1"/>
  <c r="N248" i="7"/>
  <c r="O248" i="7" s="1"/>
  <c r="N249" i="7"/>
  <c r="O249" i="7" s="1"/>
  <c r="N250" i="7"/>
  <c r="O250" i="7" s="1"/>
  <c r="N251" i="7"/>
  <c r="O251" i="7" s="1"/>
  <c r="N252" i="7"/>
  <c r="O252" i="7" s="1"/>
  <c r="N253" i="7"/>
  <c r="O253" i="7" s="1"/>
  <c r="N254" i="7"/>
  <c r="O254" i="7" s="1"/>
  <c r="N255" i="7"/>
  <c r="O255" i="7" s="1"/>
  <c r="N256" i="7"/>
  <c r="O256" i="7" s="1"/>
  <c r="N257" i="7"/>
  <c r="O257" i="7" s="1"/>
  <c r="N258" i="7"/>
  <c r="O258" i="7" s="1"/>
  <c r="N259" i="7"/>
  <c r="O259" i="7" s="1"/>
  <c r="N260" i="7"/>
  <c r="O260" i="7" s="1"/>
  <c r="N261" i="7"/>
  <c r="O261" i="7" s="1"/>
  <c r="N262" i="7"/>
  <c r="O262" i="7" s="1"/>
  <c r="N263" i="7"/>
  <c r="O263" i="7" s="1"/>
  <c r="N264" i="7"/>
  <c r="O264" i="7" s="1"/>
  <c r="N265" i="7"/>
  <c r="O265" i="7" s="1"/>
  <c r="N266" i="7"/>
  <c r="O266" i="7" s="1"/>
  <c r="N267" i="7"/>
  <c r="O267" i="7" s="1"/>
  <c r="N268" i="7"/>
  <c r="O268" i="7" s="1"/>
  <c r="N269" i="7"/>
  <c r="O269" i="7" s="1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N20" i="6"/>
  <c r="X20" i="6" s="1"/>
  <c r="N21" i="6"/>
  <c r="O19" i="6" s="1"/>
  <c r="N22" i="6"/>
  <c r="O20" i="6" s="1"/>
  <c r="N23" i="6"/>
  <c r="X23" i="6" s="1"/>
  <c r="N24" i="6"/>
  <c r="X24" i="6" s="1"/>
  <c r="N25" i="6"/>
  <c r="O23" i="6" s="1"/>
  <c r="N26" i="6"/>
  <c r="O24" i="6" s="1"/>
  <c r="N27" i="6"/>
  <c r="O25" i="6" s="1"/>
  <c r="N28" i="6"/>
  <c r="X28" i="6" s="1"/>
  <c r="N29" i="6"/>
  <c r="N30" i="6"/>
  <c r="O28" i="6" s="1"/>
  <c r="N31" i="6"/>
  <c r="O29" i="6" s="1"/>
  <c r="N32" i="6"/>
  <c r="X32" i="6" s="1"/>
  <c r="N33" i="6"/>
  <c r="N34" i="6"/>
  <c r="O32" i="6" s="1"/>
  <c r="N35" i="6"/>
  <c r="X35" i="6" s="1"/>
  <c r="N36" i="6"/>
  <c r="X36" i="6" s="1"/>
  <c r="N37" i="6"/>
  <c r="O35" i="6" s="1"/>
  <c r="N38" i="6"/>
  <c r="O36" i="6" s="1"/>
  <c r="N39" i="6"/>
  <c r="X39" i="6" s="1"/>
  <c r="N40" i="6"/>
  <c r="X40" i="6" s="1"/>
  <c r="N41" i="6"/>
  <c r="O39" i="6" s="1"/>
  <c r="N42" i="6"/>
  <c r="O40" i="6" s="1"/>
  <c r="N43" i="6"/>
  <c r="X43" i="6" s="1"/>
  <c r="N44" i="6"/>
  <c r="X44" i="6" s="1"/>
  <c r="N45" i="6"/>
  <c r="N46" i="6"/>
  <c r="O44" i="6" s="1"/>
  <c r="N47" i="6"/>
  <c r="X47" i="6" s="1"/>
  <c r="N48" i="6"/>
  <c r="X48" i="6" s="1"/>
  <c r="N49" i="6"/>
  <c r="N50" i="6"/>
  <c r="O48" i="6" s="1"/>
  <c r="N51" i="6"/>
  <c r="X51" i="6" s="1"/>
  <c r="N52" i="6"/>
  <c r="X52" i="6" s="1"/>
  <c r="N53" i="6"/>
  <c r="O51" i="6" s="1"/>
  <c r="N54" i="6"/>
  <c r="O52" i="6" s="1"/>
  <c r="N55" i="6"/>
  <c r="X55" i="6" s="1"/>
  <c r="N56" i="6"/>
  <c r="X56" i="6" s="1"/>
  <c r="N57" i="6"/>
  <c r="O55" i="6" s="1"/>
  <c r="N58" i="6"/>
  <c r="O56" i="6" s="1"/>
  <c r="N59" i="6"/>
  <c r="X59" i="6" s="1"/>
  <c r="N60" i="6"/>
  <c r="X60" i="6" s="1"/>
  <c r="N61" i="6"/>
  <c r="N62" i="6"/>
  <c r="O60" i="6" s="1"/>
  <c r="N63" i="6"/>
  <c r="X63" i="6" s="1"/>
  <c r="N64" i="6"/>
  <c r="X64" i="6" s="1"/>
  <c r="N65" i="6"/>
  <c r="N66" i="6"/>
  <c r="O64" i="6" s="1"/>
  <c r="N67" i="6"/>
  <c r="X67" i="6" s="1"/>
  <c r="N68" i="6"/>
  <c r="X68" i="6" s="1"/>
  <c r="N69" i="6"/>
  <c r="O67" i="6" s="1"/>
  <c r="N70" i="6"/>
  <c r="O68" i="6" s="1"/>
  <c r="N71" i="6"/>
  <c r="X71" i="6" s="1"/>
  <c r="N72" i="6"/>
  <c r="X72" i="6" s="1"/>
  <c r="N73" i="6"/>
  <c r="O71" i="6" s="1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N19" i="5"/>
  <c r="N20" i="5"/>
  <c r="X20" i="5" s="1"/>
  <c r="N21" i="5"/>
  <c r="X21" i="5" s="1"/>
  <c r="N22" i="5"/>
  <c r="N23" i="5"/>
  <c r="N24" i="5"/>
  <c r="X24" i="5" s="1"/>
  <c r="N25" i="5"/>
  <c r="X25" i="5" s="1"/>
  <c r="N26" i="5"/>
  <c r="O24" i="5" s="1"/>
  <c r="N27" i="5"/>
  <c r="N28" i="5"/>
  <c r="X28" i="5" s="1"/>
  <c r="N29" i="5"/>
  <c r="X29" i="5" s="1"/>
  <c r="N30" i="5"/>
  <c r="N31" i="5"/>
  <c r="N32" i="5"/>
  <c r="X32" i="5" s="1"/>
  <c r="N33" i="5"/>
  <c r="X33" i="5" s="1"/>
  <c r="N34" i="5"/>
  <c r="O32" i="5" s="1"/>
  <c r="N35" i="5"/>
  <c r="N36" i="5"/>
  <c r="X36" i="5" s="1"/>
  <c r="N37" i="5"/>
  <c r="X37" i="5" s="1"/>
  <c r="N38" i="5"/>
  <c r="N39" i="5"/>
  <c r="O37" i="5" s="1"/>
  <c r="N40" i="5"/>
  <c r="X40" i="5" s="1"/>
  <c r="N41" i="5"/>
  <c r="X41" i="5" s="1"/>
  <c r="N42" i="5"/>
  <c r="O40" i="5" s="1"/>
  <c r="N43" i="5"/>
  <c r="N44" i="5"/>
  <c r="N45" i="5"/>
  <c r="X45" i="5" s="1"/>
  <c r="N46" i="5"/>
  <c r="N47" i="5"/>
  <c r="N48" i="5"/>
  <c r="X48" i="5" s="1"/>
  <c r="N49" i="5"/>
  <c r="X49" i="5" s="1"/>
  <c r="N50" i="5"/>
  <c r="O48" i="5" s="1"/>
  <c r="N51" i="5"/>
  <c r="N52" i="5"/>
  <c r="X52" i="5" s="1"/>
  <c r="N53" i="5"/>
  <c r="X53" i="5" s="1"/>
  <c r="N54" i="5"/>
  <c r="N55" i="5"/>
  <c r="O53" i="5" s="1"/>
  <c r="N56" i="5"/>
  <c r="X56" i="5" s="1"/>
  <c r="N57" i="5"/>
  <c r="X57" i="5" s="1"/>
  <c r="N58" i="5"/>
  <c r="O56" i="5" s="1"/>
  <c r="N59" i="5"/>
  <c r="O57" i="5" s="1"/>
  <c r="N60" i="5"/>
  <c r="N61" i="5"/>
  <c r="X61" i="5" s="1"/>
  <c r="N62" i="5"/>
  <c r="N63" i="5"/>
  <c r="N64" i="5"/>
  <c r="X64" i="5" s="1"/>
  <c r="N65" i="5"/>
  <c r="X65" i="5" s="1"/>
  <c r="N66" i="5"/>
  <c r="O64" i="5" s="1"/>
  <c r="N67" i="5"/>
  <c r="N68" i="5"/>
  <c r="X68" i="5" s="1"/>
  <c r="N69" i="5"/>
  <c r="X69" i="5" s="1"/>
  <c r="N70" i="5"/>
  <c r="N71" i="5"/>
  <c r="N72" i="5"/>
  <c r="X72" i="5" s="1"/>
  <c r="N73" i="5"/>
  <c r="X73" i="5" s="1"/>
  <c r="N74" i="5"/>
  <c r="O72" i="5" s="1"/>
  <c r="N75" i="5"/>
  <c r="O73" i="5" s="1"/>
  <c r="N76" i="5"/>
  <c r="X76" i="5" s="1"/>
  <c r="N77" i="5"/>
  <c r="X77" i="5" s="1"/>
  <c r="N78" i="5"/>
  <c r="N79" i="5"/>
  <c r="N80" i="5"/>
  <c r="X80" i="5" s="1"/>
  <c r="N81" i="5"/>
  <c r="X81" i="5" s="1"/>
  <c r="N82" i="5"/>
  <c r="O80" i="5" s="1"/>
  <c r="N83" i="5"/>
  <c r="N84" i="5"/>
  <c r="X84" i="5" s="1"/>
  <c r="N85" i="5"/>
  <c r="X85" i="5" s="1"/>
  <c r="N86" i="5"/>
  <c r="N87" i="5"/>
  <c r="N88" i="5"/>
  <c r="X88" i="5" s="1"/>
  <c r="N89" i="5"/>
  <c r="X89" i="5" s="1"/>
  <c r="N90" i="5"/>
  <c r="O88" i="5" s="1"/>
  <c r="N91" i="5"/>
  <c r="N92" i="5"/>
  <c r="X92" i="5" s="1"/>
  <c r="N93" i="5"/>
  <c r="X93" i="5" s="1"/>
  <c r="N94" i="5"/>
  <c r="N95" i="5"/>
  <c r="N96" i="5"/>
  <c r="X96" i="5" s="1"/>
  <c r="N97" i="5"/>
  <c r="X97" i="5" s="1"/>
  <c r="N98" i="5"/>
  <c r="O96" i="5" s="1"/>
  <c r="N99" i="5"/>
  <c r="N100" i="5"/>
  <c r="X100" i="5" s="1"/>
  <c r="N101" i="5"/>
  <c r="X101" i="5" s="1"/>
  <c r="N102" i="5"/>
  <c r="N103" i="5"/>
  <c r="O101" i="5" s="1"/>
  <c r="N104" i="5"/>
  <c r="X104" i="5" s="1"/>
  <c r="N105" i="5"/>
  <c r="X105" i="5" s="1"/>
  <c r="N106" i="5"/>
  <c r="O104" i="5" s="1"/>
  <c r="N107" i="5"/>
  <c r="N108" i="5"/>
  <c r="N109" i="5"/>
  <c r="X109" i="5" s="1"/>
  <c r="N110" i="5"/>
  <c r="N111" i="5"/>
  <c r="N112" i="5"/>
  <c r="X112" i="5" s="1"/>
  <c r="N113" i="5"/>
  <c r="X113" i="5" s="1"/>
  <c r="N114" i="5"/>
  <c r="O112" i="5" s="1"/>
  <c r="N115" i="5"/>
  <c r="N116" i="5"/>
  <c r="X116" i="5" s="1"/>
  <c r="N117" i="5"/>
  <c r="X117" i="5" s="1"/>
  <c r="N118" i="5"/>
  <c r="N119" i="5"/>
  <c r="O117" i="5" s="1"/>
  <c r="N120" i="5"/>
  <c r="X120" i="5" s="1"/>
  <c r="N121" i="5"/>
  <c r="X121" i="5" s="1"/>
  <c r="N122" i="5"/>
  <c r="O120" i="5" s="1"/>
  <c r="N123" i="5"/>
  <c r="O121" i="5" s="1"/>
  <c r="N124" i="5"/>
  <c r="N125" i="5"/>
  <c r="X125" i="5" s="1"/>
  <c r="N126" i="5"/>
  <c r="N127" i="5"/>
  <c r="N128" i="5"/>
  <c r="X128" i="5" s="1"/>
  <c r="N129" i="5"/>
  <c r="X129" i="5" s="1"/>
  <c r="N130" i="5"/>
  <c r="O128" i="5" s="1"/>
  <c r="N131" i="5"/>
  <c r="N132" i="5"/>
  <c r="X132" i="5" s="1"/>
  <c r="N133" i="5"/>
  <c r="X133" i="5" s="1"/>
  <c r="N134" i="5"/>
  <c r="N135" i="5"/>
  <c r="N136" i="5"/>
  <c r="X136" i="5" s="1"/>
  <c r="N137" i="5"/>
  <c r="X137" i="5" s="1"/>
  <c r="N138" i="5"/>
  <c r="O136" i="5" s="1"/>
  <c r="N139" i="5"/>
  <c r="O137" i="5" s="1"/>
  <c r="N140" i="5"/>
  <c r="X140" i="5" s="1"/>
  <c r="N141" i="5"/>
  <c r="X141" i="5" s="1"/>
  <c r="N142" i="5"/>
  <c r="N143" i="5"/>
  <c r="N144" i="5"/>
  <c r="X144" i="5" s="1"/>
  <c r="N145" i="5"/>
  <c r="X145" i="5" s="1"/>
  <c r="N146" i="5"/>
  <c r="O144" i="5" s="1"/>
  <c r="N147" i="5"/>
  <c r="N148" i="5"/>
  <c r="X148" i="5" s="1"/>
  <c r="N149" i="5"/>
  <c r="X149" i="5" s="1"/>
  <c r="N150" i="5"/>
  <c r="N151" i="5"/>
  <c r="N152" i="5"/>
  <c r="X152" i="5" s="1"/>
  <c r="N153" i="5"/>
  <c r="X153" i="5" s="1"/>
  <c r="N154" i="5"/>
  <c r="O152" i="5" s="1"/>
  <c r="N155" i="5"/>
  <c r="N156" i="5"/>
  <c r="X156" i="5" s="1"/>
  <c r="N157" i="5"/>
  <c r="X157" i="5" s="1"/>
  <c r="N158" i="5"/>
  <c r="N159" i="5"/>
  <c r="N160" i="5"/>
  <c r="X160" i="5" s="1"/>
  <c r="N161" i="5"/>
  <c r="X161" i="5" s="1"/>
  <c r="N162" i="5"/>
  <c r="O160" i="5" s="1"/>
  <c r="N163" i="5"/>
  <c r="N164" i="5"/>
  <c r="X164" i="5" s="1"/>
  <c r="N165" i="5"/>
  <c r="X165" i="5" s="1"/>
  <c r="N166" i="5"/>
  <c r="N167" i="5"/>
  <c r="O165" i="5" s="1"/>
  <c r="N168" i="5"/>
  <c r="X168" i="5" s="1"/>
  <c r="N169" i="5"/>
  <c r="X169" i="5" s="1"/>
  <c r="N170" i="5"/>
  <c r="O168" i="5" s="1"/>
  <c r="N171" i="5"/>
  <c r="N172" i="5"/>
  <c r="N173" i="5"/>
  <c r="X173" i="5" s="1"/>
  <c r="N174" i="5"/>
  <c r="N175" i="5"/>
  <c r="N176" i="5"/>
  <c r="X176" i="5" s="1"/>
  <c r="N177" i="5"/>
  <c r="X177" i="5" s="1"/>
  <c r="N178" i="5"/>
  <c r="O176" i="5" s="1"/>
  <c r="N179" i="5"/>
  <c r="N180" i="5"/>
  <c r="X180" i="5" s="1"/>
  <c r="N181" i="5"/>
  <c r="X181" i="5" s="1"/>
  <c r="N182" i="5"/>
  <c r="N183" i="5"/>
  <c r="O181" i="5" s="1"/>
  <c r="N184" i="5"/>
  <c r="X184" i="5" s="1"/>
  <c r="N185" i="5"/>
  <c r="X185" i="5" s="1"/>
  <c r="N186" i="5"/>
  <c r="O184" i="5" s="1"/>
  <c r="N187" i="5"/>
  <c r="O185" i="5" s="1"/>
  <c r="N188" i="5"/>
  <c r="N189" i="5"/>
  <c r="X189" i="5" s="1"/>
  <c r="N190" i="5"/>
  <c r="N191" i="5"/>
  <c r="N192" i="5"/>
  <c r="X192" i="5" s="1"/>
  <c r="N193" i="5"/>
  <c r="X193" i="5" s="1"/>
  <c r="N194" i="5"/>
  <c r="O192" i="5" s="1"/>
  <c r="N195" i="5"/>
  <c r="N196" i="5"/>
  <c r="X196" i="5" s="1"/>
  <c r="N197" i="5"/>
  <c r="X197" i="5" s="1"/>
  <c r="N198" i="5"/>
  <c r="N199" i="5"/>
  <c r="N200" i="5"/>
  <c r="X200" i="5" s="1"/>
  <c r="N201" i="5"/>
  <c r="X201" i="5" s="1"/>
  <c r="N202" i="5"/>
  <c r="O200" i="5" s="1"/>
  <c r="N203" i="5"/>
  <c r="O201" i="5" s="1"/>
  <c r="N204" i="5"/>
  <c r="X204" i="5" s="1"/>
  <c r="N205" i="5"/>
  <c r="X205" i="5" s="1"/>
  <c r="N206" i="5"/>
  <c r="N207" i="5"/>
  <c r="N208" i="5"/>
  <c r="X208" i="5" s="1"/>
  <c r="N209" i="5"/>
  <c r="X209" i="5" s="1"/>
  <c r="N210" i="5"/>
  <c r="O208" i="5" s="1"/>
  <c r="N211" i="5"/>
  <c r="N212" i="5"/>
  <c r="X212" i="5" s="1"/>
  <c r="N213" i="5"/>
  <c r="X213" i="5" s="1"/>
  <c r="N214" i="5"/>
  <c r="N215" i="5"/>
  <c r="N216" i="5"/>
  <c r="X216" i="5" s="1"/>
  <c r="N217" i="5"/>
  <c r="X217" i="5" s="1"/>
  <c r="N218" i="5"/>
  <c r="O216" i="5" s="1"/>
  <c r="N219" i="5"/>
  <c r="N220" i="5"/>
  <c r="X220" i="5" s="1"/>
  <c r="N221" i="5"/>
  <c r="X221" i="5" s="1"/>
  <c r="N222" i="5"/>
  <c r="N223" i="5"/>
  <c r="N224" i="5"/>
  <c r="X224" i="5" s="1"/>
  <c r="N225" i="5"/>
  <c r="X225" i="5" s="1"/>
  <c r="N226" i="5"/>
  <c r="O224" i="5" s="1"/>
  <c r="N227" i="5"/>
  <c r="N228" i="5"/>
  <c r="X228" i="5" s="1"/>
  <c r="N229" i="5"/>
  <c r="X229" i="5" s="1"/>
  <c r="N230" i="5"/>
  <c r="N231" i="5"/>
  <c r="O229" i="5" s="1"/>
  <c r="N232" i="5"/>
  <c r="X232" i="5" s="1"/>
  <c r="N233" i="5"/>
  <c r="X233" i="5" s="1"/>
  <c r="N234" i="5"/>
  <c r="O232" i="5" s="1"/>
  <c r="N235" i="5"/>
  <c r="N236" i="5"/>
  <c r="N237" i="5"/>
  <c r="X237" i="5" s="1"/>
  <c r="N238" i="5"/>
  <c r="N239" i="5"/>
  <c r="N240" i="5"/>
  <c r="X240" i="5" s="1"/>
  <c r="N241" i="5"/>
  <c r="X241" i="5" s="1"/>
  <c r="N242" i="5"/>
  <c r="O240" i="5" s="1"/>
  <c r="N243" i="5"/>
  <c r="N244" i="5"/>
  <c r="X244" i="5" s="1"/>
  <c r="N245" i="5"/>
  <c r="X245" i="5" s="1"/>
  <c r="N246" i="5"/>
  <c r="N247" i="5"/>
  <c r="O245" i="5" s="1"/>
  <c r="N248" i="5"/>
  <c r="X248" i="5" s="1"/>
  <c r="N249" i="5"/>
  <c r="X249" i="5" s="1"/>
  <c r="N250" i="5"/>
  <c r="O248" i="5" s="1"/>
  <c r="N251" i="5"/>
  <c r="O249" i="5" s="1"/>
  <c r="N252" i="5"/>
  <c r="N253" i="5"/>
  <c r="X253" i="5" s="1"/>
  <c r="N254" i="5"/>
  <c r="N255" i="5"/>
  <c r="N256" i="5"/>
  <c r="X256" i="5" s="1"/>
  <c r="N257" i="5"/>
  <c r="X257" i="5" s="1"/>
  <c r="N258" i="5"/>
  <c r="O256" i="5" s="1"/>
  <c r="N259" i="5"/>
  <c r="N260" i="5"/>
  <c r="X260" i="5" s="1"/>
  <c r="N261" i="5"/>
  <c r="X261" i="5" s="1"/>
  <c r="N262" i="5"/>
  <c r="N263" i="5"/>
  <c r="N264" i="5"/>
  <c r="X264" i="5" s="1"/>
  <c r="N265" i="5"/>
  <c r="X265" i="5" s="1"/>
  <c r="N266" i="5"/>
  <c r="O264" i="5" s="1"/>
  <c r="N267" i="5"/>
  <c r="O265" i="5" s="1"/>
  <c r="N268" i="5"/>
  <c r="X268" i="5" s="1"/>
  <c r="N269" i="5"/>
  <c r="X269" i="5" s="1"/>
  <c r="N270" i="5"/>
  <c r="N271" i="5"/>
  <c r="N272" i="5"/>
  <c r="X272" i="5" s="1"/>
  <c r="N273" i="5"/>
  <c r="X273" i="5" s="1"/>
  <c r="N274" i="5"/>
  <c r="O272" i="5" s="1"/>
  <c r="N275" i="5"/>
  <c r="N276" i="5"/>
  <c r="X276" i="5" s="1"/>
  <c r="N277" i="5"/>
  <c r="X277" i="5" s="1"/>
  <c r="N278" i="5"/>
  <c r="N279" i="5"/>
  <c r="N280" i="5"/>
  <c r="X280" i="5" s="1"/>
  <c r="N281" i="5"/>
  <c r="X281" i="5" s="1"/>
  <c r="N282" i="5"/>
  <c r="O280" i="5" s="1"/>
  <c r="N283" i="5"/>
  <c r="N284" i="5"/>
  <c r="X284" i="5" s="1"/>
  <c r="N285" i="5"/>
  <c r="X285" i="5" s="1"/>
  <c r="N286" i="5"/>
  <c r="N287" i="5"/>
  <c r="N288" i="5"/>
  <c r="X288" i="5" s="1"/>
  <c r="N289" i="5"/>
  <c r="X289" i="5" s="1"/>
  <c r="N290" i="5"/>
  <c r="O288" i="5" s="1"/>
  <c r="N291" i="5"/>
  <c r="N292" i="5"/>
  <c r="X292" i="5" s="1"/>
  <c r="N293" i="5"/>
  <c r="X293" i="5" s="1"/>
  <c r="N294" i="5"/>
  <c r="N295" i="5"/>
  <c r="N296" i="5"/>
  <c r="X296" i="5" s="1"/>
  <c r="N297" i="5"/>
  <c r="X297" i="5" s="1"/>
  <c r="N298" i="5"/>
  <c r="O296" i="5" s="1"/>
  <c r="N299" i="5"/>
  <c r="N300" i="5"/>
  <c r="N301" i="5"/>
  <c r="X301" i="5" s="1"/>
  <c r="N302" i="5"/>
  <c r="N303" i="5"/>
  <c r="N304" i="5"/>
  <c r="X304" i="5" s="1"/>
  <c r="N305" i="5"/>
  <c r="X305" i="5" s="1"/>
  <c r="N306" i="5"/>
  <c r="O304" i="5" s="1"/>
  <c r="N307" i="5"/>
  <c r="N308" i="5"/>
  <c r="X308" i="5" s="1"/>
  <c r="N309" i="5"/>
  <c r="X309" i="5" s="1"/>
  <c r="N310" i="5"/>
  <c r="N311" i="5"/>
  <c r="N312" i="5"/>
  <c r="X312" i="5" s="1"/>
  <c r="N313" i="5"/>
  <c r="X313" i="5" s="1"/>
  <c r="N314" i="5"/>
  <c r="O312" i="5" s="1"/>
  <c r="N315" i="5"/>
  <c r="N316" i="5"/>
  <c r="N317" i="5"/>
  <c r="X317" i="5" s="1"/>
  <c r="N318" i="5"/>
  <c r="N319" i="5"/>
  <c r="N320" i="5"/>
  <c r="X320" i="5" s="1"/>
  <c r="N321" i="5"/>
  <c r="X321" i="5" s="1"/>
  <c r="N322" i="5"/>
  <c r="O320" i="5" s="1"/>
  <c r="N323" i="5"/>
  <c r="N324" i="5"/>
  <c r="X324" i="5" s="1"/>
  <c r="N325" i="5"/>
  <c r="X325" i="5" s="1"/>
  <c r="N326" i="5"/>
  <c r="N327" i="5"/>
  <c r="N328" i="5"/>
  <c r="X328" i="5" s="1"/>
  <c r="N329" i="5"/>
  <c r="X329" i="5" s="1"/>
  <c r="N330" i="5"/>
  <c r="O328" i="5" s="1"/>
  <c r="N331" i="5"/>
  <c r="N332" i="5"/>
  <c r="X332" i="5" s="1"/>
  <c r="N333" i="5"/>
  <c r="X333" i="5" s="1"/>
  <c r="N334" i="5"/>
  <c r="N335" i="5"/>
  <c r="N336" i="5"/>
  <c r="X336" i="5" s="1"/>
  <c r="N337" i="5"/>
  <c r="X337" i="5" s="1"/>
  <c r="N338" i="5"/>
  <c r="O336" i="5" s="1"/>
  <c r="N339" i="5"/>
  <c r="N340" i="5"/>
  <c r="X340" i="5" s="1"/>
  <c r="N341" i="5"/>
  <c r="X341" i="5" s="1"/>
  <c r="N342" i="5"/>
  <c r="N343" i="5"/>
  <c r="N344" i="5"/>
  <c r="X344" i="5" s="1"/>
  <c r="N345" i="5"/>
  <c r="X345" i="5" s="1"/>
  <c r="N346" i="5"/>
  <c r="O344" i="5" s="1"/>
  <c r="N347" i="5"/>
  <c r="N348" i="5"/>
  <c r="X348" i="5" s="1"/>
  <c r="N349" i="5"/>
  <c r="X349" i="5" s="1"/>
  <c r="N350" i="5"/>
  <c r="N351" i="5"/>
  <c r="N352" i="5"/>
  <c r="X352" i="5" s="1"/>
  <c r="N353" i="5"/>
  <c r="X353" i="5" s="1"/>
  <c r="N354" i="5"/>
  <c r="O352" i="5" s="1"/>
  <c r="N355" i="5"/>
  <c r="N356" i="5"/>
  <c r="X356" i="5" s="1"/>
  <c r="N357" i="5"/>
  <c r="X357" i="5" s="1"/>
  <c r="N358" i="5"/>
  <c r="N359" i="5"/>
  <c r="N360" i="5"/>
  <c r="O358" i="5" s="1"/>
  <c r="N361" i="5"/>
  <c r="X361" i="5" s="1"/>
  <c r="N362" i="5"/>
  <c r="N363" i="5"/>
  <c r="N364" i="5"/>
  <c r="N365" i="5"/>
  <c r="X365" i="5" s="1"/>
  <c r="N366" i="5"/>
  <c r="N367" i="5"/>
  <c r="N368" i="5"/>
  <c r="X368" i="5" s="1"/>
  <c r="N369" i="5"/>
  <c r="X369" i="5" s="1"/>
  <c r="N370" i="5"/>
  <c r="N371" i="5"/>
  <c r="N372" i="5"/>
  <c r="X372" i="5" s="1"/>
  <c r="N373" i="5"/>
  <c r="X373" i="5" s="1"/>
  <c r="N374" i="5"/>
  <c r="N375" i="5"/>
  <c r="N376" i="5"/>
  <c r="O374" i="5" s="1"/>
  <c r="N377" i="5"/>
  <c r="X377" i="5" s="1"/>
  <c r="N378" i="5"/>
  <c r="N379" i="5"/>
  <c r="N380" i="5"/>
  <c r="N381" i="5"/>
  <c r="X381" i="5" s="1"/>
  <c r="N382" i="5"/>
  <c r="N383" i="5"/>
  <c r="N384" i="5"/>
  <c r="X384" i="5" s="1"/>
  <c r="N385" i="5"/>
  <c r="X385" i="5" s="1"/>
  <c r="N386" i="5"/>
  <c r="N387" i="5"/>
  <c r="N388" i="5"/>
  <c r="X388" i="5" s="1"/>
  <c r="N389" i="5"/>
  <c r="X389" i="5" s="1"/>
  <c r="N390" i="5"/>
  <c r="N391" i="5"/>
  <c r="N392" i="5"/>
  <c r="O390" i="5" s="1"/>
  <c r="N393" i="5"/>
  <c r="X393" i="5" s="1"/>
  <c r="N394" i="5"/>
  <c r="N395" i="5"/>
  <c r="N396" i="5"/>
  <c r="X396" i="5" s="1"/>
  <c r="N397" i="5"/>
  <c r="X397" i="5" s="1"/>
  <c r="N398" i="5"/>
  <c r="N399" i="5"/>
  <c r="N400" i="5"/>
  <c r="X400" i="5" s="1"/>
  <c r="N401" i="5"/>
  <c r="X401" i="5" s="1"/>
  <c r="N402" i="5"/>
  <c r="N403" i="5"/>
  <c r="N404" i="5"/>
  <c r="X404" i="5" s="1"/>
  <c r="N405" i="5"/>
  <c r="X405" i="5" s="1"/>
  <c r="N406" i="5"/>
  <c r="N407" i="5"/>
  <c r="N408" i="5"/>
  <c r="O406" i="5" s="1"/>
  <c r="N409" i="5"/>
  <c r="X409" i="5" s="1"/>
  <c r="N410" i="5"/>
  <c r="N411" i="5"/>
  <c r="N412" i="5"/>
  <c r="O410" i="5" s="1"/>
  <c r="N413" i="5"/>
  <c r="X413" i="5" s="1"/>
  <c r="N414" i="5"/>
  <c r="N415" i="5"/>
  <c r="N416" i="5"/>
  <c r="X416" i="5" s="1"/>
  <c r="N417" i="5"/>
  <c r="X417" i="5" s="1"/>
  <c r="N418" i="5"/>
  <c r="N419" i="5"/>
  <c r="N420" i="5"/>
  <c r="O418" i="5" s="1"/>
  <c r="N421" i="5"/>
  <c r="X421" i="5" s="1"/>
  <c r="N422" i="5"/>
  <c r="N423" i="5"/>
  <c r="N424" i="5"/>
  <c r="O422" i="5" s="1"/>
  <c r="N425" i="5"/>
  <c r="X425" i="5" s="1"/>
  <c r="N426" i="5"/>
  <c r="N427" i="5"/>
  <c r="N428" i="5"/>
  <c r="N429" i="5"/>
  <c r="X429" i="5" s="1"/>
  <c r="N430" i="5"/>
  <c r="N431" i="5"/>
  <c r="N432" i="5"/>
  <c r="X432" i="5" s="1"/>
  <c r="N433" i="5"/>
  <c r="X433" i="5" s="1"/>
  <c r="N434" i="5"/>
  <c r="N435" i="5"/>
  <c r="N436" i="5"/>
  <c r="O434" i="5" s="1"/>
  <c r="N437" i="5"/>
  <c r="X437" i="5" s="1"/>
  <c r="N438" i="5"/>
  <c r="N439" i="5"/>
  <c r="N440" i="5"/>
  <c r="O438" i="5" s="1"/>
  <c r="N441" i="5"/>
  <c r="X441" i="5" s="1"/>
  <c r="N442" i="5"/>
  <c r="N443" i="5"/>
  <c r="N444" i="5"/>
  <c r="N445" i="5"/>
  <c r="X445" i="5" s="1"/>
  <c r="N446" i="5"/>
  <c r="N447" i="5"/>
  <c r="N448" i="5"/>
  <c r="X448" i="5" s="1"/>
  <c r="N449" i="5"/>
  <c r="X449" i="5" s="1"/>
  <c r="N450" i="5"/>
  <c r="N451" i="5"/>
  <c r="N452" i="5"/>
  <c r="O450" i="5" s="1"/>
  <c r="N453" i="5"/>
  <c r="X453" i="5" s="1"/>
  <c r="N454" i="5"/>
  <c r="N455" i="5"/>
  <c r="N456" i="5"/>
  <c r="O454" i="5" s="1"/>
  <c r="N457" i="5"/>
  <c r="X457" i="5" s="1"/>
  <c r="N458" i="5"/>
  <c r="N459" i="5"/>
  <c r="N460" i="5"/>
  <c r="N461" i="5"/>
  <c r="X461" i="5" s="1"/>
  <c r="N462" i="5"/>
  <c r="N463" i="5"/>
  <c r="N464" i="5"/>
  <c r="X464" i="5" s="1"/>
  <c r="N465" i="5"/>
  <c r="X465" i="5" s="1"/>
  <c r="N466" i="5"/>
  <c r="N467" i="5"/>
  <c r="N468" i="5"/>
  <c r="O466" i="5" s="1"/>
  <c r="N469" i="5"/>
  <c r="X469" i="5" s="1"/>
  <c r="N470" i="5"/>
  <c r="N471" i="5"/>
  <c r="N472" i="5"/>
  <c r="O470" i="5" s="1"/>
  <c r="N473" i="5"/>
  <c r="X473" i="5" s="1"/>
  <c r="N474" i="5"/>
  <c r="N475" i="5"/>
  <c r="N476" i="5"/>
  <c r="O474" i="5" s="1"/>
  <c r="N477" i="5"/>
  <c r="X477" i="5" s="1"/>
  <c r="N478" i="5"/>
  <c r="N479" i="5"/>
  <c r="N480" i="5"/>
  <c r="O480" i="5" s="1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N20" i="4"/>
  <c r="X20" i="4" s="1"/>
  <c r="N21" i="4"/>
  <c r="X21" i="4" s="1"/>
  <c r="N22" i="4"/>
  <c r="N23" i="4"/>
  <c r="O21" i="4" s="1"/>
  <c r="N24" i="4"/>
  <c r="N25" i="4"/>
  <c r="X25" i="4" s="1"/>
  <c r="N26" i="4"/>
  <c r="N27" i="4"/>
  <c r="X27" i="4" s="1"/>
  <c r="N28" i="4"/>
  <c r="N29" i="4"/>
  <c r="O27" i="4" s="1"/>
  <c r="N30" i="4"/>
  <c r="O28" i="4" s="1"/>
  <c r="N31" i="4"/>
  <c r="X31" i="4" s="1"/>
  <c r="N32" i="4"/>
  <c r="X32" i="4" s="1"/>
  <c r="N33" i="4"/>
  <c r="N34" i="4"/>
  <c r="O32" i="4" s="1"/>
  <c r="N35" i="4"/>
  <c r="O33" i="4" s="1"/>
  <c r="N36" i="4"/>
  <c r="X36" i="4" s="1"/>
  <c r="N37" i="4"/>
  <c r="X37" i="4" s="1"/>
  <c r="N38" i="4"/>
  <c r="N39" i="4"/>
  <c r="O37" i="4" s="1"/>
  <c r="N40" i="4"/>
  <c r="N41" i="4"/>
  <c r="X41" i="4" s="1"/>
  <c r="N42" i="4"/>
  <c r="N43" i="4"/>
  <c r="X43" i="4" s="1"/>
  <c r="N44" i="4"/>
  <c r="N45" i="4"/>
  <c r="O43" i="4" s="1"/>
  <c r="N46" i="4"/>
  <c r="O44" i="4" s="1"/>
  <c r="N47" i="4"/>
  <c r="X47" i="4" s="1"/>
  <c r="N48" i="4"/>
  <c r="X48" i="4" s="1"/>
  <c r="N49" i="4"/>
  <c r="N50" i="4"/>
  <c r="O48" i="4" s="1"/>
  <c r="N51" i="4"/>
  <c r="O49" i="4" s="1"/>
  <c r="N52" i="4"/>
  <c r="X52" i="4" s="1"/>
  <c r="N53" i="4"/>
  <c r="X53" i="4" s="1"/>
  <c r="N54" i="4"/>
  <c r="N55" i="4"/>
  <c r="O53" i="4" s="1"/>
  <c r="N56" i="4"/>
  <c r="N57" i="4"/>
  <c r="X57" i="4" s="1"/>
  <c r="N58" i="4"/>
  <c r="N59" i="4"/>
  <c r="X59" i="4" s="1"/>
  <c r="N60" i="4"/>
  <c r="N61" i="4"/>
  <c r="O59" i="4" s="1"/>
  <c r="N62" i="4"/>
  <c r="O60" i="4" s="1"/>
  <c r="N63" i="4"/>
  <c r="X63" i="4" s="1"/>
  <c r="N64" i="4"/>
  <c r="X64" i="4" s="1"/>
  <c r="N65" i="4"/>
  <c r="N66" i="4"/>
  <c r="O64" i="4" s="1"/>
  <c r="N67" i="4"/>
  <c r="O65" i="4" s="1"/>
  <c r="N68" i="4"/>
  <c r="X68" i="4" s="1"/>
  <c r="N69" i="4"/>
  <c r="X69" i="4" s="1"/>
  <c r="N70" i="4"/>
  <c r="N71" i="4"/>
  <c r="O69" i="4" s="1"/>
  <c r="N72" i="4"/>
  <c r="N73" i="4"/>
  <c r="X73" i="4" s="1"/>
  <c r="N74" i="4"/>
  <c r="N75" i="4"/>
  <c r="X75" i="4" s="1"/>
  <c r="N76" i="4"/>
  <c r="N77" i="4"/>
  <c r="O75" i="4" s="1"/>
  <c r="N78" i="4"/>
  <c r="O76" i="4" s="1"/>
  <c r="N79" i="4"/>
  <c r="X79" i="4" s="1"/>
  <c r="N80" i="4"/>
  <c r="X80" i="4" s="1"/>
  <c r="N81" i="4"/>
  <c r="N82" i="4"/>
  <c r="O80" i="4" s="1"/>
  <c r="N83" i="4"/>
  <c r="O81" i="4" s="1"/>
  <c r="N84" i="4"/>
  <c r="X84" i="4" s="1"/>
  <c r="N85" i="4"/>
  <c r="X85" i="4" s="1"/>
  <c r="N86" i="4"/>
  <c r="N87" i="4"/>
  <c r="O85" i="4" s="1"/>
  <c r="N88" i="4"/>
  <c r="N89" i="4"/>
  <c r="X89" i="4" s="1"/>
  <c r="N90" i="4"/>
  <c r="X90" i="4" s="1"/>
  <c r="N91" i="4"/>
  <c r="N92" i="4"/>
  <c r="N93" i="4"/>
  <c r="X93" i="4" s="1"/>
  <c r="N94" i="4"/>
  <c r="O92" i="4" s="1"/>
  <c r="N95" i="4"/>
  <c r="N96" i="4"/>
  <c r="N97" i="4"/>
  <c r="X97" i="4" s="1"/>
  <c r="N98" i="4"/>
  <c r="X98" i="4" s="1"/>
  <c r="N99" i="4"/>
  <c r="O97" i="4" s="1"/>
  <c r="N100" i="4"/>
  <c r="N101" i="4"/>
  <c r="X101" i="4" s="1"/>
  <c r="N102" i="4"/>
  <c r="X102" i="4" s="1"/>
  <c r="N103" i="4"/>
  <c r="O101" i="4" s="1"/>
  <c r="N104" i="4"/>
  <c r="N105" i="4"/>
  <c r="O103" i="4" s="1"/>
  <c r="N106" i="4"/>
  <c r="X106" i="4" s="1"/>
  <c r="N107" i="4"/>
  <c r="N108" i="4"/>
  <c r="N109" i="4"/>
  <c r="X109" i="4" s="1"/>
  <c r="N110" i="4"/>
  <c r="O108" i="4" s="1"/>
  <c r="N111" i="4"/>
  <c r="N112" i="4"/>
  <c r="N113" i="4"/>
  <c r="X113" i="4" s="1"/>
  <c r="N114" i="4"/>
  <c r="X114" i="4" s="1"/>
  <c r="N115" i="4"/>
  <c r="O113" i="4" s="1"/>
  <c r="N116" i="4"/>
  <c r="N117" i="4"/>
  <c r="X117" i="4" s="1"/>
  <c r="N118" i="4"/>
  <c r="X118" i="4" s="1"/>
  <c r="N119" i="4"/>
  <c r="O117" i="4" s="1"/>
  <c r="N120" i="4"/>
  <c r="N121" i="4"/>
  <c r="X121" i="4" s="1"/>
  <c r="N122" i="4"/>
  <c r="X122" i="4" s="1"/>
  <c r="N123" i="4"/>
  <c r="N124" i="4"/>
  <c r="N125" i="4"/>
  <c r="X125" i="4" s="1"/>
  <c r="N126" i="4"/>
  <c r="O124" i="4" s="1"/>
  <c r="N127" i="4"/>
  <c r="N128" i="4"/>
  <c r="N129" i="4"/>
  <c r="X129" i="4" s="1"/>
  <c r="N130" i="4"/>
  <c r="X130" i="4" s="1"/>
  <c r="N131" i="4"/>
  <c r="O129" i="4" s="1"/>
  <c r="N132" i="4"/>
  <c r="N133" i="4"/>
  <c r="X133" i="4" s="1"/>
  <c r="N134" i="4"/>
  <c r="X134" i="4" s="1"/>
  <c r="N135" i="4"/>
  <c r="O133" i="4" s="1"/>
  <c r="N136" i="4"/>
  <c r="N137" i="4"/>
  <c r="O135" i="4" s="1"/>
  <c r="N138" i="4"/>
  <c r="X138" i="4" s="1"/>
  <c r="N139" i="4"/>
  <c r="N140" i="4"/>
  <c r="N141" i="4"/>
  <c r="X141" i="4" s="1"/>
  <c r="N142" i="4"/>
  <c r="O140" i="4" s="1"/>
  <c r="N143" i="4"/>
  <c r="N144" i="4"/>
  <c r="N145" i="4"/>
  <c r="X145" i="4" s="1"/>
  <c r="N146" i="4"/>
  <c r="X146" i="4" s="1"/>
  <c r="N147" i="4"/>
  <c r="O145" i="4" s="1"/>
  <c r="N148" i="4"/>
  <c r="N149" i="4"/>
  <c r="X149" i="4" s="1"/>
  <c r="N150" i="4"/>
  <c r="X150" i="4" s="1"/>
  <c r="N151" i="4"/>
  <c r="O149" i="4" s="1"/>
  <c r="N152" i="4"/>
  <c r="N153" i="4"/>
  <c r="X153" i="4" s="1"/>
  <c r="N154" i="4"/>
  <c r="X154" i="4" s="1"/>
  <c r="N155" i="4"/>
  <c r="N156" i="4"/>
  <c r="N157" i="4"/>
  <c r="X157" i="4" s="1"/>
  <c r="N158" i="4"/>
  <c r="O156" i="4" s="1"/>
  <c r="N159" i="4"/>
  <c r="N160" i="4"/>
  <c r="N161" i="4"/>
  <c r="X161" i="4" s="1"/>
  <c r="N162" i="4"/>
  <c r="X162" i="4" s="1"/>
  <c r="N163" i="4"/>
  <c r="O161" i="4" s="1"/>
  <c r="N164" i="4"/>
  <c r="N165" i="4"/>
  <c r="X165" i="4" s="1"/>
  <c r="N166" i="4"/>
  <c r="X166" i="4" s="1"/>
  <c r="N167" i="4"/>
  <c r="O165" i="4" s="1"/>
  <c r="N168" i="4"/>
  <c r="N169" i="4"/>
  <c r="O167" i="4" s="1"/>
  <c r="N170" i="4"/>
  <c r="X170" i="4" s="1"/>
  <c r="N171" i="4"/>
  <c r="N172" i="4"/>
  <c r="X172" i="4" s="1"/>
  <c r="N173" i="4"/>
  <c r="X173" i="4" s="1"/>
  <c r="N174" i="4"/>
  <c r="X174" i="4" s="1"/>
  <c r="N175" i="4"/>
  <c r="N176" i="4"/>
  <c r="X176" i="4" s="1"/>
  <c r="N177" i="4"/>
  <c r="X177" i="4" s="1"/>
  <c r="N178" i="4"/>
  <c r="O176" i="4" s="1"/>
  <c r="N179" i="4"/>
  <c r="O177" i="4" s="1"/>
  <c r="N180" i="4"/>
  <c r="X180" i="4" s="1"/>
  <c r="N181" i="4"/>
  <c r="X181" i="4" s="1"/>
  <c r="N182" i="4"/>
  <c r="X182" i="4" s="1"/>
  <c r="N183" i="4"/>
  <c r="O181" i="4" s="1"/>
  <c r="N184" i="4"/>
  <c r="X184" i="4" s="1"/>
  <c r="N185" i="4"/>
  <c r="X185" i="4" s="1"/>
  <c r="N186" i="4"/>
  <c r="X186" i="4" s="1"/>
  <c r="N187" i="4"/>
  <c r="N188" i="4"/>
  <c r="X188" i="4" s="1"/>
  <c r="N189" i="4"/>
  <c r="O187" i="4" s="1"/>
  <c r="N190" i="4"/>
  <c r="X190" i="4" s="1"/>
  <c r="N191" i="4"/>
  <c r="N192" i="4"/>
  <c r="X192" i="4" s="1"/>
  <c r="N193" i="4"/>
  <c r="X193" i="4" s="1"/>
  <c r="N194" i="4"/>
  <c r="X194" i="4" s="1"/>
  <c r="N195" i="4"/>
  <c r="O193" i="4" s="1"/>
  <c r="N196" i="4"/>
  <c r="X196" i="4" s="1"/>
  <c r="N197" i="4"/>
  <c r="X197" i="4" s="1"/>
  <c r="N198" i="4"/>
  <c r="X198" i="4" s="1"/>
  <c r="N199" i="4"/>
  <c r="O197" i="4" s="1"/>
  <c r="N200" i="4"/>
  <c r="X200" i="4" s="1"/>
  <c r="N201" i="4"/>
  <c r="O199" i="4" s="1"/>
  <c r="N202" i="4"/>
  <c r="X202" i="4" s="1"/>
  <c r="N203" i="4"/>
  <c r="N204" i="4"/>
  <c r="X204" i="4" s="1"/>
  <c r="N205" i="4"/>
  <c r="X205" i="4" s="1"/>
  <c r="N206" i="4"/>
  <c r="X206" i="4" s="1"/>
  <c r="N207" i="4"/>
  <c r="N208" i="4"/>
  <c r="X208" i="4" s="1"/>
  <c r="N209" i="4"/>
  <c r="X209" i="4" s="1"/>
  <c r="N210" i="4"/>
  <c r="O208" i="4" s="1"/>
  <c r="N211" i="4"/>
  <c r="O209" i="4" s="1"/>
  <c r="N212" i="4"/>
  <c r="X212" i="4" s="1"/>
  <c r="N213" i="4"/>
  <c r="X213" i="4" s="1"/>
  <c r="N214" i="4"/>
  <c r="X214" i="4" s="1"/>
  <c r="N215" i="4"/>
  <c r="O213" i="4" s="1"/>
  <c r="N216" i="4"/>
  <c r="X216" i="4" s="1"/>
  <c r="N217" i="4"/>
  <c r="X217" i="4" s="1"/>
  <c r="N218" i="4"/>
  <c r="X218" i="4" s="1"/>
  <c r="N219" i="4"/>
  <c r="N220" i="4"/>
  <c r="X220" i="4" s="1"/>
  <c r="N221" i="4"/>
  <c r="O219" i="4" s="1"/>
  <c r="N222" i="4"/>
  <c r="O220" i="4" s="1"/>
  <c r="N223" i="4"/>
  <c r="N224" i="4"/>
  <c r="X224" i="4" s="1"/>
  <c r="N225" i="4"/>
  <c r="X225" i="4" s="1"/>
  <c r="N226" i="4"/>
  <c r="X226" i="4" s="1"/>
  <c r="N227" i="4"/>
  <c r="O225" i="4" s="1"/>
  <c r="N228" i="4"/>
  <c r="X228" i="4" s="1"/>
  <c r="N229" i="4"/>
  <c r="X229" i="4" s="1"/>
  <c r="N230" i="4"/>
  <c r="X230" i="4" s="1"/>
  <c r="N231" i="4"/>
  <c r="O229" i="4" s="1"/>
  <c r="N232" i="4"/>
  <c r="X232" i="4" s="1"/>
  <c r="N233" i="4"/>
  <c r="O231" i="4" s="1"/>
  <c r="N234" i="4"/>
  <c r="X234" i="4" s="1"/>
  <c r="N235" i="4"/>
  <c r="N236" i="4"/>
  <c r="X236" i="4" s="1"/>
  <c r="N237" i="4"/>
  <c r="X237" i="4" s="1"/>
  <c r="N238" i="4"/>
  <c r="X238" i="4" s="1"/>
  <c r="N239" i="4"/>
  <c r="N240" i="4"/>
  <c r="X240" i="4" s="1"/>
  <c r="N241" i="4"/>
  <c r="X241" i="4" s="1"/>
  <c r="N242" i="4"/>
  <c r="O240" i="4" s="1"/>
  <c r="N243" i="4"/>
  <c r="O241" i="4" s="1"/>
  <c r="N244" i="4"/>
  <c r="X244" i="4" s="1"/>
  <c r="N245" i="4"/>
  <c r="X245" i="4" s="1"/>
  <c r="N246" i="4"/>
  <c r="X246" i="4" s="1"/>
  <c r="N247" i="4"/>
  <c r="O245" i="4" s="1"/>
  <c r="N248" i="4"/>
  <c r="X248" i="4" s="1"/>
  <c r="N249" i="4"/>
  <c r="X249" i="4" s="1"/>
  <c r="N250" i="4"/>
  <c r="X250" i="4" s="1"/>
  <c r="N251" i="4"/>
  <c r="N252" i="4"/>
  <c r="X252" i="4" s="1"/>
  <c r="N253" i="4"/>
  <c r="O251" i="4" s="1"/>
  <c r="N254" i="4"/>
  <c r="O252" i="4" s="1"/>
  <c r="N255" i="4"/>
  <c r="N256" i="4"/>
  <c r="X256" i="4" s="1"/>
  <c r="N257" i="4"/>
  <c r="X257" i="4" s="1"/>
  <c r="N258" i="4"/>
  <c r="X258" i="4" s="1"/>
  <c r="N259" i="4"/>
  <c r="O257" i="4" s="1"/>
  <c r="N260" i="4"/>
  <c r="X260" i="4" s="1"/>
  <c r="N261" i="4"/>
  <c r="X261" i="4" s="1"/>
  <c r="N262" i="4"/>
  <c r="X262" i="4" s="1"/>
  <c r="N263" i="4"/>
  <c r="O261" i="4" s="1"/>
  <c r="N264" i="4"/>
  <c r="X264" i="4" s="1"/>
  <c r="N265" i="4"/>
  <c r="O263" i="4" s="1"/>
  <c r="N266" i="4"/>
  <c r="X266" i="4" s="1"/>
  <c r="N267" i="4"/>
  <c r="N268" i="4"/>
  <c r="X268" i="4" s="1"/>
  <c r="N269" i="4"/>
  <c r="X269" i="4" s="1"/>
  <c r="N270" i="4"/>
  <c r="X270" i="4" s="1"/>
  <c r="N271" i="4"/>
  <c r="N272" i="4"/>
  <c r="X272" i="4" s="1"/>
  <c r="N273" i="4"/>
  <c r="X273" i="4" s="1"/>
  <c r="N274" i="4"/>
  <c r="O272" i="4" s="1"/>
  <c r="N275" i="4"/>
  <c r="O273" i="4" s="1"/>
  <c r="N276" i="4"/>
  <c r="X276" i="4" s="1"/>
  <c r="N277" i="4"/>
  <c r="X277" i="4" s="1"/>
  <c r="N278" i="4"/>
  <c r="X278" i="4" s="1"/>
  <c r="N279" i="4"/>
  <c r="O277" i="4" s="1"/>
  <c r="N280" i="4"/>
  <c r="X280" i="4" s="1"/>
  <c r="N281" i="4"/>
  <c r="X281" i="4" s="1"/>
  <c r="N282" i="4"/>
  <c r="X282" i="4" s="1"/>
  <c r="N283" i="4"/>
  <c r="N284" i="4"/>
  <c r="X284" i="4" s="1"/>
  <c r="N285" i="4"/>
  <c r="O283" i="4" s="1"/>
  <c r="N286" i="4"/>
  <c r="O284" i="4" s="1"/>
  <c r="N287" i="4"/>
  <c r="N288" i="4"/>
  <c r="X288" i="4" s="1"/>
  <c r="N289" i="4"/>
  <c r="X289" i="4" s="1"/>
  <c r="N290" i="4"/>
  <c r="X290" i="4" s="1"/>
  <c r="N291" i="4"/>
  <c r="O289" i="4" s="1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W21" i="3"/>
  <c r="W22" i="3"/>
  <c r="W23" i="3"/>
  <c r="W24" i="3"/>
  <c r="W25" i="3"/>
  <c r="W26" i="3"/>
  <c r="W27" i="3"/>
  <c r="W28" i="3"/>
  <c r="T21" i="3"/>
  <c r="T22" i="3"/>
  <c r="T23" i="3"/>
  <c r="T24" i="3"/>
  <c r="T25" i="3"/>
  <c r="T26" i="3"/>
  <c r="T27" i="3"/>
  <c r="S21" i="3"/>
  <c r="S22" i="3"/>
  <c r="S23" i="3"/>
  <c r="S24" i="3"/>
  <c r="S25" i="3"/>
  <c r="S26" i="3"/>
  <c r="S27" i="3"/>
  <c r="R21" i="3"/>
  <c r="R22" i="3"/>
  <c r="R23" i="3"/>
  <c r="R24" i="3"/>
  <c r="R25" i="3"/>
  <c r="R26" i="3"/>
  <c r="R27" i="3"/>
  <c r="Q21" i="3"/>
  <c r="Q22" i="3"/>
  <c r="Q23" i="3"/>
  <c r="Q24" i="3"/>
  <c r="Q25" i="3"/>
  <c r="Q26" i="3"/>
  <c r="Q27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28" i="3"/>
  <c r="P21" i="3"/>
  <c r="P22" i="3"/>
  <c r="P23" i="3"/>
  <c r="P24" i="3"/>
  <c r="P25" i="3"/>
  <c r="P26" i="3"/>
  <c r="P27" i="3"/>
  <c r="N21" i="3"/>
  <c r="N22" i="3"/>
  <c r="O20" i="3" s="1"/>
  <c r="N23" i="3"/>
  <c r="N24" i="3"/>
  <c r="N25" i="3"/>
  <c r="N26" i="3"/>
  <c r="O26" i="3" s="1"/>
  <c r="N27" i="3"/>
  <c r="O27" i="3" s="1"/>
  <c r="N28" i="3"/>
  <c r="N29" i="3"/>
  <c r="O29" i="3" s="1"/>
  <c r="N30" i="3"/>
  <c r="O30" i="3" s="1"/>
  <c r="N31" i="3"/>
  <c r="O31" i="3" s="1"/>
  <c r="N32" i="3"/>
  <c r="N33" i="3"/>
  <c r="N34" i="3"/>
  <c r="O34" i="3" s="1"/>
  <c r="N35" i="3"/>
  <c r="N36" i="3"/>
  <c r="N37" i="3"/>
  <c r="N38" i="3"/>
  <c r="O38" i="3" s="1"/>
  <c r="N39" i="3"/>
  <c r="N40" i="3"/>
  <c r="N41" i="3"/>
  <c r="O41" i="3" s="1"/>
  <c r="N42" i="3"/>
  <c r="O42" i="3" s="1"/>
  <c r="N43" i="3"/>
  <c r="O43" i="3" s="1"/>
  <c r="N44" i="3"/>
  <c r="N45" i="3"/>
  <c r="N46" i="3"/>
  <c r="O46" i="3" s="1"/>
  <c r="N47" i="3"/>
  <c r="X47" i="3" s="1"/>
  <c r="N48" i="3"/>
  <c r="N49" i="3"/>
  <c r="N50" i="3"/>
  <c r="O50" i="3" s="1"/>
  <c r="N51" i="3"/>
  <c r="N52" i="3"/>
  <c r="N53" i="3"/>
  <c r="O53" i="3" s="1"/>
  <c r="N54" i="3"/>
  <c r="O54" i="3" s="1"/>
  <c r="N55" i="3"/>
  <c r="N56" i="3"/>
  <c r="N57" i="3"/>
  <c r="N58" i="3"/>
  <c r="O58" i="3" s="1"/>
  <c r="N59" i="3"/>
  <c r="O59" i="3" s="1"/>
  <c r="N60" i="3"/>
  <c r="N61" i="3"/>
  <c r="O61" i="3" s="1"/>
  <c r="N62" i="3"/>
  <c r="O62" i="3" s="1"/>
  <c r="N63" i="3"/>
  <c r="O63" i="3" s="1"/>
  <c r="N64" i="3"/>
  <c r="N65" i="3"/>
  <c r="N66" i="3"/>
  <c r="O66" i="3" s="1"/>
  <c r="N67" i="3"/>
  <c r="N68" i="3"/>
  <c r="N69" i="3"/>
  <c r="X69" i="3" s="1"/>
  <c r="N70" i="3"/>
  <c r="O70" i="3" s="1"/>
  <c r="N71" i="3"/>
  <c r="N72" i="3"/>
  <c r="N73" i="3"/>
  <c r="O73" i="3" s="1"/>
  <c r="N74" i="3"/>
  <c r="O74" i="3" s="1"/>
  <c r="N75" i="3"/>
  <c r="O75" i="3" s="1"/>
  <c r="N76" i="3"/>
  <c r="N77" i="3"/>
  <c r="N78" i="3"/>
  <c r="O78" i="3" s="1"/>
  <c r="N79" i="3"/>
  <c r="O79" i="3" s="1"/>
  <c r="N80" i="3"/>
  <c r="N81" i="3"/>
  <c r="N82" i="3"/>
  <c r="X82" i="3" s="1"/>
  <c r="N83" i="3"/>
  <c r="N84" i="3"/>
  <c r="N85" i="3"/>
  <c r="O85" i="3" s="1"/>
  <c r="N86" i="3"/>
  <c r="O86" i="3" s="1"/>
  <c r="N87" i="3"/>
  <c r="N88" i="3"/>
  <c r="N89" i="3"/>
  <c r="N90" i="3"/>
  <c r="O90" i="3" s="1"/>
  <c r="N91" i="3"/>
  <c r="O91" i="3" s="1"/>
  <c r="N92" i="3"/>
  <c r="N93" i="3"/>
  <c r="O93" i="3" s="1"/>
  <c r="N94" i="3"/>
  <c r="O94" i="3" s="1"/>
  <c r="N95" i="3"/>
  <c r="O95" i="3" s="1"/>
  <c r="N96" i="3"/>
  <c r="N97" i="3"/>
  <c r="N98" i="3"/>
  <c r="O98" i="3" s="1"/>
  <c r="N99" i="3"/>
  <c r="N100" i="3"/>
  <c r="N101" i="3"/>
  <c r="N102" i="3"/>
  <c r="O102" i="3" s="1"/>
  <c r="N103" i="3"/>
  <c r="N104" i="3"/>
  <c r="N105" i="3"/>
  <c r="O105" i="3" s="1"/>
  <c r="N106" i="3"/>
  <c r="O106" i="3" s="1"/>
  <c r="N107" i="3"/>
  <c r="O107" i="3" s="1"/>
  <c r="N108" i="3"/>
  <c r="N109" i="3"/>
  <c r="N110" i="3"/>
  <c r="O110" i="3" s="1"/>
  <c r="N111" i="3"/>
  <c r="O111" i="3" s="1"/>
  <c r="N112" i="3"/>
  <c r="N113" i="3"/>
  <c r="N114" i="3"/>
  <c r="O114" i="3" s="1"/>
  <c r="N115" i="3"/>
  <c r="N116" i="3"/>
  <c r="N117" i="3"/>
  <c r="O117" i="3" s="1"/>
  <c r="N118" i="3"/>
  <c r="O118" i="3" s="1"/>
  <c r="N119" i="3"/>
  <c r="N120" i="3"/>
  <c r="N121" i="3"/>
  <c r="N122" i="3"/>
  <c r="O122" i="3" s="1"/>
  <c r="N123" i="3"/>
  <c r="X123" i="3" s="1"/>
  <c r="N124" i="3"/>
  <c r="N125" i="3"/>
  <c r="O125" i="3" s="1"/>
  <c r="N126" i="3"/>
  <c r="O126" i="3" s="1"/>
  <c r="N127" i="3"/>
  <c r="X127" i="3" s="1"/>
  <c r="N128" i="3"/>
  <c r="N129" i="3"/>
  <c r="N130" i="3"/>
  <c r="O130" i="3" s="1"/>
  <c r="N131" i="3"/>
  <c r="N132" i="3"/>
  <c r="N133" i="3"/>
  <c r="N134" i="3"/>
  <c r="O134" i="3" s="1"/>
  <c r="N135" i="3"/>
  <c r="N136" i="3"/>
  <c r="N137" i="3"/>
  <c r="O137" i="3" s="1"/>
  <c r="N138" i="3"/>
  <c r="O138" i="3" s="1"/>
  <c r="N139" i="3"/>
  <c r="O139" i="3" s="1"/>
  <c r="N140" i="3"/>
  <c r="N141" i="3"/>
  <c r="N142" i="3"/>
  <c r="O142" i="3" s="1"/>
  <c r="N143" i="3"/>
  <c r="O143" i="3" s="1"/>
  <c r="N144" i="3"/>
  <c r="N145" i="3"/>
  <c r="N146" i="3"/>
  <c r="O146" i="3" s="1"/>
  <c r="N147" i="3"/>
  <c r="N148" i="3"/>
  <c r="N149" i="3"/>
  <c r="O149" i="3" s="1"/>
  <c r="N150" i="3"/>
  <c r="O150" i="3" s="1"/>
  <c r="N151" i="3"/>
  <c r="N152" i="3"/>
  <c r="N153" i="3"/>
  <c r="X153" i="3" s="1"/>
  <c r="N154" i="3"/>
  <c r="O154" i="3" s="1"/>
  <c r="N155" i="3"/>
  <c r="O155" i="3" s="1"/>
  <c r="N156" i="3"/>
  <c r="N157" i="3"/>
  <c r="O157" i="3" s="1"/>
  <c r="N158" i="3"/>
  <c r="X158" i="3" s="1"/>
  <c r="N159" i="3"/>
  <c r="O159" i="3" s="1"/>
  <c r="N160" i="3"/>
  <c r="N161" i="3"/>
  <c r="N162" i="3"/>
  <c r="O162" i="3" s="1"/>
  <c r="N163" i="3"/>
  <c r="N164" i="3"/>
  <c r="N165" i="3"/>
  <c r="N166" i="3"/>
  <c r="O166" i="3" s="1"/>
  <c r="N167" i="3"/>
  <c r="N168" i="3"/>
  <c r="N169" i="3"/>
  <c r="O169" i="3" s="1"/>
  <c r="N170" i="3"/>
  <c r="O170" i="3" s="1"/>
  <c r="N171" i="3"/>
  <c r="O171" i="3" s="1"/>
  <c r="N172" i="3"/>
  <c r="N173" i="3"/>
  <c r="X173" i="3" s="1"/>
  <c r="N174" i="3"/>
  <c r="O174" i="3" s="1"/>
  <c r="N175" i="3"/>
  <c r="O175" i="3" s="1"/>
  <c r="N176" i="3"/>
  <c r="N177" i="3"/>
  <c r="N178" i="3"/>
  <c r="O178" i="3" s="1"/>
  <c r="N179" i="3"/>
  <c r="N180" i="3"/>
  <c r="N181" i="3"/>
  <c r="O181" i="3" s="1"/>
  <c r="N182" i="3"/>
  <c r="O182" i="3" s="1"/>
  <c r="N183" i="3"/>
  <c r="N184" i="3"/>
  <c r="N185" i="3"/>
  <c r="N186" i="3"/>
  <c r="O186" i="3" s="1"/>
  <c r="N187" i="3"/>
  <c r="O187" i="3" s="1"/>
  <c r="N188" i="3"/>
  <c r="N189" i="3"/>
  <c r="O189" i="3" s="1"/>
  <c r="N190" i="3"/>
  <c r="O190" i="3" s="1"/>
  <c r="N191" i="3"/>
  <c r="O191" i="3" s="1"/>
  <c r="N192" i="3"/>
  <c r="N193" i="3"/>
  <c r="N194" i="3"/>
  <c r="O194" i="3" s="1"/>
  <c r="N195" i="3"/>
  <c r="N196" i="3"/>
  <c r="N197" i="3"/>
  <c r="X197" i="3" s="1"/>
  <c r="N198" i="3"/>
  <c r="O198" i="3" s="1"/>
  <c r="N199" i="3"/>
  <c r="N200" i="3"/>
  <c r="N201" i="3"/>
  <c r="O201" i="3" s="1"/>
  <c r="N202" i="3"/>
  <c r="O202" i="3" s="1"/>
  <c r="N203" i="3"/>
  <c r="O203" i="3" s="1"/>
  <c r="N204" i="3"/>
  <c r="N205" i="3"/>
  <c r="N206" i="3"/>
  <c r="O206" i="3" s="1"/>
  <c r="N207" i="3"/>
  <c r="O207" i="3" s="1"/>
  <c r="N208" i="3"/>
  <c r="N209" i="3"/>
  <c r="N210" i="3"/>
  <c r="O210" i="3" s="1"/>
  <c r="N211" i="3"/>
  <c r="N212" i="3"/>
  <c r="N213" i="3"/>
  <c r="O213" i="3" s="1"/>
  <c r="N214" i="3"/>
  <c r="O214" i="3" s="1"/>
  <c r="N215" i="3"/>
  <c r="N216" i="3"/>
  <c r="N217" i="3"/>
  <c r="N218" i="3"/>
  <c r="O218" i="3" s="1"/>
  <c r="N219" i="3"/>
  <c r="O219" i="3" s="1"/>
  <c r="N220" i="3"/>
  <c r="N221" i="3"/>
  <c r="O221" i="3" s="1"/>
  <c r="N222" i="3"/>
  <c r="X222" i="3" s="1"/>
  <c r="N223" i="3"/>
  <c r="O223" i="3" s="1"/>
  <c r="N224" i="3"/>
  <c r="N225" i="3"/>
  <c r="N226" i="3"/>
  <c r="O226" i="3" s="1"/>
  <c r="N227" i="3"/>
  <c r="N228" i="3"/>
  <c r="N229" i="3"/>
  <c r="X229" i="3" s="1"/>
  <c r="N230" i="3"/>
  <c r="O230" i="3" s="1"/>
  <c r="N231" i="3"/>
  <c r="N232" i="3"/>
  <c r="N233" i="3"/>
  <c r="O233" i="3" s="1"/>
  <c r="N234" i="3"/>
  <c r="O234" i="3" s="1"/>
  <c r="N235" i="3"/>
  <c r="O235" i="3" s="1"/>
  <c r="N236" i="3"/>
  <c r="N237" i="3"/>
  <c r="N238" i="3"/>
  <c r="O238" i="3" s="1"/>
  <c r="N239" i="3"/>
  <c r="O239" i="3" s="1"/>
  <c r="N240" i="3"/>
  <c r="N241" i="3"/>
  <c r="X241" i="3" s="1"/>
  <c r="N242" i="3"/>
  <c r="X242" i="3" s="1"/>
  <c r="N243" i="3"/>
  <c r="N244" i="3"/>
  <c r="N245" i="3"/>
  <c r="O245" i="3" s="1"/>
  <c r="N246" i="3"/>
  <c r="O246" i="3" s="1"/>
  <c r="N247" i="3"/>
  <c r="N248" i="3"/>
  <c r="N249" i="3"/>
  <c r="X249" i="3" s="1"/>
  <c r="N250" i="3"/>
  <c r="O250" i="3" s="1"/>
  <c r="N251" i="3"/>
  <c r="O251" i="3" s="1"/>
  <c r="N252" i="3"/>
  <c r="N253" i="3"/>
  <c r="O253" i="3" s="1"/>
  <c r="N254" i="3"/>
  <c r="O254" i="3" s="1"/>
  <c r="N255" i="3"/>
  <c r="O255" i="3" s="1"/>
  <c r="N256" i="3"/>
  <c r="N257" i="3"/>
  <c r="X257" i="3" s="1"/>
  <c r="N258" i="3"/>
  <c r="O258" i="3" s="1"/>
  <c r="N259" i="3"/>
  <c r="N260" i="3"/>
  <c r="N261" i="3"/>
  <c r="N262" i="3"/>
  <c r="O262" i="3" s="1"/>
  <c r="N263" i="3"/>
  <c r="N264" i="3"/>
  <c r="N265" i="3"/>
  <c r="O265" i="3" s="1"/>
  <c r="N266" i="3"/>
  <c r="O266" i="3" s="1"/>
  <c r="N267" i="3"/>
  <c r="O267" i="3" s="1"/>
  <c r="N268" i="3"/>
  <c r="N269" i="3"/>
  <c r="N270" i="3"/>
  <c r="O270" i="3" s="1"/>
  <c r="N271" i="3"/>
  <c r="O271" i="3" s="1"/>
  <c r="N272" i="3"/>
  <c r="N273" i="3"/>
  <c r="N274" i="3"/>
  <c r="O274" i="3" s="1"/>
  <c r="N275" i="3"/>
  <c r="N276" i="3"/>
  <c r="N277" i="3"/>
  <c r="O277" i="3" s="1"/>
  <c r="N278" i="3"/>
  <c r="X278" i="3" s="1"/>
  <c r="N279" i="3"/>
  <c r="N280" i="3"/>
  <c r="N281" i="3"/>
  <c r="N282" i="3"/>
  <c r="O282" i="3" s="1"/>
  <c r="N283" i="3"/>
  <c r="O283" i="3" s="1"/>
  <c r="N284" i="3"/>
  <c r="N285" i="3"/>
  <c r="O285" i="3" s="1"/>
  <c r="N286" i="3"/>
  <c r="O286" i="3" s="1"/>
  <c r="N287" i="3"/>
  <c r="O287" i="3" s="1"/>
  <c r="N288" i="3"/>
  <c r="N289" i="3"/>
  <c r="N290" i="3"/>
  <c r="O290" i="3" s="1"/>
  <c r="N291" i="3"/>
  <c r="N292" i="3"/>
  <c r="N293" i="3"/>
  <c r="N294" i="3"/>
  <c r="O294" i="3" s="1"/>
  <c r="N295" i="3"/>
  <c r="N296" i="3"/>
  <c r="N297" i="3"/>
  <c r="O297" i="3" s="1"/>
  <c r="N298" i="3"/>
  <c r="O298" i="3" s="1"/>
  <c r="N299" i="3"/>
  <c r="O299" i="3" s="1"/>
  <c r="N300" i="3"/>
  <c r="N301" i="3"/>
  <c r="N302" i="3"/>
  <c r="O302" i="3" s="1"/>
  <c r="N303" i="3"/>
  <c r="O303" i="3" s="1"/>
  <c r="N304" i="3"/>
  <c r="N305" i="3"/>
  <c r="N306" i="3"/>
  <c r="X306" i="3" s="1"/>
  <c r="N307" i="3"/>
  <c r="N308" i="3"/>
  <c r="N309" i="3"/>
  <c r="O309" i="3" s="1"/>
  <c r="N310" i="3"/>
  <c r="O310" i="3" s="1"/>
  <c r="N311" i="3"/>
  <c r="N312" i="3"/>
  <c r="N313" i="3"/>
  <c r="N314" i="3"/>
  <c r="O314" i="3" s="1"/>
  <c r="N315" i="3"/>
  <c r="X315" i="3" s="1"/>
  <c r="N316" i="3"/>
  <c r="N317" i="3"/>
  <c r="O317" i="3" s="1"/>
  <c r="N318" i="3"/>
  <c r="O318" i="3" s="1"/>
  <c r="N319" i="3"/>
  <c r="O319" i="3" s="1"/>
  <c r="N320" i="3"/>
  <c r="N321" i="3"/>
  <c r="N322" i="3"/>
  <c r="O322" i="3" s="1"/>
  <c r="N323" i="3"/>
  <c r="N324" i="3"/>
  <c r="N325" i="3"/>
  <c r="X325" i="3" s="1"/>
  <c r="N326" i="3"/>
  <c r="O326" i="3" s="1"/>
  <c r="N327" i="3"/>
  <c r="N328" i="3"/>
  <c r="N329" i="3"/>
  <c r="O329" i="3" s="1"/>
  <c r="N330" i="3"/>
  <c r="O330" i="3" s="1"/>
  <c r="N331" i="3"/>
  <c r="X331" i="3" s="1"/>
  <c r="N332" i="3"/>
  <c r="N333" i="3"/>
  <c r="X333" i="3" s="1"/>
  <c r="N334" i="3"/>
  <c r="O334" i="3" s="1"/>
  <c r="N335" i="3"/>
  <c r="O335" i="3" s="1"/>
  <c r="N336" i="3"/>
  <c r="N337" i="3"/>
  <c r="X337" i="3" s="1"/>
  <c r="N338" i="3"/>
  <c r="X338" i="3" s="1"/>
  <c r="N339" i="3"/>
  <c r="O339" i="3" s="1"/>
  <c r="N340" i="3"/>
  <c r="N341" i="3"/>
  <c r="N342" i="3"/>
  <c r="X342" i="3" s="1"/>
  <c r="N343" i="3"/>
  <c r="O343" i="3" s="1"/>
  <c r="N344" i="3"/>
  <c r="N345" i="3"/>
  <c r="N346" i="3"/>
  <c r="O346" i="3" s="1"/>
  <c r="N347" i="3"/>
  <c r="O347" i="3" s="1"/>
  <c r="N348" i="3"/>
  <c r="N349" i="3"/>
  <c r="N350" i="3"/>
  <c r="O350" i="3" s="1"/>
  <c r="N351" i="3"/>
  <c r="X351" i="3" s="1"/>
  <c r="N352" i="3"/>
  <c r="N353" i="3"/>
  <c r="O353" i="3" s="1"/>
  <c r="N354" i="3"/>
  <c r="O354" i="3" s="1"/>
  <c r="N355" i="3"/>
  <c r="O355" i="3" s="1"/>
  <c r="N356" i="3"/>
  <c r="N357" i="3"/>
  <c r="N358" i="3"/>
  <c r="O358" i="3" s="1"/>
  <c r="N359" i="3"/>
  <c r="O359" i="3" s="1"/>
  <c r="N360" i="3"/>
  <c r="O360" i="3" s="1"/>
  <c r="N361" i="3"/>
  <c r="O361" i="3" s="1"/>
  <c r="N362" i="3"/>
  <c r="N363" i="3"/>
  <c r="O363" i="3" s="1"/>
  <c r="N364" i="3"/>
  <c r="O364" i="3" s="1"/>
  <c r="N365" i="3"/>
  <c r="N366" i="3"/>
  <c r="O366" i="3" s="1"/>
  <c r="N367" i="3"/>
  <c r="O367" i="3" s="1"/>
  <c r="N368" i="3"/>
  <c r="O368" i="3" s="1"/>
  <c r="N369" i="3"/>
  <c r="O369" i="3" s="1"/>
  <c r="W19" i="7"/>
  <c r="V19" i="7"/>
  <c r="T19" i="7"/>
  <c r="S19" i="7"/>
  <c r="R19" i="7"/>
  <c r="Q19" i="7"/>
  <c r="O8" i="7" s="1"/>
  <c r="S19" i="6"/>
  <c r="R19" i="6"/>
  <c r="Q19" i="6"/>
  <c r="W18" i="5"/>
  <c r="T18" i="5"/>
  <c r="S18" i="5"/>
  <c r="R18" i="5"/>
  <c r="Q18" i="5"/>
  <c r="W19" i="4"/>
  <c r="V19" i="4"/>
  <c r="T19" i="4"/>
  <c r="S19" i="4"/>
  <c r="R19" i="4"/>
  <c r="Q19" i="4"/>
  <c r="T28" i="3"/>
  <c r="S28" i="3"/>
  <c r="R28" i="3"/>
  <c r="Q28" i="3"/>
  <c r="W20" i="3"/>
  <c r="T20" i="3"/>
  <c r="Q20" i="3"/>
  <c r="R20" i="3"/>
  <c r="S20" i="3"/>
  <c r="P20" i="3"/>
  <c r="N18" i="2"/>
  <c r="N19" i="7"/>
  <c r="O19" i="7" s="1"/>
  <c r="N19" i="6"/>
  <c r="X19" i="6" s="1"/>
  <c r="N18" i="5"/>
  <c r="N19" i="4"/>
  <c r="X19" i="4" s="1"/>
  <c r="N20" i="3"/>
  <c r="L19" i="2"/>
  <c r="L20" i="2"/>
  <c r="L21" i="2"/>
  <c r="M20" i="2" s="1"/>
  <c r="L22" i="2"/>
  <c r="M21" i="2" s="1"/>
  <c r="L23" i="2"/>
  <c r="M22" i="2" s="1"/>
  <c r="L24" i="2"/>
  <c r="M23" i="2" s="1"/>
  <c r="L25" i="2"/>
  <c r="L26" i="2"/>
  <c r="M25" i="2" s="1"/>
  <c r="L27" i="2"/>
  <c r="M26" i="2" s="1"/>
  <c r="L28" i="2"/>
  <c r="M27" i="2" s="1"/>
  <c r="L29" i="2"/>
  <c r="M28" i="2" s="1"/>
  <c r="L30" i="2"/>
  <c r="M29" i="2" s="1"/>
  <c r="L31" i="2"/>
  <c r="M30" i="2" s="1"/>
  <c r="L32" i="2"/>
  <c r="L33" i="2"/>
  <c r="M32" i="2" s="1"/>
  <c r="L34" i="2"/>
  <c r="M33" i="2" s="1"/>
  <c r="L35" i="2"/>
  <c r="M34" i="2" s="1"/>
  <c r="L36" i="2"/>
  <c r="L37" i="2"/>
  <c r="M36" i="2" s="1"/>
  <c r="L38" i="2"/>
  <c r="M37" i="2" s="1"/>
  <c r="L39" i="2"/>
  <c r="M38" i="2" s="1"/>
  <c r="L40" i="2"/>
  <c r="M39" i="2" s="1"/>
  <c r="L41" i="2"/>
  <c r="L42" i="2"/>
  <c r="M41" i="2" s="1"/>
  <c r="L43" i="2"/>
  <c r="M42" i="2" s="1"/>
  <c r="L44" i="2"/>
  <c r="L45" i="2"/>
  <c r="M44" i="2" s="1"/>
  <c r="L46" i="2"/>
  <c r="M45" i="2" s="1"/>
  <c r="L47" i="2"/>
  <c r="M46" i="2" s="1"/>
  <c r="L48" i="2"/>
  <c r="M47" i="2" s="1"/>
  <c r="L49" i="2"/>
  <c r="M48" i="2" s="1"/>
  <c r="L50" i="2"/>
  <c r="M49" i="2" s="1"/>
  <c r="L51" i="2"/>
  <c r="M50" i="2" s="1"/>
  <c r="L52" i="2"/>
  <c r="L53" i="2"/>
  <c r="M52" i="2" s="1"/>
  <c r="L54" i="2"/>
  <c r="M53" i="2" s="1"/>
  <c r="L55" i="2"/>
  <c r="M54" i="2" s="1"/>
  <c r="L56" i="2"/>
  <c r="M55" i="2" s="1"/>
  <c r="L57" i="2"/>
  <c r="L58" i="2"/>
  <c r="M57" i="2" s="1"/>
  <c r="L59" i="2"/>
  <c r="M58" i="2" s="1"/>
  <c r="L60" i="2"/>
  <c r="M59" i="2" s="1"/>
  <c r="L61" i="2"/>
  <c r="M60" i="2" s="1"/>
  <c r="L62" i="2"/>
  <c r="M61" i="2" s="1"/>
  <c r="L63" i="2"/>
  <c r="M62" i="2" s="1"/>
  <c r="L64" i="2"/>
  <c r="M63" i="2" s="1"/>
  <c r="L65" i="2"/>
  <c r="M64" i="2" s="1"/>
  <c r="L66" i="2"/>
  <c r="M65" i="2" s="1"/>
  <c r="L67" i="2"/>
  <c r="M66" i="2" s="1"/>
  <c r="L68" i="2"/>
  <c r="L69" i="2"/>
  <c r="M68" i="2" s="1"/>
  <c r="L70" i="2"/>
  <c r="M69" i="2" s="1"/>
  <c r="L71" i="2"/>
  <c r="M70" i="2" s="1"/>
  <c r="L72" i="2"/>
  <c r="L73" i="2"/>
  <c r="M72" i="2" s="1"/>
  <c r="L74" i="2"/>
  <c r="M73" i="2" s="1"/>
  <c r="L75" i="2"/>
  <c r="M74" i="2" s="1"/>
  <c r="L76" i="2"/>
  <c r="M75" i="2" s="1"/>
  <c r="L77" i="2"/>
  <c r="M76" i="2" s="1"/>
  <c r="L78" i="2"/>
  <c r="M77" i="2" s="1"/>
  <c r="L79" i="2"/>
  <c r="M78" i="2" s="1"/>
  <c r="L80" i="2"/>
  <c r="M79" i="2" s="1"/>
  <c r="L81" i="2"/>
  <c r="M80" i="2" s="1"/>
  <c r="L82" i="2"/>
  <c r="M81" i="2" s="1"/>
  <c r="L83" i="2"/>
  <c r="M82" i="2" s="1"/>
  <c r="L84" i="2"/>
  <c r="M83" i="2" s="1"/>
  <c r="L85" i="2"/>
  <c r="M84" i="2" s="1"/>
  <c r="L86" i="2"/>
  <c r="M85" i="2" s="1"/>
  <c r="L87" i="2"/>
  <c r="M86" i="2" s="1"/>
  <c r="L88" i="2"/>
  <c r="L89" i="2"/>
  <c r="M88" i="2" s="1"/>
  <c r="L90" i="2"/>
  <c r="M89" i="2" s="1"/>
  <c r="L91" i="2"/>
  <c r="M90" i="2" s="1"/>
  <c r="L92" i="2"/>
  <c r="M91" i="2" s="1"/>
  <c r="L93" i="2"/>
  <c r="M92" i="2" s="1"/>
  <c r="L94" i="2"/>
  <c r="M93" i="2" s="1"/>
  <c r="L95" i="2"/>
  <c r="M94" i="2" s="1"/>
  <c r="L96" i="2"/>
  <c r="M95" i="2" s="1"/>
  <c r="L97" i="2"/>
  <c r="M96" i="2" s="1"/>
  <c r="L98" i="2"/>
  <c r="M97" i="2" s="1"/>
  <c r="L99" i="2"/>
  <c r="M98" i="2" s="1"/>
  <c r="L100" i="2"/>
  <c r="M99" i="2" s="1"/>
  <c r="L101" i="2"/>
  <c r="M100" i="2" s="1"/>
  <c r="L102" i="2"/>
  <c r="M101" i="2" s="1"/>
  <c r="L103" i="2"/>
  <c r="M102" i="2" s="1"/>
  <c r="L104" i="2"/>
  <c r="M103" i="2" s="1"/>
  <c r="L105" i="2"/>
  <c r="M104" i="2" s="1"/>
  <c r="L106" i="2"/>
  <c r="M105" i="2" s="1"/>
  <c r="L107" i="2"/>
  <c r="M106" i="2" s="1"/>
  <c r="L108" i="2"/>
  <c r="M107" i="2" s="1"/>
  <c r="L109" i="2"/>
  <c r="M108" i="2" s="1"/>
  <c r="L110" i="2"/>
  <c r="M109" i="2" s="1"/>
  <c r="L111" i="2"/>
  <c r="M110" i="2" s="1"/>
  <c r="L112" i="2"/>
  <c r="M111" i="2" s="1"/>
  <c r="L113" i="2"/>
  <c r="M112" i="2" s="1"/>
  <c r="L114" i="2"/>
  <c r="M113" i="2" s="1"/>
  <c r="L115" i="2"/>
  <c r="M114" i="2" s="1"/>
  <c r="L116" i="2"/>
  <c r="M115" i="2" s="1"/>
  <c r="L117" i="2"/>
  <c r="M116" i="2" s="1"/>
  <c r="L118" i="2"/>
  <c r="M117" i="2" s="1"/>
  <c r="L119" i="2"/>
  <c r="M118" i="2" s="1"/>
  <c r="L120" i="2"/>
  <c r="L121" i="2"/>
  <c r="M120" i="2" s="1"/>
  <c r="L122" i="2"/>
  <c r="M121" i="2" s="1"/>
  <c r="L123" i="2"/>
  <c r="M122" i="2" s="1"/>
  <c r="L124" i="2"/>
  <c r="M123" i="2" s="1"/>
  <c r="L125" i="2"/>
  <c r="M124" i="2" s="1"/>
  <c r="L126" i="2"/>
  <c r="M125" i="2" s="1"/>
  <c r="L127" i="2"/>
  <c r="M126" i="2" s="1"/>
  <c r="L128" i="2"/>
  <c r="M127" i="2" s="1"/>
  <c r="L129" i="2"/>
  <c r="M128" i="2" s="1"/>
  <c r="L130" i="2"/>
  <c r="M129" i="2" s="1"/>
  <c r="L131" i="2"/>
  <c r="M130" i="2" s="1"/>
  <c r="L132" i="2"/>
  <c r="M131" i="2" s="1"/>
  <c r="L133" i="2"/>
  <c r="M132" i="2" s="1"/>
  <c r="L134" i="2"/>
  <c r="M133" i="2" s="1"/>
  <c r="L135" i="2"/>
  <c r="M134" i="2" s="1"/>
  <c r="L136" i="2"/>
  <c r="L137" i="2"/>
  <c r="M136" i="2" s="1"/>
  <c r="L138" i="2"/>
  <c r="M137" i="2" s="1"/>
  <c r="L139" i="2"/>
  <c r="M138" i="2" s="1"/>
  <c r="L140" i="2"/>
  <c r="M139" i="2" s="1"/>
  <c r="L141" i="2"/>
  <c r="M140" i="2" s="1"/>
  <c r="L142" i="2"/>
  <c r="M141" i="2" s="1"/>
  <c r="L143" i="2"/>
  <c r="M142" i="2" s="1"/>
  <c r="L144" i="2"/>
  <c r="M143" i="2" s="1"/>
  <c r="L145" i="2"/>
  <c r="M144" i="2" s="1"/>
  <c r="L146" i="2"/>
  <c r="M145" i="2" s="1"/>
  <c r="L147" i="2"/>
  <c r="M146" i="2" s="1"/>
  <c r="L148" i="2"/>
  <c r="M147" i="2" s="1"/>
  <c r="L149" i="2"/>
  <c r="M148" i="2" s="1"/>
  <c r="L150" i="2"/>
  <c r="M149" i="2" s="1"/>
  <c r="L151" i="2"/>
  <c r="M150" i="2" s="1"/>
  <c r="L152" i="2"/>
  <c r="L153" i="2"/>
  <c r="M152" i="2" s="1"/>
  <c r="L154" i="2"/>
  <c r="M153" i="2" s="1"/>
  <c r="L155" i="2"/>
  <c r="M154" i="2" s="1"/>
  <c r="L156" i="2"/>
  <c r="M155" i="2" s="1"/>
  <c r="L157" i="2"/>
  <c r="M156" i="2" s="1"/>
  <c r="L158" i="2"/>
  <c r="M157" i="2" s="1"/>
  <c r="L159" i="2"/>
  <c r="M158" i="2" s="1"/>
  <c r="L160" i="2"/>
  <c r="M159" i="2" s="1"/>
  <c r="L161" i="2"/>
  <c r="M160" i="2" s="1"/>
  <c r="L162" i="2"/>
  <c r="M161" i="2" s="1"/>
  <c r="L163" i="2"/>
  <c r="M162" i="2" s="1"/>
  <c r="L164" i="2"/>
  <c r="M163" i="2" s="1"/>
  <c r="L165" i="2"/>
  <c r="M164" i="2" s="1"/>
  <c r="L166" i="2"/>
  <c r="M165" i="2" s="1"/>
  <c r="L167" i="2"/>
  <c r="M166" i="2" s="1"/>
  <c r="L168" i="2"/>
  <c r="L169" i="2"/>
  <c r="M168" i="2" s="1"/>
  <c r="L170" i="2"/>
  <c r="M169" i="2" s="1"/>
  <c r="L171" i="2"/>
  <c r="M170" i="2" s="1"/>
  <c r="L172" i="2"/>
  <c r="M171" i="2" s="1"/>
  <c r="L173" i="2"/>
  <c r="M172" i="2" s="1"/>
  <c r="L174" i="2"/>
  <c r="M173" i="2" s="1"/>
  <c r="L175" i="2"/>
  <c r="M174" i="2" s="1"/>
  <c r="L176" i="2"/>
  <c r="M175" i="2" s="1"/>
  <c r="L177" i="2"/>
  <c r="M176" i="2" s="1"/>
  <c r="L178" i="2"/>
  <c r="M177" i="2" s="1"/>
  <c r="L179" i="2"/>
  <c r="M178" i="2" s="1"/>
  <c r="L180" i="2"/>
  <c r="M179" i="2" s="1"/>
  <c r="L181" i="2"/>
  <c r="M180" i="2" s="1"/>
  <c r="L182" i="2"/>
  <c r="M181" i="2" s="1"/>
  <c r="L183" i="2"/>
  <c r="M182" i="2" s="1"/>
  <c r="L184" i="2"/>
  <c r="M183" i="2" s="1"/>
  <c r="L185" i="2"/>
  <c r="M184" i="2" s="1"/>
  <c r="L186" i="2"/>
  <c r="M185" i="2" s="1"/>
  <c r="L187" i="2"/>
  <c r="M186" i="2" s="1"/>
  <c r="L188" i="2"/>
  <c r="M187" i="2" s="1"/>
  <c r="L189" i="2"/>
  <c r="M188" i="2" s="1"/>
  <c r="L190" i="2"/>
  <c r="M189" i="2" s="1"/>
  <c r="L191" i="2"/>
  <c r="M190" i="2" s="1"/>
  <c r="L192" i="2"/>
  <c r="M191" i="2" s="1"/>
  <c r="L193" i="2"/>
  <c r="M192" i="2" s="1"/>
  <c r="L194" i="2"/>
  <c r="M193" i="2" s="1"/>
  <c r="L195" i="2"/>
  <c r="M194" i="2" s="1"/>
  <c r="L196" i="2"/>
  <c r="M195" i="2" s="1"/>
  <c r="L197" i="2"/>
  <c r="M196" i="2" s="1"/>
  <c r="L198" i="2"/>
  <c r="M197" i="2" s="1"/>
  <c r="L199" i="2"/>
  <c r="M198" i="2" s="1"/>
  <c r="L200" i="2"/>
  <c r="L201" i="2"/>
  <c r="M200" i="2" s="1"/>
  <c r="L202" i="2"/>
  <c r="M201" i="2" s="1"/>
  <c r="L203" i="2"/>
  <c r="M202" i="2" s="1"/>
  <c r="L204" i="2"/>
  <c r="M203" i="2" s="1"/>
  <c r="L205" i="2"/>
  <c r="M204" i="2" s="1"/>
  <c r="L206" i="2"/>
  <c r="M205" i="2" s="1"/>
  <c r="L207" i="2"/>
  <c r="M206" i="2" s="1"/>
  <c r="L208" i="2"/>
  <c r="M207" i="2" s="1"/>
  <c r="L209" i="2"/>
  <c r="M208" i="2" s="1"/>
  <c r="L210" i="2"/>
  <c r="M209" i="2" s="1"/>
  <c r="L211" i="2"/>
  <c r="M210" i="2" s="1"/>
  <c r="L212" i="2"/>
  <c r="M211" i="2" s="1"/>
  <c r="L213" i="2"/>
  <c r="M212" i="2" s="1"/>
  <c r="L214" i="2"/>
  <c r="M213" i="2" s="1"/>
  <c r="L215" i="2"/>
  <c r="M214" i="2" s="1"/>
  <c r="L216" i="2"/>
  <c r="L217" i="2"/>
  <c r="M216" i="2" s="1"/>
  <c r="L218" i="2"/>
  <c r="M217" i="2" s="1"/>
  <c r="L219" i="2"/>
  <c r="M218" i="2" s="1"/>
  <c r="L220" i="2"/>
  <c r="M219" i="2" s="1"/>
  <c r="L221" i="2"/>
  <c r="M220" i="2" s="1"/>
  <c r="L222" i="2"/>
  <c r="M221" i="2" s="1"/>
  <c r="L223" i="2"/>
  <c r="M222" i="2" s="1"/>
  <c r="L224" i="2"/>
  <c r="M223" i="2" s="1"/>
  <c r="L225" i="2"/>
  <c r="M224" i="2" s="1"/>
  <c r="L226" i="2"/>
  <c r="M225" i="2" s="1"/>
  <c r="L227" i="2"/>
  <c r="M226" i="2" s="1"/>
  <c r="L228" i="2"/>
  <c r="M227" i="2" s="1"/>
  <c r="L229" i="2"/>
  <c r="M228" i="2" s="1"/>
  <c r="L230" i="2"/>
  <c r="M229" i="2" s="1"/>
  <c r="L231" i="2"/>
  <c r="M230" i="2" s="1"/>
  <c r="L232" i="2"/>
  <c r="L233" i="2"/>
  <c r="M232" i="2" s="1"/>
  <c r="L234" i="2"/>
  <c r="M233" i="2" s="1"/>
  <c r="L235" i="2"/>
  <c r="M234" i="2" s="1"/>
  <c r="L236" i="2"/>
  <c r="M235" i="2" s="1"/>
  <c r="L237" i="2"/>
  <c r="M236" i="2" s="1"/>
  <c r="L238" i="2"/>
  <c r="M237" i="2" s="1"/>
  <c r="L239" i="2"/>
  <c r="M238" i="2" s="1"/>
  <c r="L240" i="2"/>
  <c r="M239" i="2" s="1"/>
  <c r="L241" i="2"/>
  <c r="M240" i="2" s="1"/>
  <c r="L242" i="2"/>
  <c r="M241" i="2" s="1"/>
  <c r="L243" i="2"/>
  <c r="M242" i="2" s="1"/>
  <c r="L244" i="2"/>
  <c r="M243" i="2" s="1"/>
  <c r="L245" i="2"/>
  <c r="M244" i="2" s="1"/>
  <c r="L246" i="2"/>
  <c r="M245" i="2" s="1"/>
  <c r="L247" i="2"/>
  <c r="M246" i="2" s="1"/>
  <c r="L248" i="2"/>
  <c r="M247" i="2" s="1"/>
  <c r="L249" i="2"/>
  <c r="M248" i="2" s="1"/>
  <c r="L250" i="2"/>
  <c r="M249" i="2" s="1"/>
  <c r="L251" i="2"/>
  <c r="M250" i="2" s="1"/>
  <c r="L252" i="2"/>
  <c r="M251" i="2" s="1"/>
  <c r="L253" i="2"/>
  <c r="M252" i="2" s="1"/>
  <c r="L254" i="2"/>
  <c r="M253" i="2" s="1"/>
  <c r="L255" i="2"/>
  <c r="M254" i="2" s="1"/>
  <c r="L256" i="2"/>
  <c r="M255" i="2" s="1"/>
  <c r="L257" i="2"/>
  <c r="M256" i="2" s="1"/>
  <c r="L258" i="2"/>
  <c r="M257" i="2" s="1"/>
  <c r="L259" i="2"/>
  <c r="M258" i="2" s="1"/>
  <c r="L260" i="2"/>
  <c r="M259" i="2" s="1"/>
  <c r="L261" i="2"/>
  <c r="M260" i="2" s="1"/>
  <c r="L262" i="2"/>
  <c r="M261" i="2" s="1"/>
  <c r="L263" i="2"/>
  <c r="M262" i="2" s="1"/>
  <c r="L264" i="2"/>
  <c r="L265" i="2"/>
  <c r="M264" i="2" s="1"/>
  <c r="L266" i="2"/>
  <c r="M265" i="2" s="1"/>
  <c r="L267" i="2"/>
  <c r="M266" i="2" s="1"/>
  <c r="L268" i="2"/>
  <c r="M267" i="2" s="1"/>
  <c r="L269" i="2"/>
  <c r="M268" i="2" s="1"/>
  <c r="L270" i="2"/>
  <c r="M269" i="2" s="1"/>
  <c r="L271" i="2"/>
  <c r="M270" i="2" s="1"/>
  <c r="L272" i="2"/>
  <c r="M271" i="2" s="1"/>
  <c r="L273" i="2"/>
  <c r="L274" i="2"/>
  <c r="M273" i="2" s="1"/>
  <c r="L275" i="2"/>
  <c r="M274" i="2" s="1"/>
  <c r="L276" i="2"/>
  <c r="L277" i="2"/>
  <c r="M276" i="2" s="1"/>
  <c r="L278" i="2"/>
  <c r="M277" i="2" s="1"/>
  <c r="L279" i="2"/>
  <c r="M278" i="2" s="1"/>
  <c r="L280" i="2"/>
  <c r="M279" i="2" s="1"/>
  <c r="L281" i="2"/>
  <c r="M280" i="2" s="1"/>
  <c r="L282" i="2"/>
  <c r="M281" i="2" s="1"/>
  <c r="L283" i="2"/>
  <c r="M282" i="2" s="1"/>
  <c r="L284" i="2"/>
  <c r="M283" i="2" s="1"/>
  <c r="L285" i="2"/>
  <c r="M284" i="2" s="1"/>
  <c r="L286" i="2"/>
  <c r="M285" i="2" s="1"/>
  <c r="L287" i="2"/>
  <c r="M286" i="2" s="1"/>
  <c r="L288" i="2"/>
  <c r="M287" i="2" s="1"/>
  <c r="L289" i="2"/>
  <c r="L290" i="2"/>
  <c r="M289" i="2" s="1"/>
  <c r="L291" i="2"/>
  <c r="M290" i="2" s="1"/>
  <c r="L292" i="2"/>
  <c r="L293" i="2"/>
  <c r="M292" i="2" s="1"/>
  <c r="L294" i="2"/>
  <c r="M293" i="2" s="1"/>
  <c r="L295" i="2"/>
  <c r="M294" i="2" s="1"/>
  <c r="L296" i="2"/>
  <c r="M295" i="2" s="1"/>
  <c r="L297" i="2"/>
  <c r="M296" i="2" s="1"/>
  <c r="L298" i="2"/>
  <c r="M297" i="2" s="1"/>
  <c r="L299" i="2"/>
  <c r="M298" i="2" s="1"/>
  <c r="L300" i="2"/>
  <c r="M299" i="2" s="1"/>
  <c r="L301" i="2"/>
  <c r="M300" i="2" s="1"/>
  <c r="L302" i="2"/>
  <c r="M301" i="2" s="1"/>
  <c r="L303" i="2"/>
  <c r="M302" i="2" s="1"/>
  <c r="L304" i="2"/>
  <c r="L305" i="2"/>
  <c r="L306" i="2"/>
  <c r="M305" i="2" s="1"/>
  <c r="L307" i="2"/>
  <c r="M306" i="2" s="1"/>
  <c r="L308" i="2"/>
  <c r="M307" i="2" s="1"/>
  <c r="L309" i="2"/>
  <c r="L310" i="2"/>
  <c r="M309" i="2" s="1"/>
  <c r="L311" i="2"/>
  <c r="M310" i="2" s="1"/>
  <c r="L312" i="2"/>
  <c r="L313" i="2"/>
  <c r="M312" i="2" s="1"/>
  <c r="L314" i="2"/>
  <c r="M313" i="2" s="1"/>
  <c r="L315" i="2"/>
  <c r="M314" i="2" s="1"/>
  <c r="L316" i="2"/>
  <c r="M315" i="2" s="1"/>
  <c r="L317" i="2"/>
  <c r="M316" i="2" s="1"/>
  <c r="L318" i="2"/>
  <c r="M317" i="2" s="1"/>
  <c r="L319" i="2"/>
  <c r="L18" i="2"/>
  <c r="M18" i="2" s="1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18" i="2"/>
  <c r="P18" i="2"/>
  <c r="Q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G5" i="1"/>
  <c r="E5" i="1"/>
  <c r="F5" i="1"/>
  <c r="D5" i="1"/>
  <c r="I13" i="1" a="1"/>
  <c r="I300" i="1" s="1"/>
  <c r="M14" i="2" l="1"/>
  <c r="M9" i="2"/>
  <c r="E9" i="6"/>
  <c r="O8" i="6"/>
  <c r="O8" i="4"/>
  <c r="F7" i="4"/>
  <c r="O8" i="5"/>
  <c r="O9" i="3"/>
  <c r="O60" i="7"/>
  <c r="O44" i="7"/>
  <c r="O92" i="7"/>
  <c r="O28" i="7"/>
  <c r="O76" i="7"/>
  <c r="O20" i="7"/>
  <c r="F9" i="7"/>
  <c r="E5" i="7"/>
  <c r="D8" i="7"/>
  <c r="G5" i="7"/>
  <c r="E9" i="7"/>
  <c r="F5" i="7"/>
  <c r="X19" i="7"/>
  <c r="O96" i="7"/>
  <c r="F4" i="7"/>
  <c r="E4" i="7"/>
  <c r="D4" i="7"/>
  <c r="D9" i="7"/>
  <c r="O234" i="7"/>
  <c r="O182" i="7"/>
  <c r="D5" i="7"/>
  <c r="G7" i="7"/>
  <c r="G8" i="7"/>
  <c r="G9" i="7"/>
  <c r="E7" i="7"/>
  <c r="E8" i="7"/>
  <c r="D7" i="7"/>
  <c r="X242" i="7"/>
  <c r="X114" i="7"/>
  <c r="F7" i="7"/>
  <c r="F8" i="7"/>
  <c r="F9" i="6"/>
  <c r="G9" i="6"/>
  <c r="D9" i="6"/>
  <c r="E4" i="6"/>
  <c r="E5" i="6"/>
  <c r="E7" i="6"/>
  <c r="E8" i="6"/>
  <c r="D8" i="6"/>
  <c r="G5" i="6"/>
  <c r="G7" i="6"/>
  <c r="G8" i="6"/>
  <c r="F4" i="6"/>
  <c r="F5" i="6"/>
  <c r="F7" i="6"/>
  <c r="F8" i="6"/>
  <c r="G9" i="4"/>
  <c r="E7" i="4"/>
  <c r="D9" i="4"/>
  <c r="F4" i="4"/>
  <c r="D7" i="4"/>
  <c r="E4" i="4"/>
  <c r="F9" i="4"/>
  <c r="E9" i="4"/>
  <c r="E5" i="4"/>
  <c r="G7" i="4"/>
  <c r="E8" i="4"/>
  <c r="O287" i="4"/>
  <c r="G5" i="4"/>
  <c r="G8" i="4"/>
  <c r="O99" i="4"/>
  <c r="F5" i="4"/>
  <c r="F8" i="4"/>
  <c r="X233" i="4"/>
  <c r="D8" i="4"/>
  <c r="D9" i="5"/>
  <c r="G9" i="5"/>
  <c r="F9" i="5"/>
  <c r="E8" i="5"/>
  <c r="E9" i="5"/>
  <c r="G7" i="5"/>
  <c r="G8" i="5"/>
  <c r="G5" i="5"/>
  <c r="F7" i="5"/>
  <c r="F8" i="5"/>
  <c r="X476" i="5"/>
  <c r="F5" i="5"/>
  <c r="G10" i="2"/>
  <c r="G9" i="2"/>
  <c r="G8" i="2"/>
  <c r="G6" i="2"/>
  <c r="M318" i="2"/>
  <c r="M319" i="2"/>
  <c r="F10" i="2"/>
  <c r="F9" i="2"/>
  <c r="F8" i="2"/>
  <c r="F6" i="2"/>
  <c r="D10" i="2"/>
  <c r="D9" i="2"/>
  <c r="D8" i="2"/>
  <c r="D6" i="2"/>
  <c r="E10" i="2"/>
  <c r="E9" i="2"/>
  <c r="E8" i="2"/>
  <c r="E6" i="2"/>
  <c r="F5" i="2"/>
  <c r="E5" i="2"/>
  <c r="D5" i="2"/>
  <c r="U18" i="2"/>
  <c r="M13" i="2" s="1"/>
  <c r="U316" i="2"/>
  <c r="U308" i="2"/>
  <c r="U300" i="2"/>
  <c r="U296" i="2"/>
  <c r="U288" i="2"/>
  <c r="U284" i="2"/>
  <c r="U280" i="2"/>
  <c r="U272" i="2"/>
  <c r="U268" i="2"/>
  <c r="U260" i="2"/>
  <c r="U256" i="2"/>
  <c r="U252" i="2"/>
  <c r="U248" i="2"/>
  <c r="U244" i="2"/>
  <c r="U240" i="2"/>
  <c r="U236" i="2"/>
  <c r="U228" i="2"/>
  <c r="U224" i="2"/>
  <c r="U220" i="2"/>
  <c r="U212" i="2"/>
  <c r="U184" i="2"/>
  <c r="U319" i="2"/>
  <c r="U315" i="2"/>
  <c r="U311" i="2"/>
  <c r="U307" i="2"/>
  <c r="U303" i="2"/>
  <c r="U299" i="2"/>
  <c r="U295" i="2"/>
  <c r="U291" i="2"/>
  <c r="U287" i="2"/>
  <c r="U283" i="2"/>
  <c r="U279" i="2"/>
  <c r="U275" i="2"/>
  <c r="U271" i="2"/>
  <c r="U267" i="2"/>
  <c r="U263" i="2"/>
  <c r="U259" i="2"/>
  <c r="U255" i="2"/>
  <c r="U251" i="2"/>
  <c r="U247" i="2"/>
  <c r="U243" i="2"/>
  <c r="U239" i="2"/>
  <c r="U235" i="2"/>
  <c r="U231" i="2"/>
  <c r="U227" i="2"/>
  <c r="U223" i="2"/>
  <c r="U219" i="2"/>
  <c r="U215" i="2"/>
  <c r="U211" i="2"/>
  <c r="U207" i="2"/>
  <c r="U203" i="2"/>
  <c r="U199" i="2"/>
  <c r="U195" i="2"/>
  <c r="U191" i="2"/>
  <c r="U187" i="2"/>
  <c r="U183" i="2"/>
  <c r="U179" i="2"/>
  <c r="U175" i="2"/>
  <c r="U171" i="2"/>
  <c r="U167" i="2"/>
  <c r="U163" i="2"/>
  <c r="U159" i="2"/>
  <c r="U155" i="2"/>
  <c r="U147" i="2"/>
  <c r="U143" i="2"/>
  <c r="U139" i="2"/>
  <c r="U135" i="2"/>
  <c r="U131" i="2"/>
  <c r="U127" i="2"/>
  <c r="U123" i="2"/>
  <c r="U119" i="2"/>
  <c r="U115" i="2"/>
  <c r="U111" i="2"/>
  <c r="U107" i="2"/>
  <c r="U103" i="2"/>
  <c r="U99" i="2"/>
  <c r="U95" i="2"/>
  <c r="U91" i="2"/>
  <c r="U87" i="2"/>
  <c r="U83" i="2"/>
  <c r="U79" i="2"/>
  <c r="U75" i="2"/>
  <c r="U71" i="2"/>
  <c r="U67" i="2"/>
  <c r="U63" i="2"/>
  <c r="U59" i="2"/>
  <c r="U55" i="2"/>
  <c r="U51" i="2"/>
  <c r="U47" i="2"/>
  <c r="U43" i="2"/>
  <c r="U35" i="2"/>
  <c r="U31" i="2"/>
  <c r="U27" i="2"/>
  <c r="U23" i="2"/>
  <c r="U19" i="2"/>
  <c r="U151" i="2"/>
  <c r="U39" i="2"/>
  <c r="U297" i="2"/>
  <c r="U129" i="2"/>
  <c r="U317" i="2"/>
  <c r="U301" i="2"/>
  <c r="U293" i="2"/>
  <c r="U285" i="2"/>
  <c r="U281" i="2"/>
  <c r="U269" i="2"/>
  <c r="U261" i="2"/>
  <c r="U257" i="2"/>
  <c r="U253" i="2"/>
  <c r="U245" i="2"/>
  <c r="U241" i="2"/>
  <c r="U237" i="2"/>
  <c r="U229" i="2"/>
  <c r="U225" i="2"/>
  <c r="U221" i="2"/>
  <c r="U213" i="2"/>
  <c r="U209" i="2"/>
  <c r="U205" i="2"/>
  <c r="U197" i="2"/>
  <c r="U193" i="2"/>
  <c r="U189" i="2"/>
  <c r="U181" i="2"/>
  <c r="U177" i="2"/>
  <c r="U173" i="2"/>
  <c r="U165" i="2"/>
  <c r="U161" i="2"/>
  <c r="U157" i="2"/>
  <c r="U149" i="2"/>
  <c r="U145" i="2"/>
  <c r="U141" i="2"/>
  <c r="U133" i="2"/>
  <c r="U125" i="2"/>
  <c r="U117" i="2"/>
  <c r="U113" i="2"/>
  <c r="U109" i="2"/>
  <c r="U101" i="2"/>
  <c r="U97" i="2"/>
  <c r="U93" i="2"/>
  <c r="U85" i="2"/>
  <c r="U81" i="2"/>
  <c r="U77" i="2"/>
  <c r="U69" i="2"/>
  <c r="U65" i="2"/>
  <c r="U61" i="2"/>
  <c r="U49" i="2"/>
  <c r="U37" i="2"/>
  <c r="U33" i="2"/>
  <c r="U29" i="2"/>
  <c r="U21" i="2"/>
  <c r="U104" i="2"/>
  <c r="M311" i="2"/>
  <c r="U312" i="2"/>
  <c r="M303" i="2"/>
  <c r="U304" i="2"/>
  <c r="M263" i="2"/>
  <c r="U264" i="2"/>
  <c r="M215" i="2"/>
  <c r="U216" i="2"/>
  <c r="M199" i="2"/>
  <c r="U200" i="2"/>
  <c r="M291" i="2"/>
  <c r="U292" i="2"/>
  <c r="M275" i="2"/>
  <c r="U276" i="2"/>
  <c r="M231" i="2"/>
  <c r="U232" i="2"/>
  <c r="M167" i="2"/>
  <c r="U168" i="2"/>
  <c r="M151" i="2"/>
  <c r="U152" i="2"/>
  <c r="M135" i="2"/>
  <c r="U136" i="2"/>
  <c r="M119" i="2"/>
  <c r="U120" i="2"/>
  <c r="M87" i="2"/>
  <c r="U88" i="2"/>
  <c r="M71" i="2"/>
  <c r="U72" i="2"/>
  <c r="M43" i="2"/>
  <c r="U44" i="2"/>
  <c r="M31" i="2"/>
  <c r="U32" i="2"/>
  <c r="U208" i="2"/>
  <c r="U204" i="2"/>
  <c r="U196" i="2"/>
  <c r="U192" i="2"/>
  <c r="U188" i="2"/>
  <c r="U180" i="2"/>
  <c r="U176" i="2"/>
  <c r="U172" i="2"/>
  <c r="U164" i="2"/>
  <c r="U160" i="2"/>
  <c r="U156" i="2"/>
  <c r="U148" i="2"/>
  <c r="U144" i="2"/>
  <c r="U140" i="2"/>
  <c r="U132" i="2"/>
  <c r="U128" i="2"/>
  <c r="U124" i="2"/>
  <c r="U116" i="2"/>
  <c r="U112" i="2"/>
  <c r="U108" i="2"/>
  <c r="U100" i="2"/>
  <c r="U96" i="2"/>
  <c r="U92" i="2"/>
  <c r="U84" i="2"/>
  <c r="U80" i="2"/>
  <c r="U76" i="2"/>
  <c r="U64" i="2"/>
  <c r="U60" i="2"/>
  <c r="U56" i="2"/>
  <c r="U48" i="2"/>
  <c r="U40" i="2"/>
  <c r="U28" i="2"/>
  <c r="U24" i="2"/>
  <c r="U41" i="2"/>
  <c r="M40" i="2"/>
  <c r="U25" i="2"/>
  <c r="M24" i="2"/>
  <c r="U309" i="2"/>
  <c r="M308" i="2"/>
  <c r="U305" i="2"/>
  <c r="M304" i="2"/>
  <c r="U289" i="2"/>
  <c r="M288" i="2"/>
  <c r="U273" i="2"/>
  <c r="M272" i="2"/>
  <c r="U57" i="2"/>
  <c r="M56" i="2"/>
  <c r="U313" i="2"/>
  <c r="U277" i="2"/>
  <c r="U265" i="2"/>
  <c r="U249" i="2"/>
  <c r="U233" i="2"/>
  <c r="U217" i="2"/>
  <c r="U201" i="2"/>
  <c r="U185" i="2"/>
  <c r="U169" i="2"/>
  <c r="U153" i="2"/>
  <c r="U137" i="2"/>
  <c r="U121" i="2"/>
  <c r="U105" i="2"/>
  <c r="U89" i="2"/>
  <c r="U73" i="2"/>
  <c r="U53" i="2"/>
  <c r="U45" i="2"/>
  <c r="M67" i="2"/>
  <c r="U68" i="2"/>
  <c r="M51" i="2"/>
  <c r="U52" i="2"/>
  <c r="M35" i="2"/>
  <c r="U36" i="2"/>
  <c r="M19" i="2"/>
  <c r="U20" i="2"/>
  <c r="O315" i="3"/>
  <c r="X365" i="3"/>
  <c r="X357" i="3"/>
  <c r="X349" i="3"/>
  <c r="X345" i="3"/>
  <c r="X341" i="3"/>
  <c r="X321" i="3"/>
  <c r="X313" i="3"/>
  <c r="X305" i="3"/>
  <c r="X301" i="3"/>
  <c r="X293" i="3"/>
  <c r="X289" i="3"/>
  <c r="X281" i="3"/>
  <c r="X273" i="3"/>
  <c r="X269" i="3"/>
  <c r="X261" i="3"/>
  <c r="X237" i="3"/>
  <c r="X225" i="3"/>
  <c r="X217" i="3"/>
  <c r="X209" i="3"/>
  <c r="X205" i="3"/>
  <c r="X193" i="3"/>
  <c r="X185" i="3"/>
  <c r="X177" i="3"/>
  <c r="X165" i="3"/>
  <c r="X161" i="3"/>
  <c r="X145" i="3"/>
  <c r="X141" i="3"/>
  <c r="X133" i="3"/>
  <c r="X129" i="3"/>
  <c r="X121" i="3"/>
  <c r="X113" i="3"/>
  <c r="X109" i="3"/>
  <c r="X101" i="3"/>
  <c r="X97" i="3"/>
  <c r="X89" i="3"/>
  <c r="X81" i="3"/>
  <c r="X77" i="3"/>
  <c r="X65" i="3"/>
  <c r="X57" i="3"/>
  <c r="X49" i="3"/>
  <c r="X45" i="3"/>
  <c r="X37" i="3"/>
  <c r="X33" i="3"/>
  <c r="O351" i="3"/>
  <c r="O47" i="3"/>
  <c r="O331" i="3"/>
  <c r="O123" i="3"/>
  <c r="F4" i="5"/>
  <c r="E5" i="5"/>
  <c r="E7" i="5"/>
  <c r="X26" i="7"/>
  <c r="X266" i="7"/>
  <c r="X262" i="7"/>
  <c r="X258" i="7"/>
  <c r="X254" i="7"/>
  <c r="X250" i="7"/>
  <c r="X246" i="7"/>
  <c r="X238" i="7"/>
  <c r="X230" i="7"/>
  <c r="X226" i="7"/>
  <c r="X222" i="7"/>
  <c r="X214" i="7"/>
  <c r="X210" i="7"/>
  <c r="X206" i="7"/>
  <c r="X202" i="7"/>
  <c r="X198" i="7"/>
  <c r="X194" i="7"/>
  <c r="X190" i="7"/>
  <c r="X186" i="7"/>
  <c r="X174" i="7"/>
  <c r="X170" i="7"/>
  <c r="X166" i="7"/>
  <c r="X162" i="7"/>
  <c r="X158" i="7"/>
  <c r="X150" i="7"/>
  <c r="X146" i="7"/>
  <c r="X142" i="7"/>
  <c r="X138" i="7"/>
  <c r="X134" i="7"/>
  <c r="X130" i="7"/>
  <c r="X126" i="7"/>
  <c r="X122" i="7"/>
  <c r="X118" i="7"/>
  <c r="X110" i="7"/>
  <c r="X106" i="7"/>
  <c r="X102" i="7"/>
  <c r="X94" i="7"/>
  <c r="X86" i="7"/>
  <c r="X78" i="7"/>
  <c r="X74" i="7"/>
  <c r="X70" i="7"/>
  <c r="X62" i="7"/>
  <c r="X58" i="7"/>
  <c r="X54" i="7"/>
  <c r="X46" i="7"/>
  <c r="X42" i="7"/>
  <c r="X38" i="7"/>
  <c r="X30" i="7"/>
  <c r="X22" i="7"/>
  <c r="X218" i="7"/>
  <c r="X90" i="7"/>
  <c r="X178" i="7"/>
  <c r="X50" i="7"/>
  <c r="X154" i="7"/>
  <c r="X211" i="7"/>
  <c r="X147" i="7"/>
  <c r="X83" i="7"/>
  <c r="X66" i="7"/>
  <c r="X227" i="7"/>
  <c r="X163" i="7"/>
  <c r="X99" i="7"/>
  <c r="X82" i="7"/>
  <c r="X35" i="7"/>
  <c r="X259" i="7"/>
  <c r="X195" i="7"/>
  <c r="X131" i="7"/>
  <c r="X67" i="7"/>
  <c r="X243" i="7"/>
  <c r="X179" i="7"/>
  <c r="X115" i="7"/>
  <c r="X98" i="7"/>
  <c r="X51" i="7"/>
  <c r="X34" i="7"/>
  <c r="X73" i="6"/>
  <c r="X69" i="6"/>
  <c r="X65" i="6"/>
  <c r="X61" i="6"/>
  <c r="X57" i="6"/>
  <c r="X53" i="6"/>
  <c r="X49" i="6"/>
  <c r="X45" i="6"/>
  <c r="X41" i="6"/>
  <c r="X37" i="6"/>
  <c r="X33" i="6"/>
  <c r="X29" i="6"/>
  <c r="X25" i="6"/>
  <c r="X21" i="6"/>
  <c r="O63" i="6"/>
  <c r="O47" i="6"/>
  <c r="O31" i="6"/>
  <c r="O59" i="6"/>
  <c r="O43" i="6"/>
  <c r="O27" i="6"/>
  <c r="O72" i="6"/>
  <c r="O223" i="4"/>
  <c r="X147" i="4"/>
  <c r="O163" i="4"/>
  <c r="X105" i="4"/>
  <c r="O131" i="4"/>
  <c r="O291" i="4"/>
  <c r="X275" i="4"/>
  <c r="O206" i="4"/>
  <c r="X71" i="4"/>
  <c r="O250" i="4"/>
  <c r="O46" i="4"/>
  <c r="O270" i="4"/>
  <c r="O186" i="4"/>
  <c r="O71" i="4"/>
  <c r="X199" i="4"/>
  <c r="O286" i="4"/>
  <c r="O266" i="4"/>
  <c r="O239" i="4"/>
  <c r="O222" i="4"/>
  <c r="O202" i="4"/>
  <c r="O175" i="4"/>
  <c r="O155" i="4"/>
  <c r="O123" i="4"/>
  <c r="O91" i="4"/>
  <c r="O61" i="4"/>
  <c r="O39" i="4"/>
  <c r="X265" i="4"/>
  <c r="X231" i="4"/>
  <c r="X179" i="4"/>
  <c r="X137" i="4"/>
  <c r="X103" i="4"/>
  <c r="X51" i="4"/>
  <c r="O282" i="4"/>
  <c r="O255" i="4"/>
  <c r="O238" i="4"/>
  <c r="O218" i="4"/>
  <c r="O191" i="4"/>
  <c r="O174" i="4"/>
  <c r="O147" i="4"/>
  <c r="O115" i="4"/>
  <c r="O82" i="4"/>
  <c r="O57" i="4"/>
  <c r="O29" i="4"/>
  <c r="X263" i="4"/>
  <c r="X211" i="4"/>
  <c r="X169" i="4"/>
  <c r="X135" i="4"/>
  <c r="X83" i="4"/>
  <c r="O271" i="4"/>
  <c r="O254" i="4"/>
  <c r="O234" i="4"/>
  <c r="O207" i="4"/>
  <c r="O190" i="4"/>
  <c r="O170" i="4"/>
  <c r="O139" i="4"/>
  <c r="O107" i="4"/>
  <c r="O78" i="4"/>
  <c r="O50" i="4"/>
  <c r="O25" i="4"/>
  <c r="X243" i="4"/>
  <c r="X201" i="4"/>
  <c r="X167" i="4"/>
  <c r="X115" i="4"/>
  <c r="X39" i="4"/>
  <c r="X478" i="5"/>
  <c r="X474" i="5"/>
  <c r="X470" i="5"/>
  <c r="X466" i="5"/>
  <c r="X462" i="5"/>
  <c r="X458" i="5"/>
  <c r="X454" i="5"/>
  <c r="X450" i="5"/>
  <c r="X446" i="5"/>
  <c r="X442" i="5"/>
  <c r="X438" i="5"/>
  <c r="X434" i="5"/>
  <c r="X430" i="5"/>
  <c r="X426" i="5"/>
  <c r="X422" i="5"/>
  <c r="X418" i="5"/>
  <c r="X414" i="5"/>
  <c r="X410" i="5"/>
  <c r="O266" i="5"/>
  <c r="O460" i="5"/>
  <c r="O412" i="5"/>
  <c r="O472" i="5"/>
  <c r="O456" i="5"/>
  <c r="O440" i="5"/>
  <c r="O424" i="5"/>
  <c r="O408" i="5"/>
  <c r="O218" i="5"/>
  <c r="X412" i="5"/>
  <c r="O476" i="5"/>
  <c r="O428" i="5"/>
  <c r="O468" i="5"/>
  <c r="O452" i="5"/>
  <c r="O436" i="5"/>
  <c r="O420" i="5"/>
  <c r="O394" i="5"/>
  <c r="O138" i="5"/>
  <c r="X338" i="5"/>
  <c r="O444" i="5"/>
  <c r="X82" i="5"/>
  <c r="X475" i="5"/>
  <c r="X467" i="5"/>
  <c r="X459" i="5"/>
  <c r="X451" i="5"/>
  <c r="X443" i="5"/>
  <c r="X435" i="5"/>
  <c r="X427" i="5"/>
  <c r="X419" i="5"/>
  <c r="X411" i="5"/>
  <c r="X403" i="5"/>
  <c r="X399" i="5"/>
  <c r="X395" i="5"/>
  <c r="X387" i="5"/>
  <c r="X383" i="5"/>
  <c r="X379" i="5"/>
  <c r="X375" i="5"/>
  <c r="X371" i="5"/>
  <c r="X367" i="5"/>
  <c r="X359" i="5"/>
  <c r="X355" i="5"/>
  <c r="X351" i="5"/>
  <c r="X339" i="5"/>
  <c r="X335" i="5"/>
  <c r="X331" i="5"/>
  <c r="X323" i="5"/>
  <c r="X319" i="5"/>
  <c r="X315" i="5"/>
  <c r="X311" i="5"/>
  <c r="X307" i="5"/>
  <c r="X303" i="5"/>
  <c r="X295" i="5"/>
  <c r="X291" i="5"/>
  <c r="X287" i="5"/>
  <c r="X275" i="5"/>
  <c r="X271" i="5"/>
  <c r="O464" i="5"/>
  <c r="O448" i="5"/>
  <c r="O432" i="5"/>
  <c r="O416" i="5"/>
  <c r="O346" i="5"/>
  <c r="O90" i="5"/>
  <c r="X210" i="5"/>
  <c r="X479" i="5"/>
  <c r="O477" i="5"/>
  <c r="X455" i="5"/>
  <c r="O453" i="5"/>
  <c r="X447" i="5"/>
  <c r="O445" i="5"/>
  <c r="X439" i="5"/>
  <c r="O437" i="5"/>
  <c r="X431" i="5"/>
  <c r="O429" i="5"/>
  <c r="X423" i="5"/>
  <c r="O421" i="5"/>
  <c r="X415" i="5"/>
  <c r="O413" i="5"/>
  <c r="X343" i="5"/>
  <c r="O341" i="5"/>
  <c r="X299" i="5"/>
  <c r="O297" i="5"/>
  <c r="X279" i="5"/>
  <c r="O277" i="5"/>
  <c r="O457" i="5"/>
  <c r="O313" i="5"/>
  <c r="O309" i="5"/>
  <c r="O473" i="5"/>
  <c r="O441" i="5"/>
  <c r="O409" i="5"/>
  <c r="O377" i="5"/>
  <c r="O330" i="5"/>
  <c r="O293" i="5"/>
  <c r="O202" i="5"/>
  <c r="O74" i="5"/>
  <c r="X471" i="5"/>
  <c r="O469" i="5"/>
  <c r="X463" i="5"/>
  <c r="O461" i="5"/>
  <c r="X407" i="5"/>
  <c r="O405" i="5"/>
  <c r="X391" i="5"/>
  <c r="O389" i="5"/>
  <c r="X363" i="5"/>
  <c r="O361" i="5"/>
  <c r="X347" i="5"/>
  <c r="O345" i="5"/>
  <c r="X327" i="5"/>
  <c r="O325" i="5"/>
  <c r="X283" i="5"/>
  <c r="O281" i="5"/>
  <c r="O425" i="5"/>
  <c r="O357" i="5"/>
  <c r="O465" i="5"/>
  <c r="O433" i="5"/>
  <c r="O393" i="5"/>
  <c r="O458" i="5"/>
  <c r="X460" i="5"/>
  <c r="O442" i="5"/>
  <c r="X444" i="5"/>
  <c r="O426" i="5"/>
  <c r="X428" i="5"/>
  <c r="O378" i="5"/>
  <c r="X380" i="5"/>
  <c r="X364" i="5"/>
  <c r="O362" i="5"/>
  <c r="X316" i="5"/>
  <c r="O314" i="5"/>
  <c r="X300" i="5"/>
  <c r="O298" i="5"/>
  <c r="X252" i="5"/>
  <c r="O250" i="5"/>
  <c r="X236" i="5"/>
  <c r="O234" i="5"/>
  <c r="X188" i="5"/>
  <c r="O186" i="5"/>
  <c r="X172" i="5"/>
  <c r="O170" i="5"/>
  <c r="X124" i="5"/>
  <c r="O122" i="5"/>
  <c r="X108" i="5"/>
  <c r="O106" i="5"/>
  <c r="X60" i="5"/>
  <c r="O58" i="5"/>
  <c r="X44" i="5"/>
  <c r="O42" i="5"/>
  <c r="O449" i="5"/>
  <c r="O417" i="5"/>
  <c r="O373" i="5"/>
  <c r="O329" i="5"/>
  <c r="O282" i="5"/>
  <c r="O154" i="5"/>
  <c r="O26" i="5"/>
  <c r="X306" i="5"/>
  <c r="X178" i="5"/>
  <c r="X50" i="5"/>
  <c r="X267" i="5"/>
  <c r="X263" i="5"/>
  <c r="X259" i="5"/>
  <c r="X255" i="5"/>
  <c r="X251" i="5"/>
  <c r="X247" i="5"/>
  <c r="X243" i="5"/>
  <c r="X239" i="5"/>
  <c r="X235" i="5"/>
  <c r="X231" i="5"/>
  <c r="X227" i="5"/>
  <c r="X223" i="5"/>
  <c r="X219" i="5"/>
  <c r="X215" i="5"/>
  <c r="X211" i="5"/>
  <c r="X207" i="5"/>
  <c r="X203" i="5"/>
  <c r="X199" i="5"/>
  <c r="X195" i="5"/>
  <c r="X191" i="5"/>
  <c r="X187" i="5"/>
  <c r="X183" i="5"/>
  <c r="X179" i="5"/>
  <c r="X175" i="5"/>
  <c r="X171" i="5"/>
  <c r="X167" i="5"/>
  <c r="X163" i="5"/>
  <c r="X159" i="5"/>
  <c r="X155" i="5"/>
  <c r="X151" i="5"/>
  <c r="X147" i="5"/>
  <c r="X143" i="5"/>
  <c r="X139" i="5"/>
  <c r="X135" i="5"/>
  <c r="X131" i="5"/>
  <c r="X127" i="5"/>
  <c r="X123" i="5"/>
  <c r="X119" i="5"/>
  <c r="X115" i="5"/>
  <c r="X111" i="5"/>
  <c r="X107" i="5"/>
  <c r="X103" i="5"/>
  <c r="X99" i="5"/>
  <c r="X95" i="5"/>
  <c r="X91" i="5"/>
  <c r="X87" i="5"/>
  <c r="X83" i="5"/>
  <c r="X79" i="5"/>
  <c r="X75" i="5"/>
  <c r="X71" i="5"/>
  <c r="X67" i="5"/>
  <c r="X63" i="5"/>
  <c r="X59" i="5"/>
  <c r="X55" i="5"/>
  <c r="X51" i="5"/>
  <c r="X47" i="5"/>
  <c r="X43" i="5"/>
  <c r="X39" i="5"/>
  <c r="X35" i="5"/>
  <c r="X31" i="5"/>
  <c r="X27" i="5"/>
  <c r="X23" i="5"/>
  <c r="X19" i="5"/>
  <c r="O261" i="5"/>
  <c r="O217" i="5"/>
  <c r="O197" i="5"/>
  <c r="O153" i="5"/>
  <c r="O133" i="5"/>
  <c r="O89" i="5"/>
  <c r="O69" i="5"/>
  <c r="O25" i="5"/>
  <c r="X274" i="5"/>
  <c r="X146" i="5"/>
  <c r="O233" i="5"/>
  <c r="O213" i="5"/>
  <c r="O169" i="5"/>
  <c r="O149" i="5"/>
  <c r="O105" i="5"/>
  <c r="O85" i="5"/>
  <c r="O41" i="5"/>
  <c r="O21" i="5"/>
  <c r="X242" i="5"/>
  <c r="X114" i="5"/>
  <c r="O173" i="3"/>
  <c r="X25" i="3"/>
  <c r="X21" i="3"/>
  <c r="O338" i="3"/>
  <c r="O141" i="3"/>
  <c r="O22" i="3"/>
  <c r="O278" i="3"/>
  <c r="X20" i="3"/>
  <c r="O269" i="3"/>
  <c r="O45" i="3"/>
  <c r="O365" i="3"/>
  <c r="O301" i="3"/>
  <c r="O109" i="3"/>
  <c r="O77" i="3"/>
  <c r="O333" i="3"/>
  <c r="O237" i="3"/>
  <c r="D4" i="3"/>
  <c r="X366" i="3"/>
  <c r="X362" i="3"/>
  <c r="X355" i="3"/>
  <c r="O158" i="3"/>
  <c r="O127" i="3"/>
  <c r="G9" i="3"/>
  <c r="E9" i="3"/>
  <c r="X347" i="3"/>
  <c r="O306" i="3"/>
  <c r="O242" i="3"/>
  <c r="O205" i="3"/>
  <c r="F9" i="3"/>
  <c r="X339" i="3"/>
  <c r="O222" i="3"/>
  <c r="O82" i="3"/>
  <c r="X367" i="3"/>
  <c r="X363" i="3"/>
  <c r="X335" i="3"/>
  <c r="X319" i="3"/>
  <c r="X303" i="3"/>
  <c r="X299" i="3"/>
  <c r="X287" i="3"/>
  <c r="X283" i="3"/>
  <c r="X271" i="3"/>
  <c r="X267" i="3"/>
  <c r="X255" i="3"/>
  <c r="X251" i="3"/>
  <c r="X239" i="3"/>
  <c r="X235" i="3"/>
  <c r="X223" i="3"/>
  <c r="X219" i="3"/>
  <c r="X207" i="3"/>
  <c r="X203" i="3"/>
  <c r="X191" i="3"/>
  <c r="X187" i="3"/>
  <c r="X175" i="3"/>
  <c r="X171" i="3"/>
  <c r="X159" i="3"/>
  <c r="X155" i="3"/>
  <c r="X143" i="3"/>
  <c r="X139" i="3"/>
  <c r="X111" i="3"/>
  <c r="X107" i="3"/>
  <c r="X95" i="3"/>
  <c r="X91" i="3"/>
  <c r="X79" i="3"/>
  <c r="X75" i="3"/>
  <c r="X63" i="3"/>
  <c r="X59" i="3"/>
  <c r="X43" i="3"/>
  <c r="X31" i="3"/>
  <c r="X27" i="3"/>
  <c r="E7" i="3"/>
  <c r="E8" i="3"/>
  <c r="X369" i="3"/>
  <c r="O357" i="3"/>
  <c r="O345" i="3"/>
  <c r="O337" i="3"/>
  <c r="O325" i="3"/>
  <c r="O313" i="3"/>
  <c r="O305" i="3"/>
  <c r="O293" i="3"/>
  <c r="O281" i="3"/>
  <c r="O273" i="3"/>
  <c r="O261" i="3"/>
  <c r="O249" i="3"/>
  <c r="O241" i="3"/>
  <c r="O229" i="3"/>
  <c r="O217" i="3"/>
  <c r="O209" i="3"/>
  <c r="O197" i="3"/>
  <c r="O185" i="3"/>
  <c r="O177" i="3"/>
  <c r="O165" i="3"/>
  <c r="O153" i="3"/>
  <c r="O145" i="3"/>
  <c r="O133" i="3"/>
  <c r="O121" i="3"/>
  <c r="O113" i="3"/>
  <c r="O101" i="3"/>
  <c r="O89" i="3"/>
  <c r="O81" i="3"/>
  <c r="O69" i="3"/>
  <c r="O57" i="3"/>
  <c r="O49" i="3"/>
  <c r="O37" i="3"/>
  <c r="O25" i="3"/>
  <c r="O356" i="3"/>
  <c r="X356" i="3"/>
  <c r="O352" i="3"/>
  <c r="X352" i="3"/>
  <c r="O348" i="3"/>
  <c r="X348" i="3"/>
  <c r="O344" i="3"/>
  <c r="X344" i="3"/>
  <c r="O340" i="3"/>
  <c r="X340" i="3"/>
  <c r="O336" i="3"/>
  <c r="X336" i="3"/>
  <c r="O332" i="3"/>
  <c r="X332" i="3"/>
  <c r="O328" i="3"/>
  <c r="X328" i="3"/>
  <c r="O324" i="3"/>
  <c r="X324" i="3"/>
  <c r="O320" i="3"/>
  <c r="X320" i="3"/>
  <c r="O316" i="3"/>
  <c r="X316" i="3"/>
  <c r="O312" i="3"/>
  <c r="X312" i="3"/>
  <c r="O308" i="3"/>
  <c r="X308" i="3"/>
  <c r="O304" i="3"/>
  <c r="X304" i="3"/>
  <c r="O300" i="3"/>
  <c r="X300" i="3"/>
  <c r="O296" i="3"/>
  <c r="X296" i="3"/>
  <c r="O292" i="3"/>
  <c r="X292" i="3"/>
  <c r="O288" i="3"/>
  <c r="X288" i="3"/>
  <c r="O284" i="3"/>
  <c r="X284" i="3"/>
  <c r="O280" i="3"/>
  <c r="X280" i="3"/>
  <c r="O276" i="3"/>
  <c r="X276" i="3"/>
  <c r="O272" i="3"/>
  <c r="X272" i="3"/>
  <c r="O268" i="3"/>
  <c r="X268" i="3"/>
  <c r="O264" i="3"/>
  <c r="X264" i="3"/>
  <c r="O260" i="3"/>
  <c r="X260" i="3"/>
  <c r="O256" i="3"/>
  <c r="X256" i="3"/>
  <c r="O252" i="3"/>
  <c r="X252" i="3"/>
  <c r="O248" i="3"/>
  <c r="X248" i="3"/>
  <c r="O244" i="3"/>
  <c r="X244" i="3"/>
  <c r="O240" i="3"/>
  <c r="X240" i="3"/>
  <c r="O236" i="3"/>
  <c r="X236" i="3"/>
  <c r="O232" i="3"/>
  <c r="X232" i="3"/>
  <c r="O228" i="3"/>
  <c r="X228" i="3"/>
  <c r="O224" i="3"/>
  <c r="X224" i="3"/>
  <c r="O220" i="3"/>
  <c r="X220" i="3"/>
  <c r="O216" i="3"/>
  <c r="X216" i="3"/>
  <c r="O212" i="3"/>
  <c r="X212" i="3"/>
  <c r="O208" i="3"/>
  <c r="X208" i="3"/>
  <c r="O204" i="3"/>
  <c r="X204" i="3"/>
  <c r="O200" i="3"/>
  <c r="X200" i="3"/>
  <c r="O196" i="3"/>
  <c r="X196" i="3"/>
  <c r="O192" i="3"/>
  <c r="X192" i="3"/>
  <c r="O188" i="3"/>
  <c r="X188" i="3"/>
  <c r="O184" i="3"/>
  <c r="X184" i="3"/>
  <c r="O180" i="3"/>
  <c r="X180" i="3"/>
  <c r="O176" i="3"/>
  <c r="X176" i="3"/>
  <c r="O172" i="3"/>
  <c r="X172" i="3"/>
  <c r="O168" i="3"/>
  <c r="X168" i="3"/>
  <c r="O164" i="3"/>
  <c r="X164" i="3"/>
  <c r="O160" i="3"/>
  <c r="X160" i="3"/>
  <c r="O156" i="3"/>
  <c r="X156" i="3"/>
  <c r="O152" i="3"/>
  <c r="X152" i="3"/>
  <c r="O148" i="3"/>
  <c r="X148" i="3"/>
  <c r="O144" i="3"/>
  <c r="X144" i="3"/>
  <c r="O140" i="3"/>
  <c r="X140" i="3"/>
  <c r="O136" i="3"/>
  <c r="X136" i="3"/>
  <c r="O132" i="3"/>
  <c r="X132" i="3"/>
  <c r="O128" i="3"/>
  <c r="X128" i="3"/>
  <c r="O124" i="3"/>
  <c r="X124" i="3"/>
  <c r="O120" i="3"/>
  <c r="X120" i="3"/>
  <c r="O116" i="3"/>
  <c r="X116" i="3"/>
  <c r="O112" i="3"/>
  <c r="X112" i="3"/>
  <c r="O108" i="3"/>
  <c r="X108" i="3"/>
  <c r="O104" i="3"/>
  <c r="X104" i="3"/>
  <c r="O100" i="3"/>
  <c r="X100" i="3"/>
  <c r="O96" i="3"/>
  <c r="X96" i="3"/>
  <c r="O92" i="3"/>
  <c r="X92" i="3"/>
  <c r="O88" i="3"/>
  <c r="X88" i="3"/>
  <c r="O84" i="3"/>
  <c r="X84" i="3"/>
  <c r="O80" i="3"/>
  <c r="X80" i="3"/>
  <c r="O76" i="3"/>
  <c r="X76" i="3"/>
  <c r="O72" i="3"/>
  <c r="X72" i="3"/>
  <c r="O68" i="3"/>
  <c r="X68" i="3"/>
  <c r="O64" i="3"/>
  <c r="X64" i="3"/>
  <c r="O60" i="3"/>
  <c r="X60" i="3"/>
  <c r="O56" i="3"/>
  <c r="X56" i="3"/>
  <c r="O52" i="3"/>
  <c r="X52" i="3"/>
  <c r="O48" i="3"/>
  <c r="X48" i="3"/>
  <c r="O44" i="3"/>
  <c r="X44" i="3"/>
  <c r="O40" i="3"/>
  <c r="X40" i="3"/>
  <c r="O36" i="3"/>
  <c r="X36" i="3"/>
  <c r="O32" i="3"/>
  <c r="X32" i="3"/>
  <c r="O28" i="3"/>
  <c r="X28" i="3"/>
  <c r="O24" i="3"/>
  <c r="X24" i="3"/>
  <c r="D5" i="3"/>
  <c r="D7" i="3"/>
  <c r="D8" i="3"/>
  <c r="D9" i="3"/>
  <c r="X368" i="3"/>
  <c r="X364" i="3"/>
  <c r="X360" i="3"/>
  <c r="X353" i="3"/>
  <c r="X329" i="3"/>
  <c r="X297" i="3"/>
  <c r="X265" i="3"/>
  <c r="X233" i="3"/>
  <c r="X201" i="3"/>
  <c r="X169" i="3"/>
  <c r="X137" i="3"/>
  <c r="X105" i="3"/>
  <c r="X73" i="3"/>
  <c r="X41" i="3"/>
  <c r="E4" i="3"/>
  <c r="E5" i="3"/>
  <c r="X361" i="3"/>
  <c r="X317" i="3"/>
  <c r="X285" i="3"/>
  <c r="X253" i="3"/>
  <c r="X221" i="3"/>
  <c r="X189" i="3"/>
  <c r="X157" i="3"/>
  <c r="X125" i="3"/>
  <c r="X93" i="3"/>
  <c r="X61" i="3"/>
  <c r="X29" i="3"/>
  <c r="O362" i="3"/>
  <c r="O349" i="3"/>
  <c r="O342" i="3"/>
  <c r="O21" i="3"/>
  <c r="O327" i="3"/>
  <c r="X327" i="3"/>
  <c r="O323" i="3"/>
  <c r="X323" i="3"/>
  <c r="O311" i="3"/>
  <c r="X311" i="3"/>
  <c r="O307" i="3"/>
  <c r="X307" i="3"/>
  <c r="O295" i="3"/>
  <c r="X295" i="3"/>
  <c r="O291" i="3"/>
  <c r="X291" i="3"/>
  <c r="O279" i="3"/>
  <c r="X279" i="3"/>
  <c r="O275" i="3"/>
  <c r="X275" i="3"/>
  <c r="O263" i="3"/>
  <c r="X263" i="3"/>
  <c r="O259" i="3"/>
  <c r="X259" i="3"/>
  <c r="O247" i="3"/>
  <c r="X247" i="3"/>
  <c r="O243" i="3"/>
  <c r="X243" i="3"/>
  <c r="O231" i="3"/>
  <c r="X231" i="3"/>
  <c r="O227" i="3"/>
  <c r="X227" i="3"/>
  <c r="O215" i="3"/>
  <c r="X215" i="3"/>
  <c r="O211" i="3"/>
  <c r="X211" i="3"/>
  <c r="O199" i="3"/>
  <c r="X199" i="3"/>
  <c r="O195" i="3"/>
  <c r="X195" i="3"/>
  <c r="O183" i="3"/>
  <c r="X183" i="3"/>
  <c r="O179" i="3"/>
  <c r="X179" i="3"/>
  <c r="O167" i="3"/>
  <c r="X167" i="3"/>
  <c r="O163" i="3"/>
  <c r="X163" i="3"/>
  <c r="O151" i="3"/>
  <c r="X151" i="3"/>
  <c r="O147" i="3"/>
  <c r="X147" i="3"/>
  <c r="O135" i="3"/>
  <c r="X135" i="3"/>
  <c r="O131" i="3"/>
  <c r="X131" i="3"/>
  <c r="O119" i="3"/>
  <c r="X119" i="3"/>
  <c r="O115" i="3"/>
  <c r="X115" i="3"/>
  <c r="O103" i="3"/>
  <c r="X103" i="3"/>
  <c r="O99" i="3"/>
  <c r="X99" i="3"/>
  <c r="O87" i="3"/>
  <c r="X87" i="3"/>
  <c r="O83" i="3"/>
  <c r="X83" i="3"/>
  <c r="O71" i="3"/>
  <c r="X71" i="3"/>
  <c r="O67" i="3"/>
  <c r="X67" i="3"/>
  <c r="O55" i="3"/>
  <c r="X55" i="3"/>
  <c r="O51" i="3"/>
  <c r="X51" i="3"/>
  <c r="O39" i="3"/>
  <c r="X39" i="3"/>
  <c r="O35" i="3"/>
  <c r="X35" i="3"/>
  <c r="O23" i="3"/>
  <c r="X23" i="3"/>
  <c r="G5" i="3"/>
  <c r="G7" i="3"/>
  <c r="G8" i="3"/>
  <c r="X359" i="3"/>
  <c r="X343" i="3"/>
  <c r="X309" i="3"/>
  <c r="X277" i="3"/>
  <c r="X245" i="3"/>
  <c r="X213" i="3"/>
  <c r="X181" i="3"/>
  <c r="X149" i="3"/>
  <c r="X117" i="3"/>
  <c r="X85" i="3"/>
  <c r="X53" i="3"/>
  <c r="O341" i="3"/>
  <c r="O321" i="3"/>
  <c r="O289" i="3"/>
  <c r="O257" i="3"/>
  <c r="O225" i="3"/>
  <c r="O193" i="3"/>
  <c r="O161" i="3"/>
  <c r="O129" i="3"/>
  <c r="O97" i="3"/>
  <c r="O65" i="3"/>
  <c r="O33" i="3"/>
  <c r="X358" i="3"/>
  <c r="X354" i="3"/>
  <c r="X350" i="3"/>
  <c r="X346" i="3"/>
  <c r="X334" i="3"/>
  <c r="X330" i="3"/>
  <c r="X326" i="3"/>
  <c r="X322" i="3"/>
  <c r="X318" i="3"/>
  <c r="X314" i="3"/>
  <c r="X310" i="3"/>
  <c r="X302" i="3"/>
  <c r="X298" i="3"/>
  <c r="X294" i="3"/>
  <c r="X290" i="3"/>
  <c r="X286" i="3"/>
  <c r="X282" i="3"/>
  <c r="X274" i="3"/>
  <c r="X270" i="3"/>
  <c r="X266" i="3"/>
  <c r="X262" i="3"/>
  <c r="X258" i="3"/>
  <c r="X254" i="3"/>
  <c r="X250" i="3"/>
  <c r="X246" i="3"/>
  <c r="X238" i="3"/>
  <c r="X234" i="3"/>
  <c r="X230" i="3"/>
  <c r="X226" i="3"/>
  <c r="X218" i="3"/>
  <c r="X214" i="3"/>
  <c r="X210" i="3"/>
  <c r="X206" i="3"/>
  <c r="X202" i="3"/>
  <c r="X198" i="3"/>
  <c r="X194" i="3"/>
  <c r="X190" i="3"/>
  <c r="X186" i="3"/>
  <c r="X182" i="3"/>
  <c r="X178" i="3"/>
  <c r="X174" i="3"/>
  <c r="X170" i="3"/>
  <c r="X166" i="3"/>
  <c r="X162" i="3"/>
  <c r="X154" i="3"/>
  <c r="X150" i="3"/>
  <c r="X146" i="3"/>
  <c r="X142" i="3"/>
  <c r="X138" i="3"/>
  <c r="X134" i="3"/>
  <c r="X130" i="3"/>
  <c r="X126" i="3"/>
  <c r="X122" i="3"/>
  <c r="X118" i="3"/>
  <c r="X114" i="3"/>
  <c r="X110" i="3"/>
  <c r="X106" i="3"/>
  <c r="X102" i="3"/>
  <c r="X98" i="3"/>
  <c r="X94" i="3"/>
  <c r="X90" i="3"/>
  <c r="X86" i="3"/>
  <c r="X78" i="3"/>
  <c r="X74" i="3"/>
  <c r="X70" i="3"/>
  <c r="X66" i="3"/>
  <c r="X62" i="3"/>
  <c r="X58" i="3"/>
  <c r="X54" i="3"/>
  <c r="X50" i="3"/>
  <c r="X46" i="3"/>
  <c r="X42" i="3"/>
  <c r="X38" i="3"/>
  <c r="X34" i="3"/>
  <c r="X30" i="3"/>
  <c r="X26" i="3"/>
  <c r="X22" i="3"/>
  <c r="F4" i="3"/>
  <c r="F5" i="3"/>
  <c r="F7" i="3"/>
  <c r="F8" i="3"/>
  <c r="X264" i="7"/>
  <c r="X256" i="7"/>
  <c r="X248" i="7"/>
  <c r="X240" i="7"/>
  <c r="X232" i="7"/>
  <c r="X224" i="7"/>
  <c r="X216" i="7"/>
  <c r="X208" i="7"/>
  <c r="X200" i="7"/>
  <c r="X192" i="7"/>
  <c r="X184" i="7"/>
  <c r="X176" i="7"/>
  <c r="X168" i="7"/>
  <c r="X164" i="7"/>
  <c r="X156" i="7"/>
  <c r="X148" i="7"/>
  <c r="X140" i="7"/>
  <c r="X132" i="7"/>
  <c r="X124" i="7"/>
  <c r="X116" i="7"/>
  <c r="X108" i="7"/>
  <c r="X100" i="7"/>
  <c r="X84" i="7"/>
  <c r="X80" i="7"/>
  <c r="X72" i="7"/>
  <c r="X52" i="7"/>
  <c r="X48" i="7"/>
  <c r="X40" i="7"/>
  <c r="X32" i="7"/>
  <c r="X24" i="7"/>
  <c r="X247" i="7"/>
  <c r="X239" i="7"/>
  <c r="X223" i="7"/>
  <c r="X207" i="7"/>
  <c r="X191" i="7"/>
  <c r="X159" i="7"/>
  <c r="X151" i="7"/>
  <c r="X143" i="7"/>
  <c r="X135" i="7"/>
  <c r="X127" i="7"/>
  <c r="X119" i="7"/>
  <c r="X111" i="7"/>
  <c r="X103" i="7"/>
  <c r="X95" i="7"/>
  <c r="X87" i="7"/>
  <c r="X79" i="7"/>
  <c r="X71" i="7"/>
  <c r="X63" i="7"/>
  <c r="X55" i="7"/>
  <c r="X47" i="7"/>
  <c r="X39" i="7"/>
  <c r="X23" i="7"/>
  <c r="X267" i="7"/>
  <c r="X251" i="7"/>
  <c r="X235" i="7"/>
  <c r="X219" i="7"/>
  <c r="X203" i="7"/>
  <c r="X187" i="7"/>
  <c r="X171" i="7"/>
  <c r="X155" i="7"/>
  <c r="X139" i="7"/>
  <c r="X123" i="7"/>
  <c r="X107" i="7"/>
  <c r="X91" i="7"/>
  <c r="X75" i="7"/>
  <c r="X59" i="7"/>
  <c r="X43" i="7"/>
  <c r="X27" i="7"/>
  <c r="X268" i="7"/>
  <c r="X260" i="7"/>
  <c r="X252" i="7"/>
  <c r="X244" i="7"/>
  <c r="X236" i="7"/>
  <c r="X228" i="7"/>
  <c r="X220" i="7"/>
  <c r="X212" i="7"/>
  <c r="X204" i="7"/>
  <c r="X196" i="7"/>
  <c r="X188" i="7"/>
  <c r="X180" i="7"/>
  <c r="X172" i="7"/>
  <c r="X160" i="7"/>
  <c r="X152" i="7"/>
  <c r="X144" i="7"/>
  <c r="X136" i="7"/>
  <c r="X128" i="7"/>
  <c r="X120" i="7"/>
  <c r="X112" i="7"/>
  <c r="X104" i="7"/>
  <c r="X88" i="7"/>
  <c r="X68" i="7"/>
  <c r="X64" i="7"/>
  <c r="X56" i="7"/>
  <c r="X36" i="7"/>
  <c r="X263" i="7"/>
  <c r="X255" i="7"/>
  <c r="X231" i="7"/>
  <c r="X215" i="7"/>
  <c r="X199" i="7"/>
  <c r="X183" i="7"/>
  <c r="X175" i="7"/>
  <c r="X167" i="7"/>
  <c r="X31" i="7"/>
  <c r="X269" i="7"/>
  <c r="X265" i="7"/>
  <c r="X261" i="7"/>
  <c r="X257" i="7"/>
  <c r="X253" i="7"/>
  <c r="X249" i="7"/>
  <c r="X245" i="7"/>
  <c r="X241" i="7"/>
  <c r="X237" i="7"/>
  <c r="X233" i="7"/>
  <c r="X229" i="7"/>
  <c r="X225" i="7"/>
  <c r="X221" i="7"/>
  <c r="X217" i="7"/>
  <c r="X213" i="7"/>
  <c r="X209" i="7"/>
  <c r="X205" i="7"/>
  <c r="X201" i="7"/>
  <c r="X197" i="7"/>
  <c r="X193" i="7"/>
  <c r="X189" i="7"/>
  <c r="X185" i="7"/>
  <c r="X181" i="7"/>
  <c r="X177" i="7"/>
  <c r="X173" i="7"/>
  <c r="X169" i="7"/>
  <c r="X165" i="7"/>
  <c r="X161" i="7"/>
  <c r="X157" i="7"/>
  <c r="X153" i="7"/>
  <c r="X149" i="7"/>
  <c r="X145" i="7"/>
  <c r="X141" i="7"/>
  <c r="X137" i="7"/>
  <c r="X133" i="7"/>
  <c r="X129" i="7"/>
  <c r="X125" i="7"/>
  <c r="X121" i="7"/>
  <c r="X117" i="7"/>
  <c r="X113" i="7"/>
  <c r="X109" i="7"/>
  <c r="X105" i="7"/>
  <c r="X101" i="7"/>
  <c r="X97" i="7"/>
  <c r="X93" i="7"/>
  <c r="X89" i="7"/>
  <c r="X85" i="7"/>
  <c r="X81" i="7"/>
  <c r="X77" i="7"/>
  <c r="X73" i="7"/>
  <c r="X69" i="7"/>
  <c r="X65" i="7"/>
  <c r="X61" i="7"/>
  <c r="X57" i="7"/>
  <c r="X53" i="7"/>
  <c r="X49" i="7"/>
  <c r="X45" i="7"/>
  <c r="X41" i="7"/>
  <c r="X37" i="7"/>
  <c r="X33" i="7"/>
  <c r="X29" i="7"/>
  <c r="X25" i="7"/>
  <c r="X21" i="7"/>
  <c r="X31" i="6"/>
  <c r="O70" i="6"/>
  <c r="O66" i="6"/>
  <c r="O62" i="6"/>
  <c r="O58" i="6"/>
  <c r="O54" i="6"/>
  <c r="O50" i="6"/>
  <c r="O46" i="6"/>
  <c r="O42" i="6"/>
  <c r="O38" i="6"/>
  <c r="O34" i="6"/>
  <c r="O30" i="6"/>
  <c r="O26" i="6"/>
  <c r="O22" i="6"/>
  <c r="O73" i="6"/>
  <c r="X70" i="6"/>
  <c r="X66" i="6"/>
  <c r="X62" i="6"/>
  <c r="X58" i="6"/>
  <c r="X54" i="6"/>
  <c r="X50" i="6"/>
  <c r="X46" i="6"/>
  <c r="X42" i="6"/>
  <c r="X38" i="6"/>
  <c r="X34" i="6"/>
  <c r="X30" i="6"/>
  <c r="X26" i="6"/>
  <c r="X22" i="6"/>
  <c r="X27" i="6"/>
  <c r="O69" i="6"/>
  <c r="O65" i="6"/>
  <c r="O61" i="6"/>
  <c r="O57" i="6"/>
  <c r="O53" i="6"/>
  <c r="O49" i="6"/>
  <c r="O45" i="6"/>
  <c r="O41" i="6"/>
  <c r="O37" i="6"/>
  <c r="O33" i="6"/>
  <c r="O21" i="6"/>
  <c r="O175" i="5"/>
  <c r="O382" i="5"/>
  <c r="O371" i="5"/>
  <c r="O355" i="5"/>
  <c r="O350" i="5"/>
  <c r="O339" i="5"/>
  <c r="O334" i="5"/>
  <c r="O323" i="5"/>
  <c r="O318" i="5"/>
  <c r="O307" i="5"/>
  <c r="O302" i="5"/>
  <c r="O291" i="5"/>
  <c r="O286" i="5"/>
  <c r="O275" i="5"/>
  <c r="O270" i="5"/>
  <c r="O259" i="5"/>
  <c r="O254" i="5"/>
  <c r="O243" i="5"/>
  <c r="O238" i="5"/>
  <c r="O227" i="5"/>
  <c r="O222" i="5"/>
  <c r="O211" i="5"/>
  <c r="O206" i="5"/>
  <c r="O195" i="5"/>
  <c r="O190" i="5"/>
  <c r="O179" i="5"/>
  <c r="O174" i="5"/>
  <c r="O163" i="5"/>
  <c r="O158" i="5"/>
  <c r="O147" i="5"/>
  <c r="O142" i="5"/>
  <c r="O131" i="5"/>
  <c r="O126" i="5"/>
  <c r="O115" i="5"/>
  <c r="O110" i="5"/>
  <c r="O99" i="5"/>
  <c r="O94" i="5"/>
  <c r="O83" i="5"/>
  <c r="O78" i="5"/>
  <c r="O67" i="5"/>
  <c r="O62" i="5"/>
  <c r="O51" i="5"/>
  <c r="O46" i="5"/>
  <c r="O35" i="5"/>
  <c r="O30" i="5"/>
  <c r="O19" i="5"/>
  <c r="O479" i="5"/>
  <c r="X472" i="5"/>
  <c r="X456" i="5"/>
  <c r="X440" i="5"/>
  <c r="X424" i="5"/>
  <c r="X408" i="5"/>
  <c r="X392" i="5"/>
  <c r="X376" i="5"/>
  <c r="X360" i="5"/>
  <c r="X330" i="5"/>
  <c r="X298" i="5"/>
  <c r="X266" i="5"/>
  <c r="X234" i="5"/>
  <c r="X202" i="5"/>
  <c r="X170" i="5"/>
  <c r="X138" i="5"/>
  <c r="X106" i="5"/>
  <c r="X74" i="5"/>
  <c r="X42" i="5"/>
  <c r="O383" i="5"/>
  <c r="O351" i="5"/>
  <c r="O319" i="5"/>
  <c r="O287" i="5"/>
  <c r="O255" i="5"/>
  <c r="O239" i="5"/>
  <c r="O191" i="5"/>
  <c r="O143" i="5"/>
  <c r="O111" i="5"/>
  <c r="O79" i="5"/>
  <c r="O47" i="5"/>
  <c r="O31" i="5"/>
  <c r="O403" i="5"/>
  <c r="O398" i="5"/>
  <c r="O387" i="5"/>
  <c r="O366" i="5"/>
  <c r="X18" i="5"/>
  <c r="O18" i="5"/>
  <c r="O475" i="5"/>
  <c r="O471" i="5"/>
  <c r="O467" i="5"/>
  <c r="O463" i="5"/>
  <c r="O459" i="5"/>
  <c r="O455" i="5"/>
  <c r="O451" i="5"/>
  <c r="O447" i="5"/>
  <c r="O443" i="5"/>
  <c r="O439" i="5"/>
  <c r="O435" i="5"/>
  <c r="O431" i="5"/>
  <c r="O427" i="5"/>
  <c r="O423" i="5"/>
  <c r="O419" i="5"/>
  <c r="O415" i="5"/>
  <c r="O411" i="5"/>
  <c r="O407" i="5"/>
  <c r="O402" i="5"/>
  <c r="O397" i="5"/>
  <c r="O391" i="5"/>
  <c r="O386" i="5"/>
  <c r="O381" i="5"/>
  <c r="O375" i="5"/>
  <c r="O370" i="5"/>
  <c r="O365" i="5"/>
  <c r="O359" i="5"/>
  <c r="O354" i="5"/>
  <c r="O349" i="5"/>
  <c r="O343" i="5"/>
  <c r="O338" i="5"/>
  <c r="O333" i="5"/>
  <c r="O327" i="5"/>
  <c r="O322" i="5"/>
  <c r="O317" i="5"/>
  <c r="O311" i="5"/>
  <c r="O306" i="5"/>
  <c r="O301" i="5"/>
  <c r="O295" i="5"/>
  <c r="O290" i="5"/>
  <c r="O285" i="5"/>
  <c r="O279" i="5"/>
  <c r="O274" i="5"/>
  <c r="O269" i="5"/>
  <c r="O263" i="5"/>
  <c r="O258" i="5"/>
  <c r="O253" i="5"/>
  <c r="O247" i="5"/>
  <c r="O242" i="5"/>
  <c r="O237" i="5"/>
  <c r="O231" i="5"/>
  <c r="O226" i="5"/>
  <c r="O221" i="5"/>
  <c r="O215" i="5"/>
  <c r="O210" i="5"/>
  <c r="O205" i="5"/>
  <c r="O199" i="5"/>
  <c r="O194" i="5"/>
  <c r="O189" i="5"/>
  <c r="O183" i="5"/>
  <c r="O178" i="5"/>
  <c r="O173" i="5"/>
  <c r="O167" i="5"/>
  <c r="O162" i="5"/>
  <c r="O157" i="5"/>
  <c r="O151" i="5"/>
  <c r="O146" i="5"/>
  <c r="O141" i="5"/>
  <c r="O135" i="5"/>
  <c r="O130" i="5"/>
  <c r="O125" i="5"/>
  <c r="O119" i="5"/>
  <c r="O114" i="5"/>
  <c r="O109" i="5"/>
  <c r="O103" i="5"/>
  <c r="O98" i="5"/>
  <c r="O93" i="5"/>
  <c r="O87" i="5"/>
  <c r="O82" i="5"/>
  <c r="O77" i="5"/>
  <c r="O71" i="5"/>
  <c r="O66" i="5"/>
  <c r="O61" i="5"/>
  <c r="O55" i="5"/>
  <c r="O50" i="5"/>
  <c r="O45" i="5"/>
  <c r="O39" i="5"/>
  <c r="O34" i="5"/>
  <c r="O29" i="5"/>
  <c r="O23" i="5"/>
  <c r="X468" i="5"/>
  <c r="X452" i="5"/>
  <c r="X436" i="5"/>
  <c r="X420" i="5"/>
  <c r="X354" i="5"/>
  <c r="X322" i="5"/>
  <c r="X290" i="5"/>
  <c r="X258" i="5"/>
  <c r="X226" i="5"/>
  <c r="X194" i="5"/>
  <c r="X162" i="5"/>
  <c r="X130" i="5"/>
  <c r="X98" i="5"/>
  <c r="X66" i="5"/>
  <c r="X34" i="5"/>
  <c r="O399" i="5"/>
  <c r="O367" i="5"/>
  <c r="O335" i="5"/>
  <c r="O303" i="5"/>
  <c r="O271" i="5"/>
  <c r="O223" i="5"/>
  <c r="O207" i="5"/>
  <c r="O159" i="5"/>
  <c r="O127" i="5"/>
  <c r="O95" i="5"/>
  <c r="O63" i="5"/>
  <c r="O404" i="5"/>
  <c r="X406" i="5"/>
  <c r="O400" i="5"/>
  <c r="X402" i="5"/>
  <c r="O396" i="5"/>
  <c r="X398" i="5"/>
  <c r="O392" i="5"/>
  <c r="X394" i="5"/>
  <c r="O388" i="5"/>
  <c r="X390" i="5"/>
  <c r="O384" i="5"/>
  <c r="X386" i="5"/>
  <c r="O380" i="5"/>
  <c r="X382" i="5"/>
  <c r="O376" i="5"/>
  <c r="X378" i="5"/>
  <c r="O372" i="5"/>
  <c r="X374" i="5"/>
  <c r="O368" i="5"/>
  <c r="X370" i="5"/>
  <c r="O364" i="5"/>
  <c r="X366" i="5"/>
  <c r="O360" i="5"/>
  <c r="X362" i="5"/>
  <c r="O356" i="5"/>
  <c r="X358" i="5"/>
  <c r="O348" i="5"/>
  <c r="X350" i="5"/>
  <c r="O340" i="5"/>
  <c r="X342" i="5"/>
  <c r="O332" i="5"/>
  <c r="X334" i="5"/>
  <c r="O324" i="5"/>
  <c r="X326" i="5"/>
  <c r="O316" i="5"/>
  <c r="X318" i="5"/>
  <c r="O308" i="5"/>
  <c r="X310" i="5"/>
  <c r="O300" i="5"/>
  <c r="X302" i="5"/>
  <c r="O292" i="5"/>
  <c r="X294" i="5"/>
  <c r="O284" i="5"/>
  <c r="X286" i="5"/>
  <c r="O276" i="5"/>
  <c r="X278" i="5"/>
  <c r="O268" i="5"/>
  <c r="X270" i="5"/>
  <c r="O260" i="5"/>
  <c r="X262" i="5"/>
  <c r="O252" i="5"/>
  <c r="X254" i="5"/>
  <c r="O244" i="5"/>
  <c r="X246" i="5"/>
  <c r="O236" i="5"/>
  <c r="X238" i="5"/>
  <c r="O228" i="5"/>
  <c r="X230" i="5"/>
  <c r="O220" i="5"/>
  <c r="X222" i="5"/>
  <c r="O212" i="5"/>
  <c r="X214" i="5"/>
  <c r="O204" i="5"/>
  <c r="X206" i="5"/>
  <c r="O196" i="5"/>
  <c r="X198" i="5"/>
  <c r="O188" i="5"/>
  <c r="X190" i="5"/>
  <c r="O180" i="5"/>
  <c r="X182" i="5"/>
  <c r="O172" i="5"/>
  <c r="X174" i="5"/>
  <c r="O164" i="5"/>
  <c r="X166" i="5"/>
  <c r="O156" i="5"/>
  <c r="X158" i="5"/>
  <c r="O148" i="5"/>
  <c r="X150" i="5"/>
  <c r="O140" i="5"/>
  <c r="X142" i="5"/>
  <c r="O132" i="5"/>
  <c r="X134" i="5"/>
  <c r="O124" i="5"/>
  <c r="X126" i="5"/>
  <c r="O116" i="5"/>
  <c r="X118" i="5"/>
  <c r="O108" i="5"/>
  <c r="X110" i="5"/>
  <c r="O100" i="5"/>
  <c r="X102" i="5"/>
  <c r="O92" i="5"/>
  <c r="X94" i="5"/>
  <c r="O84" i="5"/>
  <c r="X86" i="5"/>
  <c r="O76" i="5"/>
  <c r="X78" i="5"/>
  <c r="O68" i="5"/>
  <c r="X70" i="5"/>
  <c r="O60" i="5"/>
  <c r="X62" i="5"/>
  <c r="O52" i="5"/>
  <c r="X54" i="5"/>
  <c r="O44" i="5"/>
  <c r="X46" i="5"/>
  <c r="O36" i="5"/>
  <c r="X38" i="5"/>
  <c r="O28" i="5"/>
  <c r="X30" i="5"/>
  <c r="O20" i="5"/>
  <c r="X22" i="5"/>
  <c r="O12" i="5" s="1"/>
  <c r="O478" i="5"/>
  <c r="O462" i="5"/>
  <c r="O446" i="5"/>
  <c r="O430" i="5"/>
  <c r="O414" i="5"/>
  <c r="O401" i="5"/>
  <c r="O395" i="5"/>
  <c r="O385" i="5"/>
  <c r="O379" i="5"/>
  <c r="O369" i="5"/>
  <c r="O363" i="5"/>
  <c r="O353" i="5"/>
  <c r="O347" i="5"/>
  <c r="O342" i="5"/>
  <c r="O337" i="5"/>
  <c r="O331" i="5"/>
  <c r="O326" i="5"/>
  <c r="O321" i="5"/>
  <c r="O315" i="5"/>
  <c r="O310" i="5"/>
  <c r="O305" i="5"/>
  <c r="O299" i="5"/>
  <c r="O294" i="5"/>
  <c r="O289" i="5"/>
  <c r="O283" i="5"/>
  <c r="O278" i="5"/>
  <c r="O273" i="5"/>
  <c r="O267" i="5"/>
  <c r="O262" i="5"/>
  <c r="O257" i="5"/>
  <c r="O251" i="5"/>
  <c r="O246" i="5"/>
  <c r="O241" i="5"/>
  <c r="O235" i="5"/>
  <c r="O230" i="5"/>
  <c r="O225" i="5"/>
  <c r="O219" i="5"/>
  <c r="O214" i="5"/>
  <c r="O209" i="5"/>
  <c r="O203" i="5"/>
  <c r="O198" i="5"/>
  <c r="O193" i="5"/>
  <c r="O187" i="5"/>
  <c r="O182" i="5"/>
  <c r="O177" i="5"/>
  <c r="O171" i="5"/>
  <c r="O166" i="5"/>
  <c r="O161" i="5"/>
  <c r="O155" i="5"/>
  <c r="O150" i="5"/>
  <c r="O145" i="5"/>
  <c r="O139" i="5"/>
  <c r="O134" i="5"/>
  <c r="O129" i="5"/>
  <c r="O123" i="5"/>
  <c r="O118" i="5"/>
  <c r="O113" i="5"/>
  <c r="O107" i="5"/>
  <c r="O102" i="5"/>
  <c r="O97" i="5"/>
  <c r="O91" i="5"/>
  <c r="O86" i="5"/>
  <c r="O81" i="5"/>
  <c r="O75" i="5"/>
  <c r="O70" i="5"/>
  <c r="O65" i="5"/>
  <c r="O59" i="5"/>
  <c r="O54" i="5"/>
  <c r="O49" i="5"/>
  <c r="O43" i="5"/>
  <c r="O38" i="5"/>
  <c r="O33" i="5"/>
  <c r="O27" i="5"/>
  <c r="O22" i="5"/>
  <c r="X480" i="5"/>
  <c r="X346" i="5"/>
  <c r="X314" i="5"/>
  <c r="X282" i="5"/>
  <c r="X250" i="5"/>
  <c r="X218" i="5"/>
  <c r="X186" i="5"/>
  <c r="X154" i="5"/>
  <c r="X122" i="5"/>
  <c r="X90" i="5"/>
  <c r="X58" i="5"/>
  <c r="X26" i="5"/>
  <c r="O84" i="4"/>
  <c r="X86" i="4"/>
  <c r="O68" i="4"/>
  <c r="X70" i="4"/>
  <c r="O52" i="4"/>
  <c r="X54" i="4"/>
  <c r="O36" i="4"/>
  <c r="X38" i="4"/>
  <c r="O20" i="4"/>
  <c r="X22" i="4"/>
  <c r="O276" i="4"/>
  <c r="O260" i="4"/>
  <c r="O244" i="4"/>
  <c r="O228" i="4"/>
  <c r="O212" i="4"/>
  <c r="O196" i="4"/>
  <c r="O180" i="4"/>
  <c r="X286" i="4"/>
  <c r="X254" i="4"/>
  <c r="X222" i="4"/>
  <c r="X158" i="4"/>
  <c r="X126" i="4"/>
  <c r="X94" i="4"/>
  <c r="X62" i="4"/>
  <c r="X30" i="4"/>
  <c r="O232" i="4"/>
  <c r="O227" i="4"/>
  <c r="O184" i="4"/>
  <c r="O179" i="4"/>
  <c r="O168" i="4"/>
  <c r="O144" i="4"/>
  <c r="O35" i="4"/>
  <c r="X168" i="4"/>
  <c r="O166" i="4"/>
  <c r="X164" i="4"/>
  <c r="O162" i="4"/>
  <c r="X160" i="4"/>
  <c r="O158" i="4"/>
  <c r="X156" i="4"/>
  <c r="O154" i="4"/>
  <c r="X152" i="4"/>
  <c r="O150" i="4"/>
  <c r="X148" i="4"/>
  <c r="O146" i="4"/>
  <c r="X144" i="4"/>
  <c r="O142" i="4"/>
  <c r="X140" i="4"/>
  <c r="O138" i="4"/>
  <c r="X136" i="4"/>
  <c r="O134" i="4"/>
  <c r="X132" i="4"/>
  <c r="O130" i="4"/>
  <c r="X128" i="4"/>
  <c r="O126" i="4"/>
  <c r="X124" i="4"/>
  <c r="O122" i="4"/>
  <c r="X120" i="4"/>
  <c r="O118" i="4"/>
  <c r="X116" i="4"/>
  <c r="O114" i="4"/>
  <c r="X112" i="4"/>
  <c r="O110" i="4"/>
  <c r="X108" i="4"/>
  <c r="O106" i="4"/>
  <c r="X104" i="4"/>
  <c r="O102" i="4"/>
  <c r="X100" i="4"/>
  <c r="O98" i="4"/>
  <c r="X92" i="4"/>
  <c r="O90" i="4"/>
  <c r="X88" i="4"/>
  <c r="O86" i="4"/>
  <c r="X76" i="4"/>
  <c r="O74" i="4"/>
  <c r="X72" i="4"/>
  <c r="O70" i="4"/>
  <c r="X60" i="4"/>
  <c r="O58" i="4"/>
  <c r="X56" i="4"/>
  <c r="O54" i="4"/>
  <c r="X44" i="4"/>
  <c r="O42" i="4"/>
  <c r="X40" i="4"/>
  <c r="O38" i="4"/>
  <c r="X28" i="4"/>
  <c r="O26" i="4"/>
  <c r="X24" i="4"/>
  <c r="O22" i="4"/>
  <c r="O279" i="4"/>
  <c r="O274" i="4"/>
  <c r="O268" i="4"/>
  <c r="O258" i="4"/>
  <c r="O247" i="4"/>
  <c r="O242" i="4"/>
  <c r="O236" i="4"/>
  <c r="O226" i="4"/>
  <c r="O215" i="4"/>
  <c r="O210" i="4"/>
  <c r="O204" i="4"/>
  <c r="O194" i="4"/>
  <c r="O188" i="4"/>
  <c r="O183" i="4"/>
  <c r="O178" i="4"/>
  <c r="O172" i="4"/>
  <c r="O159" i="4"/>
  <c r="O151" i="4"/>
  <c r="O143" i="4"/>
  <c r="O127" i="4"/>
  <c r="O119" i="4"/>
  <c r="O111" i="4"/>
  <c r="O95" i="4"/>
  <c r="O87" i="4"/>
  <c r="O77" i="4"/>
  <c r="O66" i="4"/>
  <c r="O55" i="4"/>
  <c r="O45" i="4"/>
  <c r="O34" i="4"/>
  <c r="O23" i="4"/>
  <c r="X291" i="4"/>
  <c r="X259" i="4"/>
  <c r="X227" i="4"/>
  <c r="X195" i="4"/>
  <c r="X163" i="4"/>
  <c r="X142" i="4"/>
  <c r="X131" i="4"/>
  <c r="X110" i="4"/>
  <c r="X99" i="4"/>
  <c r="X78" i="4"/>
  <c r="X67" i="4"/>
  <c r="X46" i="4"/>
  <c r="X35" i="4"/>
  <c r="O72" i="4"/>
  <c r="X74" i="4"/>
  <c r="O56" i="4"/>
  <c r="X58" i="4"/>
  <c r="O40" i="4"/>
  <c r="X42" i="4"/>
  <c r="O24" i="4"/>
  <c r="X26" i="4"/>
  <c r="O79" i="4"/>
  <c r="X81" i="4"/>
  <c r="O63" i="4"/>
  <c r="X65" i="4"/>
  <c r="O47" i="4"/>
  <c r="X49" i="4"/>
  <c r="O31" i="4"/>
  <c r="X33" i="4"/>
  <c r="O280" i="4"/>
  <c r="O275" i="4"/>
  <c r="O264" i="4"/>
  <c r="O259" i="4"/>
  <c r="O248" i="4"/>
  <c r="O243" i="4"/>
  <c r="O216" i="4"/>
  <c r="O211" i="4"/>
  <c r="O200" i="4"/>
  <c r="O195" i="4"/>
  <c r="O160" i="4"/>
  <c r="O152" i="4"/>
  <c r="O136" i="4"/>
  <c r="O128" i="4"/>
  <c r="O120" i="4"/>
  <c r="O112" i="4"/>
  <c r="O104" i="4"/>
  <c r="O96" i="4"/>
  <c r="O88" i="4"/>
  <c r="O67" i="4"/>
  <c r="X285" i="4"/>
  <c r="X274" i="4"/>
  <c r="X253" i="4"/>
  <c r="X242" i="4"/>
  <c r="X221" i="4"/>
  <c r="X210" i="4"/>
  <c r="X189" i="4"/>
  <c r="X178" i="4"/>
  <c r="X82" i="4"/>
  <c r="X61" i="4"/>
  <c r="X50" i="4"/>
  <c r="X29" i="4"/>
  <c r="X96" i="4"/>
  <c r="O94" i="4"/>
  <c r="O19" i="4"/>
  <c r="X287" i="4"/>
  <c r="O285" i="4"/>
  <c r="O281" i="4"/>
  <c r="X283" i="4"/>
  <c r="X271" i="4"/>
  <c r="O269" i="4"/>
  <c r="O265" i="4"/>
  <c r="X267" i="4"/>
  <c r="X255" i="4"/>
  <c r="O253" i="4"/>
  <c r="O249" i="4"/>
  <c r="X251" i="4"/>
  <c r="X239" i="4"/>
  <c r="O237" i="4"/>
  <c r="O233" i="4"/>
  <c r="X235" i="4"/>
  <c r="X223" i="4"/>
  <c r="O221" i="4"/>
  <c r="O217" i="4"/>
  <c r="X219" i="4"/>
  <c r="X207" i="4"/>
  <c r="O205" i="4"/>
  <c r="O201" i="4"/>
  <c r="X203" i="4"/>
  <c r="X191" i="4"/>
  <c r="O189" i="4"/>
  <c r="O185" i="4"/>
  <c r="X187" i="4"/>
  <c r="X175" i="4"/>
  <c r="O173" i="4"/>
  <c r="O169" i="4"/>
  <c r="X171" i="4"/>
  <c r="X159" i="4"/>
  <c r="O157" i="4"/>
  <c r="O153" i="4"/>
  <c r="X155" i="4"/>
  <c r="X143" i="4"/>
  <c r="O141" i="4"/>
  <c r="O137" i="4"/>
  <c r="X139" i="4"/>
  <c r="X127" i="4"/>
  <c r="O125" i="4"/>
  <c r="O121" i="4"/>
  <c r="X123" i="4"/>
  <c r="X111" i="4"/>
  <c r="O109" i="4"/>
  <c r="O105" i="4"/>
  <c r="X107" i="4"/>
  <c r="X95" i="4"/>
  <c r="O93" i="4"/>
  <c r="O89" i="4"/>
  <c r="X91" i="4"/>
  <c r="O288" i="4"/>
  <c r="O278" i="4"/>
  <c r="O267" i="4"/>
  <c r="O262" i="4"/>
  <c r="O256" i="4"/>
  <c r="O246" i="4"/>
  <c r="O235" i="4"/>
  <c r="O230" i="4"/>
  <c r="O224" i="4"/>
  <c r="O214" i="4"/>
  <c r="O203" i="4"/>
  <c r="O198" i="4"/>
  <c r="O192" i="4"/>
  <c r="O182" i="4"/>
  <c r="O171" i="4"/>
  <c r="O164" i="4"/>
  <c r="O148" i="4"/>
  <c r="O132" i="4"/>
  <c r="O116" i="4"/>
  <c r="O100" i="4"/>
  <c r="O83" i="4"/>
  <c r="O73" i="4"/>
  <c r="O62" i="4"/>
  <c r="O51" i="4"/>
  <c r="O41" i="4"/>
  <c r="O30" i="4"/>
  <c r="O290" i="4"/>
  <c r="X279" i="4"/>
  <c r="X247" i="4"/>
  <c r="X215" i="4"/>
  <c r="X183" i="4"/>
  <c r="X151" i="4"/>
  <c r="X119" i="4"/>
  <c r="X87" i="4"/>
  <c r="X77" i="4"/>
  <c r="X66" i="4"/>
  <c r="X55" i="4"/>
  <c r="X45" i="4"/>
  <c r="X34" i="4"/>
  <c r="X23" i="4"/>
  <c r="U318" i="2"/>
  <c r="U314" i="2"/>
  <c r="U310" i="2"/>
  <c r="U306" i="2"/>
  <c r="U302" i="2"/>
  <c r="U298" i="2"/>
  <c r="U294" i="2"/>
  <c r="U290" i="2"/>
  <c r="U286" i="2"/>
  <c r="U282" i="2"/>
  <c r="U278" i="2"/>
  <c r="U274" i="2"/>
  <c r="U270" i="2"/>
  <c r="U266" i="2"/>
  <c r="U262" i="2"/>
  <c r="U258" i="2"/>
  <c r="U254" i="2"/>
  <c r="U250" i="2"/>
  <c r="U246" i="2"/>
  <c r="U242" i="2"/>
  <c r="U238" i="2"/>
  <c r="U234" i="2"/>
  <c r="U230" i="2"/>
  <c r="U226" i="2"/>
  <c r="U222" i="2"/>
  <c r="U218" i="2"/>
  <c r="U214" i="2"/>
  <c r="U210" i="2"/>
  <c r="U206" i="2"/>
  <c r="U202" i="2"/>
  <c r="U198" i="2"/>
  <c r="U194" i="2"/>
  <c r="U190" i="2"/>
  <c r="U186" i="2"/>
  <c r="U182" i="2"/>
  <c r="U178" i="2"/>
  <c r="U174" i="2"/>
  <c r="U170" i="2"/>
  <c r="U166" i="2"/>
  <c r="U162" i="2"/>
  <c r="U158" i="2"/>
  <c r="U154" i="2"/>
  <c r="U150" i="2"/>
  <c r="U146" i="2"/>
  <c r="U142" i="2"/>
  <c r="U138" i="2"/>
  <c r="U134" i="2"/>
  <c r="U130" i="2"/>
  <c r="U126" i="2"/>
  <c r="U122" i="2"/>
  <c r="U118" i="2"/>
  <c r="U114" i="2"/>
  <c r="U110" i="2"/>
  <c r="U106" i="2"/>
  <c r="U102" i="2"/>
  <c r="U98" i="2"/>
  <c r="U94" i="2"/>
  <c r="U90" i="2"/>
  <c r="U86" i="2"/>
  <c r="U82" i="2"/>
  <c r="U78" i="2"/>
  <c r="U74" i="2"/>
  <c r="U70" i="2"/>
  <c r="U66" i="2"/>
  <c r="U62" i="2"/>
  <c r="U58" i="2"/>
  <c r="U54" i="2"/>
  <c r="U50" i="2"/>
  <c r="U46" i="2"/>
  <c r="U42" i="2"/>
  <c r="U38" i="2"/>
  <c r="U34" i="2"/>
  <c r="U30" i="2"/>
  <c r="U26" i="2"/>
  <c r="U22" i="2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I201" i="1"/>
  <c r="I209" i="1"/>
  <c r="I217" i="1"/>
  <c r="I225" i="1"/>
  <c r="I236" i="1"/>
  <c r="I248" i="1"/>
  <c r="I264" i="1"/>
  <c r="I280" i="1"/>
  <c r="I296" i="1"/>
  <c r="I13" i="1"/>
  <c r="I20" i="1"/>
  <c r="I28" i="1"/>
  <c r="I36" i="1"/>
  <c r="I44" i="1"/>
  <c r="I52" i="1"/>
  <c r="I60" i="1"/>
  <c r="I68" i="1"/>
  <c r="I76" i="1"/>
  <c r="I84" i="1"/>
  <c r="I92" i="1"/>
  <c r="I100" i="1"/>
  <c r="I108" i="1"/>
  <c r="I116" i="1"/>
  <c r="I124" i="1"/>
  <c r="I132" i="1"/>
  <c r="I140" i="1"/>
  <c r="I148" i="1"/>
  <c r="I156" i="1"/>
  <c r="I164" i="1"/>
  <c r="I172" i="1"/>
  <c r="I180" i="1"/>
  <c r="I188" i="1"/>
  <c r="I196" i="1"/>
  <c r="I204" i="1"/>
  <c r="I212" i="1"/>
  <c r="I220" i="1"/>
  <c r="I228" i="1"/>
  <c r="I237" i="1"/>
  <c r="I252" i="1"/>
  <c r="I268" i="1"/>
  <c r="I284" i="1"/>
  <c r="I314" i="1"/>
  <c r="I310" i="1"/>
  <c r="I306" i="1"/>
  <c r="I302" i="1"/>
  <c r="I298" i="1"/>
  <c r="I294" i="1"/>
  <c r="I290" i="1"/>
  <c r="I286" i="1"/>
  <c r="I282" i="1"/>
  <c r="I278" i="1"/>
  <c r="I274" i="1"/>
  <c r="I270" i="1"/>
  <c r="I266" i="1"/>
  <c r="I262" i="1"/>
  <c r="I258" i="1"/>
  <c r="I254" i="1"/>
  <c r="I250" i="1"/>
  <c r="I246" i="1"/>
  <c r="I242" i="1"/>
  <c r="I238" i="1"/>
  <c r="I234" i="1"/>
  <c r="I230" i="1"/>
  <c r="I226" i="1"/>
  <c r="I222" i="1"/>
  <c r="I218" i="1"/>
  <c r="I214" i="1"/>
  <c r="I210" i="1"/>
  <c r="I206" i="1"/>
  <c r="I202" i="1"/>
  <c r="I198" i="1"/>
  <c r="I194" i="1"/>
  <c r="I190" i="1"/>
  <c r="I186" i="1"/>
  <c r="I182" i="1"/>
  <c r="I178" i="1"/>
  <c r="I174" i="1"/>
  <c r="I170" i="1"/>
  <c r="I166" i="1"/>
  <c r="I162" i="1"/>
  <c r="I158" i="1"/>
  <c r="I154" i="1"/>
  <c r="I150" i="1"/>
  <c r="I146" i="1"/>
  <c r="I142" i="1"/>
  <c r="I138" i="1"/>
  <c r="I134" i="1"/>
  <c r="I130" i="1"/>
  <c r="I126" i="1"/>
  <c r="I122" i="1"/>
  <c r="I118" i="1"/>
  <c r="I114" i="1"/>
  <c r="I110" i="1"/>
  <c r="I106" i="1"/>
  <c r="I102" i="1"/>
  <c r="I98" i="1"/>
  <c r="I94" i="1"/>
  <c r="I90" i="1"/>
  <c r="I86" i="1"/>
  <c r="I82" i="1"/>
  <c r="I78" i="1"/>
  <c r="I74" i="1"/>
  <c r="I70" i="1"/>
  <c r="I66" i="1"/>
  <c r="I62" i="1"/>
  <c r="I58" i="1"/>
  <c r="I54" i="1"/>
  <c r="I50" i="1"/>
  <c r="I46" i="1"/>
  <c r="I42" i="1"/>
  <c r="I38" i="1"/>
  <c r="I34" i="1"/>
  <c r="I30" i="1"/>
  <c r="I26" i="1"/>
  <c r="I22" i="1"/>
  <c r="I18" i="1"/>
  <c r="I14" i="1"/>
  <c r="I305" i="1"/>
  <c r="I301" i="1"/>
  <c r="I293" i="1"/>
  <c r="I285" i="1"/>
  <c r="I277" i="1"/>
  <c r="I269" i="1"/>
  <c r="I261" i="1"/>
  <c r="I253" i="1"/>
  <c r="I245" i="1"/>
  <c r="I313" i="1"/>
  <c r="I312" i="1"/>
  <c r="I311" i="1"/>
  <c r="I307" i="1"/>
  <c r="I303" i="1"/>
  <c r="I299" i="1"/>
  <c r="I295" i="1"/>
  <c r="I291" i="1"/>
  <c r="I287" i="1"/>
  <c r="I283" i="1"/>
  <c r="I279" i="1"/>
  <c r="I275" i="1"/>
  <c r="I271" i="1"/>
  <c r="I267" i="1"/>
  <c r="I263" i="1"/>
  <c r="I259" i="1"/>
  <c r="I255" i="1"/>
  <c r="I251" i="1"/>
  <c r="I247" i="1"/>
  <c r="I243" i="1"/>
  <c r="I239" i="1"/>
  <c r="I235" i="1"/>
  <c r="I231" i="1"/>
  <c r="I227" i="1"/>
  <c r="I223" i="1"/>
  <c r="I219" i="1"/>
  <c r="I215" i="1"/>
  <c r="I211" i="1"/>
  <c r="I207" i="1"/>
  <c r="I203" i="1"/>
  <c r="I199" i="1"/>
  <c r="I195" i="1"/>
  <c r="I191" i="1"/>
  <c r="I187" i="1"/>
  <c r="I183" i="1"/>
  <c r="I179" i="1"/>
  <c r="I175" i="1"/>
  <c r="I171" i="1"/>
  <c r="I167" i="1"/>
  <c r="I163" i="1"/>
  <c r="I159" i="1"/>
  <c r="I155" i="1"/>
  <c r="I151" i="1"/>
  <c r="I147" i="1"/>
  <c r="I143" i="1"/>
  <c r="I139" i="1"/>
  <c r="I135" i="1"/>
  <c r="I131" i="1"/>
  <c r="I127" i="1"/>
  <c r="I123" i="1"/>
  <c r="I119" i="1"/>
  <c r="I115" i="1"/>
  <c r="I111" i="1"/>
  <c r="I107" i="1"/>
  <c r="I103" i="1"/>
  <c r="I99" i="1"/>
  <c r="I95" i="1"/>
  <c r="I91" i="1"/>
  <c r="I87" i="1"/>
  <c r="I83" i="1"/>
  <c r="I79" i="1"/>
  <c r="I75" i="1"/>
  <c r="I71" i="1"/>
  <c r="I67" i="1"/>
  <c r="I63" i="1"/>
  <c r="I59" i="1"/>
  <c r="I55" i="1"/>
  <c r="I51" i="1"/>
  <c r="I47" i="1"/>
  <c r="I43" i="1"/>
  <c r="I39" i="1"/>
  <c r="I35" i="1"/>
  <c r="I31" i="1"/>
  <c r="I27" i="1"/>
  <c r="I23" i="1"/>
  <c r="I19" i="1"/>
  <c r="I15" i="1"/>
  <c r="I309" i="1"/>
  <c r="I297" i="1"/>
  <c r="I289" i="1"/>
  <c r="I281" i="1"/>
  <c r="I273" i="1"/>
  <c r="I265" i="1"/>
  <c r="I257" i="1"/>
  <c r="I249" i="1"/>
  <c r="I241" i="1"/>
  <c r="I233" i="1"/>
  <c r="I21" i="1"/>
  <c r="I29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141" i="1"/>
  <c r="I149" i="1"/>
  <c r="I157" i="1"/>
  <c r="I165" i="1"/>
  <c r="I173" i="1"/>
  <c r="I181" i="1"/>
  <c r="I189" i="1"/>
  <c r="I197" i="1"/>
  <c r="I205" i="1"/>
  <c r="I213" i="1"/>
  <c r="I221" i="1"/>
  <c r="I229" i="1"/>
  <c r="I240" i="1"/>
  <c r="I256" i="1"/>
  <c r="I272" i="1"/>
  <c r="I288" i="1"/>
  <c r="I304" i="1"/>
  <c r="I16" i="1"/>
  <c r="I24" i="1"/>
  <c r="I32" i="1"/>
  <c r="I40" i="1"/>
  <c r="I48" i="1"/>
  <c r="I56" i="1"/>
  <c r="I64" i="1"/>
  <c r="I72" i="1"/>
  <c r="I80" i="1"/>
  <c r="I88" i="1"/>
  <c r="I96" i="1"/>
  <c r="I104" i="1"/>
  <c r="I112" i="1"/>
  <c r="I120" i="1"/>
  <c r="I128" i="1"/>
  <c r="I136" i="1"/>
  <c r="I144" i="1"/>
  <c r="I152" i="1"/>
  <c r="I160" i="1"/>
  <c r="I168" i="1"/>
  <c r="I176" i="1"/>
  <c r="I184" i="1"/>
  <c r="I192" i="1"/>
  <c r="I200" i="1"/>
  <c r="I208" i="1"/>
  <c r="I216" i="1"/>
  <c r="I224" i="1"/>
  <c r="I232" i="1"/>
  <c r="I244" i="1"/>
  <c r="I260" i="1"/>
  <c r="I276" i="1"/>
  <c r="I292" i="1"/>
  <c r="I308" i="1"/>
  <c r="C10" i="2" l="1"/>
  <c r="M6" i="2"/>
  <c r="M10" i="2"/>
  <c r="M8" i="2"/>
  <c r="M5" i="2"/>
  <c r="M7" i="2"/>
  <c r="O7" i="6"/>
  <c r="O4" i="6"/>
  <c r="O12" i="6"/>
  <c r="O6" i="6"/>
  <c r="O9" i="6"/>
  <c r="C9" i="6"/>
  <c r="O5" i="6"/>
  <c r="O9" i="7"/>
  <c r="O12" i="7"/>
  <c r="C5" i="7"/>
  <c r="O4" i="7"/>
  <c r="O6" i="7"/>
  <c r="O5" i="7"/>
  <c r="O7" i="7"/>
  <c r="O9" i="4"/>
  <c r="O12" i="4"/>
  <c r="O5" i="4"/>
  <c r="O6" i="4"/>
  <c r="O4" i="4"/>
  <c r="O7" i="4"/>
  <c r="O9" i="5"/>
  <c r="O7" i="5"/>
  <c r="O6" i="5"/>
  <c r="O5" i="5"/>
  <c r="O4" i="5"/>
  <c r="O13" i="3"/>
  <c r="O10" i="3"/>
  <c r="O6" i="3"/>
  <c r="O5" i="3"/>
  <c r="O8" i="3"/>
  <c r="O7" i="3"/>
  <c r="C4" i="7"/>
  <c r="C7" i="7"/>
  <c r="C8" i="7"/>
  <c r="G4" i="7"/>
  <c r="C9" i="7"/>
  <c r="C5" i="6"/>
  <c r="C7" i="6"/>
  <c r="C8" i="6"/>
  <c r="C4" i="6"/>
  <c r="C9" i="4"/>
  <c r="C4" i="4"/>
  <c r="C7" i="4"/>
  <c r="G4" i="4"/>
  <c r="C8" i="4"/>
  <c r="C8" i="5"/>
  <c r="C4" i="5" a="1"/>
  <c r="C4" i="5" s="1"/>
  <c r="C5" i="5"/>
  <c r="C7" i="5"/>
  <c r="C9" i="5"/>
  <c r="D4" i="5"/>
  <c r="C8" i="2"/>
  <c r="C5" i="2"/>
  <c r="C6" i="2"/>
  <c r="C9" i="2"/>
  <c r="G5" i="2"/>
  <c r="C5" i="4"/>
  <c r="C4" i="3"/>
  <c r="G4" i="3"/>
  <c r="C5" i="3"/>
  <c r="C7" i="3"/>
  <c r="C8" i="3"/>
  <c r="C9" i="3"/>
  <c r="M11" i="2" l="1"/>
  <c r="O10" i="6"/>
  <c r="O10" i="7"/>
  <c r="O10" i="4"/>
  <c r="O10" i="5"/>
  <c r="O11" i="3"/>
  <c r="D5" i="4"/>
  <c r="D4" i="4"/>
  <c r="E4" i="5"/>
  <c r="D7" i="5"/>
  <c r="G4" i="5"/>
  <c r="D8" i="5"/>
  <c r="D5" i="5"/>
  <c r="G4" i="6" l="1"/>
  <c r="D5" i="6"/>
  <c r="D4" i="6"/>
  <c r="D7" i="6"/>
</calcChain>
</file>

<file path=xl/sharedStrings.xml><?xml version="1.0" encoding="utf-8"?>
<sst xmlns="http://schemas.openxmlformats.org/spreadsheetml/2006/main" count="16511" uniqueCount="1333">
  <si>
    <t>Player</t>
  </si>
  <si>
    <t>V Kohli</t>
  </si>
  <si>
    <t>Mean</t>
  </si>
  <si>
    <t>Median</t>
  </si>
  <si>
    <t>Mode</t>
  </si>
  <si>
    <t>Std. Dev.</t>
  </si>
  <si>
    <t>Skewness</t>
  </si>
  <si>
    <t>Kurtosis</t>
  </si>
  <si>
    <t>S. No.</t>
  </si>
  <si>
    <t>Runs</t>
  </si>
  <si>
    <t>Balls Faced</t>
  </si>
  <si>
    <t>4s</t>
  </si>
  <si>
    <t>6s</t>
  </si>
  <si>
    <t>SR</t>
  </si>
  <si>
    <t>Dismissal</t>
  </si>
  <si>
    <t>Opposition</t>
  </si>
  <si>
    <t>Ground</t>
  </si>
  <si>
    <t>Out</t>
  </si>
  <si>
    <t>Other Stats</t>
  </si>
  <si>
    <t>lbw</t>
  </si>
  <si>
    <t>Sri Lanka</t>
  </si>
  <si>
    <t>Dambulla</t>
  </si>
  <si>
    <t>Yes</t>
  </si>
  <si>
    <t>Matches Played</t>
  </si>
  <si>
    <t>caught</t>
  </si>
  <si>
    <t>Highest Score</t>
  </si>
  <si>
    <t>run out</t>
  </si>
  <si>
    <t>Colombo (RPS)</t>
  </si>
  <si>
    <t>Ducks</t>
  </si>
  <si>
    <t>bowled</t>
  </si>
  <si>
    <t>100s</t>
  </si>
  <si>
    <t>50s</t>
  </si>
  <si>
    <t>not out</t>
  </si>
  <si>
    <t>No</t>
  </si>
  <si>
    <t>Boundary Runs</t>
  </si>
  <si>
    <t>Pakistan</t>
  </si>
  <si>
    <t>Centurion</t>
  </si>
  <si>
    <t>Boundary %</t>
  </si>
  <si>
    <t>TDNB</t>
  </si>
  <si>
    <t>NA</t>
  </si>
  <si>
    <t>Australia</t>
  </si>
  <si>
    <t>CV</t>
  </si>
  <si>
    <t>West Indies</t>
  </si>
  <si>
    <t>Johannesburg</t>
  </si>
  <si>
    <t>Vadodara</t>
  </si>
  <si>
    <t>Avg. Runs against 'Australia'</t>
  </si>
  <si>
    <t>Mohali</t>
  </si>
  <si>
    <t>%times 'run out'</t>
  </si>
  <si>
    <t>Rajkot</t>
  </si>
  <si>
    <t>Total sixes against 'Sri Lanka'</t>
  </si>
  <si>
    <t>Nagpur</t>
  </si>
  <si>
    <t>Eden Gardens</t>
  </si>
  <si>
    <t>Delhi</t>
  </si>
  <si>
    <t>Mirpur</t>
  </si>
  <si>
    <t>Bangladesh</t>
  </si>
  <si>
    <t>South Africa</t>
  </si>
  <si>
    <t>Jaipur</t>
  </si>
  <si>
    <t>DNB</t>
  </si>
  <si>
    <t>Gwalior</t>
  </si>
  <si>
    <t>Ahmedabad</t>
  </si>
  <si>
    <t>Zimbabwe</t>
  </si>
  <si>
    <t>Bulawayo</t>
  </si>
  <si>
    <t>Harare</t>
  </si>
  <si>
    <t>stumped</t>
  </si>
  <si>
    <t>New Zealand</t>
  </si>
  <si>
    <t>Visakhapatnam</t>
  </si>
  <si>
    <t>Guwahati</t>
  </si>
  <si>
    <t>Bengaluru</t>
  </si>
  <si>
    <t>Chennai</t>
  </si>
  <si>
    <t>Durban</t>
  </si>
  <si>
    <t>Cape Town</t>
  </si>
  <si>
    <t>Gqeberha</t>
  </si>
  <si>
    <t>England</t>
  </si>
  <si>
    <t>Ireland</t>
  </si>
  <si>
    <t>Netherlands</t>
  </si>
  <si>
    <t>Wankhede</t>
  </si>
  <si>
    <t>Port of Spain</t>
  </si>
  <si>
    <t>North Sound</t>
  </si>
  <si>
    <t>Kingston</t>
  </si>
  <si>
    <t>Chester-le-Street</t>
  </si>
  <si>
    <t>Southampton</t>
  </si>
  <si>
    <t>The Oval</t>
  </si>
  <si>
    <t>Lord's</t>
  </si>
  <si>
    <t>hit wicket</t>
  </si>
  <si>
    <t>Cardiff</t>
  </si>
  <si>
    <t>Hyderabad</t>
  </si>
  <si>
    <t>Cuttack</t>
  </si>
  <si>
    <t>Indore</t>
  </si>
  <si>
    <t>Melbourne</t>
  </si>
  <si>
    <t>W.A.C.A</t>
  </si>
  <si>
    <t>Adelaide</t>
  </si>
  <si>
    <t>Brisbane</t>
  </si>
  <si>
    <t>Sydney</t>
  </si>
  <si>
    <t>Hobart</t>
  </si>
  <si>
    <t>Hambantota</t>
  </si>
  <si>
    <t>Pallekele</t>
  </si>
  <si>
    <t>Kochi</t>
  </si>
  <si>
    <t>Ranchi</t>
  </si>
  <si>
    <t>Dharamsala</t>
  </si>
  <si>
    <t>Birmingham</t>
  </si>
  <si>
    <t>Pune</t>
  </si>
  <si>
    <t>Kanpur</t>
  </si>
  <si>
    <t>Napier</t>
  </si>
  <si>
    <t>Hamilton</t>
  </si>
  <si>
    <t>Auckland</t>
  </si>
  <si>
    <t>Wellington</t>
  </si>
  <si>
    <t>Fatullah</t>
  </si>
  <si>
    <t>Afghanistan</t>
  </si>
  <si>
    <t>Nottingham</t>
  </si>
  <si>
    <t>Leeds</t>
  </si>
  <si>
    <t>U.A.E.</t>
  </si>
  <si>
    <t>Canberra</t>
  </si>
  <si>
    <t>Brabourne</t>
  </si>
  <si>
    <t>Thiruvananthapuram</t>
  </si>
  <si>
    <t>Mount Maunganui</t>
  </si>
  <si>
    <t>Manchester</t>
  </si>
  <si>
    <t>Providence</t>
  </si>
  <si>
    <t>Paarl</t>
  </si>
  <si>
    <t>Chattogram</t>
  </si>
  <si>
    <t>Raipur</t>
  </si>
  <si>
    <t>Bridgetown</t>
  </si>
  <si>
    <t>Nepal</t>
  </si>
  <si>
    <t>Lucknow</t>
  </si>
  <si>
    <t>Dubai (DICS)</t>
  </si>
  <si>
    <t>Virat Kohli</t>
  </si>
  <si>
    <t>Unstructured Data</t>
  </si>
  <si>
    <t>Structured Data</t>
  </si>
  <si>
    <t>Match No.</t>
  </si>
  <si>
    <t>12</t>
  </si>
  <si>
    <t>22</t>
  </si>
  <si>
    <t>1</t>
  </si>
  <si>
    <t>0</t>
  </si>
  <si>
    <t>54.54</t>
  </si>
  <si>
    <t>v Sri Lanka</t>
  </si>
  <si>
    <t>37</t>
  </si>
  <si>
    <t>67</t>
  </si>
  <si>
    <t>6</t>
  </si>
  <si>
    <t>55.22</t>
  </si>
  <si>
    <t>25</t>
  </si>
  <si>
    <t>38</t>
  </si>
  <si>
    <t>4</t>
  </si>
  <si>
    <t>65.78</t>
  </si>
  <si>
    <t>54</t>
  </si>
  <si>
    <t>66</t>
  </si>
  <si>
    <t>7</t>
  </si>
  <si>
    <t>81.81</t>
  </si>
  <si>
    <t>31</t>
  </si>
  <si>
    <t>46</t>
  </si>
  <si>
    <t>3</t>
  </si>
  <si>
    <t>67.39</t>
  </si>
  <si>
    <t>2*</t>
  </si>
  <si>
    <t>2</t>
  </si>
  <si>
    <t>100.00</t>
  </si>
  <si>
    <t>16</t>
  </si>
  <si>
    <t>24</t>
  </si>
  <si>
    <t>66.66</t>
  </si>
  <si>
    <t>v Pakistan</t>
  </si>
  <si>
    <t>-</t>
  </si>
  <si>
    <t>v Australia</t>
  </si>
  <si>
    <t>79*</t>
  </si>
  <si>
    <t>104</t>
  </si>
  <si>
    <t>9</t>
  </si>
  <si>
    <t>75.96</t>
  </si>
  <si>
    <t>v West Indies</t>
  </si>
  <si>
    <t>30</t>
  </si>
  <si>
    <t>41</t>
  </si>
  <si>
    <t>73.17</t>
  </si>
  <si>
    <t>10</t>
  </si>
  <si>
    <t>62.50</t>
  </si>
  <si>
    <t>27</t>
  </si>
  <si>
    <t>19</t>
  </si>
  <si>
    <t>142.10</t>
  </si>
  <si>
    <t>65</t>
  </si>
  <si>
    <t>83.07</t>
  </si>
  <si>
    <t>107</t>
  </si>
  <si>
    <t>114</t>
  </si>
  <si>
    <t>11</t>
  </si>
  <si>
    <t>93.85</t>
  </si>
  <si>
    <t>75.00</t>
  </si>
  <si>
    <t>91</t>
  </si>
  <si>
    <t>102</t>
  </si>
  <si>
    <t>89.21</t>
  </si>
  <si>
    <t>v Bangladesh</t>
  </si>
  <si>
    <t>71*</t>
  </si>
  <si>
    <t>68</t>
  </si>
  <si>
    <t>104.41</t>
  </si>
  <si>
    <t>102*</t>
  </si>
  <si>
    <t>95</t>
  </si>
  <si>
    <t>107.36</t>
  </si>
  <si>
    <t>8</t>
  </si>
  <si>
    <t>25.00</t>
  </si>
  <si>
    <t>v South Africa</t>
  </si>
  <si>
    <t>57</t>
  </si>
  <si>
    <t>71</t>
  </si>
  <si>
    <t>80.28</t>
  </si>
  <si>
    <t>v Zimbabwe</t>
  </si>
  <si>
    <t>82</t>
  </si>
  <si>
    <t>92</t>
  </si>
  <si>
    <t>89.13</t>
  </si>
  <si>
    <t>18</t>
  </si>
  <si>
    <t>29</t>
  </si>
  <si>
    <t>62.06</t>
  </si>
  <si>
    <t>5</t>
  </si>
  <si>
    <t>71.57</t>
  </si>
  <si>
    <t>50.00</t>
  </si>
  <si>
    <t>14</t>
  </si>
  <si>
    <t>71.42</t>
  </si>
  <si>
    <t>28</t>
  </si>
  <si>
    <t>34</t>
  </si>
  <si>
    <t>82.35</t>
  </si>
  <si>
    <t>0.00</t>
  </si>
  <si>
    <t>v New Zealand</t>
  </si>
  <si>
    <t>64.91</t>
  </si>
  <si>
    <t>118</t>
  </si>
  <si>
    <t>121</t>
  </si>
  <si>
    <t>97.52</t>
  </si>
  <si>
    <t>105</t>
  </si>
  <si>
    <t>100.96</t>
  </si>
  <si>
    <t>64</t>
  </si>
  <si>
    <t>73</t>
  </si>
  <si>
    <t>87.67</t>
  </si>
  <si>
    <t>63*</t>
  </si>
  <si>
    <t>70</t>
  </si>
  <si>
    <t>90.00</t>
  </si>
  <si>
    <t>77.14</t>
  </si>
  <si>
    <t>64.70</t>
  </si>
  <si>
    <t>68.29</t>
  </si>
  <si>
    <t>87*</t>
  </si>
  <si>
    <t>94.56</t>
  </si>
  <si>
    <t>33.33</t>
  </si>
  <si>
    <t>100*</t>
  </si>
  <si>
    <t>83</t>
  </si>
  <si>
    <t>120.48</t>
  </si>
  <si>
    <t>160.00</t>
  </si>
  <si>
    <t>v England</t>
  </si>
  <si>
    <t>53</t>
  </si>
  <si>
    <t>64.15</t>
  </si>
  <si>
    <t>v Ireland</t>
  </si>
  <si>
    <t>20</t>
  </si>
  <si>
    <t>60.00</t>
  </si>
  <si>
    <t>v Netherlands</t>
  </si>
  <si>
    <t>59</t>
  </si>
  <si>
    <t>76</t>
  </si>
  <si>
    <t>77.63</t>
  </si>
  <si>
    <t>33</t>
  </si>
  <si>
    <t>72.72</t>
  </si>
  <si>
    <t>21</t>
  </si>
  <si>
    <t>42.85</t>
  </si>
  <si>
    <t>35</t>
  </si>
  <si>
    <t>49</t>
  </si>
  <si>
    <t>81</t>
  </si>
  <si>
    <t>103</t>
  </si>
  <si>
    <t>78.64</t>
  </si>
  <si>
    <t>94</t>
  </si>
  <si>
    <t>90.38</t>
  </si>
  <si>
    <t>55</t>
  </si>
  <si>
    <t>75.34</t>
  </si>
  <si>
    <t>38.88</t>
  </si>
  <si>
    <t>36</t>
  </si>
  <si>
    <t>44.44</t>
  </si>
  <si>
    <t>93</t>
  </si>
  <si>
    <t>115.05</t>
  </si>
  <si>
    <t>63</t>
  </si>
  <si>
    <t>58.73</t>
  </si>
  <si>
    <t>112*</t>
  </si>
  <si>
    <t>98</t>
  </si>
  <si>
    <t>114.28</t>
  </si>
  <si>
    <t>116.66</t>
  </si>
  <si>
    <t>86*</t>
  </si>
  <si>
    <t>99</t>
  </si>
  <si>
    <t>86.86</t>
  </si>
  <si>
    <t>117</t>
  </si>
  <si>
    <t>123</t>
  </si>
  <si>
    <t>95.12</t>
  </si>
  <si>
    <t>23*</t>
  </si>
  <si>
    <t>209.09</t>
  </si>
  <si>
    <t>80</t>
  </si>
  <si>
    <t>85</t>
  </si>
  <si>
    <t>94.11</t>
  </si>
  <si>
    <t>91.17</t>
  </si>
  <si>
    <t>77</t>
  </si>
  <si>
    <t>81.91</t>
  </si>
  <si>
    <t>64.28</t>
  </si>
  <si>
    <t>15</t>
  </si>
  <si>
    <t>48.00</t>
  </si>
  <si>
    <t>79.51</t>
  </si>
  <si>
    <t>77.77</t>
  </si>
  <si>
    <t>133*</t>
  </si>
  <si>
    <t>86</t>
  </si>
  <si>
    <t>154.65</t>
  </si>
  <si>
    <t>108</t>
  </si>
  <si>
    <t>120</t>
  </si>
  <si>
    <t>80.48</t>
  </si>
  <si>
    <t>183</t>
  </si>
  <si>
    <t>148</t>
  </si>
  <si>
    <t>123.64</t>
  </si>
  <si>
    <t>106</t>
  </si>
  <si>
    <t>113</t>
  </si>
  <si>
    <t>93.80</t>
  </si>
  <si>
    <t>20.00</t>
  </si>
  <si>
    <t>58.46</t>
  </si>
  <si>
    <t>128*</t>
  </si>
  <si>
    <t>119</t>
  </si>
  <si>
    <t>107.56</t>
  </si>
  <si>
    <t>23</t>
  </si>
  <si>
    <t>65.71</t>
  </si>
  <si>
    <t>17</t>
  </si>
  <si>
    <t>41.17</t>
  </si>
  <si>
    <t>68.18</t>
  </si>
  <si>
    <t>68.51</t>
  </si>
  <si>
    <t>77*</t>
  </si>
  <si>
    <t>79</t>
  </si>
  <si>
    <t>97.46</t>
  </si>
  <si>
    <t>26</t>
  </si>
  <si>
    <t>78.78</t>
  </si>
  <si>
    <t>75.60</t>
  </si>
  <si>
    <t>122.22</t>
  </si>
  <si>
    <t>22*</t>
  </si>
  <si>
    <t>81.48</t>
  </si>
  <si>
    <t>58*</t>
  </si>
  <si>
    <t>90.62</t>
  </si>
  <si>
    <t>43</t>
  </si>
  <si>
    <t>126.47</t>
  </si>
  <si>
    <t>52.38</t>
  </si>
  <si>
    <t>40.00</t>
  </si>
  <si>
    <t>13</t>
  </si>
  <si>
    <t>122.89</t>
  </si>
  <si>
    <t>52</t>
  </si>
  <si>
    <t>59.61</t>
  </si>
  <si>
    <t>115</t>
  </si>
  <si>
    <t>106.48</t>
  </si>
  <si>
    <t>68*</t>
  </si>
  <si>
    <t>88</t>
  </si>
  <si>
    <t>77.27</t>
  </si>
  <si>
    <t>61</t>
  </si>
  <si>
    <t>71.76</t>
  </si>
  <si>
    <t>192.30</t>
  </si>
  <si>
    <t>93.15</t>
  </si>
  <si>
    <t>115*</t>
  </si>
  <si>
    <t>174.24</t>
  </si>
  <si>
    <t>84</t>
  </si>
  <si>
    <t>102.38</t>
  </si>
  <si>
    <t>100</t>
  </si>
  <si>
    <t>99.00</t>
  </si>
  <si>
    <t>105.55</t>
  </si>
  <si>
    <t>88.57</t>
  </si>
  <si>
    <t>111</t>
  </si>
  <si>
    <t>110.81</t>
  </si>
  <si>
    <t>78</t>
  </si>
  <si>
    <t>120.00</t>
  </si>
  <si>
    <t>30.00</t>
  </si>
  <si>
    <t>105.12</t>
  </si>
  <si>
    <t>136</t>
  </si>
  <si>
    <t>122</t>
  </si>
  <si>
    <t>111.47</t>
  </si>
  <si>
    <t>48</t>
  </si>
  <si>
    <t>51</t>
  </si>
  <si>
    <t>45.45</t>
  </si>
  <si>
    <t>v Afghanistan</t>
  </si>
  <si>
    <t>40</t>
  </si>
  <si>
    <t>50</t>
  </si>
  <si>
    <t>80.00</t>
  </si>
  <si>
    <t>1*</t>
  </si>
  <si>
    <t>61.90</t>
  </si>
  <si>
    <t>62</t>
  </si>
  <si>
    <t>79.48</t>
  </si>
  <si>
    <t>127</t>
  </si>
  <si>
    <t>111.40</t>
  </si>
  <si>
    <t>104.76</t>
  </si>
  <si>
    <t>44</t>
  </si>
  <si>
    <t>111.36</t>
  </si>
  <si>
    <t>86.88</t>
  </si>
  <si>
    <t>103.12</t>
  </si>
  <si>
    <t>139*</t>
  </si>
  <si>
    <t>126</t>
  </si>
  <si>
    <t>110.31</t>
  </si>
  <si>
    <t>56.25</t>
  </si>
  <si>
    <t>3*</t>
  </si>
  <si>
    <t>42.10</t>
  </si>
  <si>
    <t>84.92</t>
  </si>
  <si>
    <t>60</t>
  </si>
  <si>
    <t>76.66</t>
  </si>
  <si>
    <t>33*</t>
  </si>
  <si>
    <t>v U.A.E.</t>
  </si>
  <si>
    <t>91.66</t>
  </si>
  <si>
    <t>44*</t>
  </si>
  <si>
    <t>42</t>
  </si>
  <si>
    <t>79.16</t>
  </si>
  <si>
    <t>37.50</t>
  </si>
  <si>
    <t>7.69</t>
  </si>
  <si>
    <t>85.18</t>
  </si>
  <si>
    <t>61.11</t>
  </si>
  <si>
    <t>138</t>
  </si>
  <si>
    <t>140</t>
  </si>
  <si>
    <t>98.57</t>
  </si>
  <si>
    <t>97</t>
  </si>
  <si>
    <t>93.81</t>
  </si>
  <si>
    <t>88.05</t>
  </si>
  <si>
    <t>115.21</t>
  </si>
  <si>
    <t>85*</t>
  </si>
  <si>
    <t>104.93</t>
  </si>
  <si>
    <t>69.23</t>
  </si>
  <si>
    <t>154*</t>
  </si>
  <si>
    <t>134</t>
  </si>
  <si>
    <t>114.92</t>
  </si>
  <si>
    <t>45</t>
  </si>
  <si>
    <t>88.23</t>
  </si>
  <si>
    <t>85.52</t>
  </si>
  <si>
    <t>116.19</t>
  </si>
  <si>
    <t>87.30</t>
  </si>
  <si>
    <t>81*</t>
  </si>
  <si>
    <t>119.11</t>
  </si>
  <si>
    <t>76*</t>
  </si>
  <si>
    <t>101</t>
  </si>
  <si>
    <t>75.24</t>
  </si>
  <si>
    <t>96*</t>
  </si>
  <si>
    <t>123.07</t>
  </si>
  <si>
    <t>55.55</t>
  </si>
  <si>
    <t>32*</t>
  </si>
  <si>
    <t>47</t>
  </si>
  <si>
    <t>68.08</t>
  </si>
  <si>
    <t>87</t>
  </si>
  <si>
    <t>131.81</t>
  </si>
  <si>
    <t>111*</t>
  </si>
  <si>
    <t>96.52</t>
  </si>
  <si>
    <t>82*</t>
  </si>
  <si>
    <t>117.14</t>
  </si>
  <si>
    <t>200.00</t>
  </si>
  <si>
    <t>27.27</t>
  </si>
  <si>
    <t>131</t>
  </si>
  <si>
    <t>96</t>
  </si>
  <si>
    <t>136.45</t>
  </si>
  <si>
    <t>110*</t>
  </si>
  <si>
    <t>116</t>
  </si>
  <si>
    <t>94.82</t>
  </si>
  <si>
    <t>85.98</t>
  </si>
  <si>
    <t>39</t>
  </si>
  <si>
    <t>70.90</t>
  </si>
  <si>
    <t>125</t>
  </si>
  <si>
    <t>96.80</t>
  </si>
  <si>
    <t>106.60</t>
  </si>
  <si>
    <t>112</t>
  </si>
  <si>
    <t>46*</t>
  </si>
  <si>
    <t>92.00</t>
  </si>
  <si>
    <t>160*</t>
  </si>
  <si>
    <t>159</t>
  </si>
  <si>
    <t>100.62</t>
  </si>
  <si>
    <t>75</t>
  </si>
  <si>
    <t>90.36</t>
  </si>
  <si>
    <t>129*</t>
  </si>
  <si>
    <t>134.37</t>
  </si>
  <si>
    <t>91.46</t>
  </si>
  <si>
    <t>56</t>
  </si>
  <si>
    <t>80.35</t>
  </si>
  <si>
    <t>72</t>
  </si>
  <si>
    <t>98.61</t>
  </si>
  <si>
    <t>130.84</t>
  </si>
  <si>
    <t>157*</t>
  </si>
  <si>
    <t>129</t>
  </si>
  <si>
    <t>121.70</t>
  </si>
  <si>
    <t>89.91</t>
  </si>
  <si>
    <t>113.79</t>
  </si>
  <si>
    <t>92.85</t>
  </si>
  <si>
    <t>74.19</t>
  </si>
  <si>
    <t>76.27</t>
  </si>
  <si>
    <t>95.55</t>
  </si>
  <si>
    <t>74</t>
  </si>
  <si>
    <t>81.08</t>
  </si>
  <si>
    <t>97.77</t>
  </si>
  <si>
    <t>96.66</t>
  </si>
  <si>
    <t>129.47</t>
  </si>
  <si>
    <t>90.90</t>
  </si>
  <si>
    <t>52.94</t>
  </si>
  <si>
    <t>106.49</t>
  </si>
  <si>
    <t>118.46</t>
  </si>
  <si>
    <t>106.34</t>
  </si>
  <si>
    <t>87.80</t>
  </si>
  <si>
    <t>86.84</t>
  </si>
  <si>
    <t>96.29</t>
  </si>
  <si>
    <t>34*</t>
  </si>
  <si>
    <t>82.92</t>
  </si>
  <si>
    <t>16.66</t>
  </si>
  <si>
    <t>96.00</t>
  </si>
  <si>
    <t>114*</t>
  </si>
  <si>
    <t>115.15</t>
  </si>
  <si>
    <t>102.63</t>
  </si>
  <si>
    <t>89</t>
  </si>
  <si>
    <t>97.80</t>
  </si>
  <si>
    <t>80.95</t>
  </si>
  <si>
    <t>102.29</t>
  </si>
  <si>
    <t>80.76</t>
  </si>
  <si>
    <t>93.33</t>
  </si>
  <si>
    <t>83.54</t>
  </si>
  <si>
    <t>70.00</t>
  </si>
  <si>
    <t>77.38</t>
  </si>
  <si>
    <t>64.00</t>
  </si>
  <si>
    <t>83.33</t>
  </si>
  <si>
    <t>124.17</t>
  </si>
  <si>
    <t>129.88</t>
  </si>
  <si>
    <t>166*</t>
  </si>
  <si>
    <t>110</t>
  </si>
  <si>
    <t>150.90</t>
  </si>
  <si>
    <t>133.33</t>
  </si>
  <si>
    <t>57.14</t>
  </si>
  <si>
    <t>v Nepal</t>
  </si>
  <si>
    <t>122*</t>
  </si>
  <si>
    <t>129.78</t>
  </si>
  <si>
    <t>91.80</t>
  </si>
  <si>
    <t>73.27</t>
  </si>
  <si>
    <t>55*</t>
  </si>
  <si>
    <t>98.21</t>
  </si>
  <si>
    <t>88.88</t>
  </si>
  <si>
    <t>103*</t>
  </si>
  <si>
    <t>106.18</t>
  </si>
  <si>
    <t>91.34</t>
  </si>
  <si>
    <t>93.61</t>
  </si>
  <si>
    <t>101*</t>
  </si>
  <si>
    <t>83.47</t>
  </si>
  <si>
    <t>91.07</t>
  </si>
  <si>
    <t>103.53</t>
  </si>
  <si>
    <t>85.71</t>
  </si>
  <si>
    <t>32</t>
  </si>
  <si>
    <t>73.68</t>
  </si>
  <si>
    <t>111.11</t>
  </si>
  <si>
    <t>94.54</t>
  </si>
  <si>
    <t>57.89</t>
  </si>
  <si>
    <t>90.09</t>
  </si>
  <si>
    <t>78.57</t>
  </si>
  <si>
    <t>MS Dhoni</t>
  </si>
  <si>
    <t>Innings</t>
  </si>
  <si>
    <t>109.09</t>
  </si>
  <si>
    <t>Dhaka</t>
  </si>
  <si>
    <t>7*</t>
  </si>
  <si>
    <t>350.00</t>
  </si>
  <si>
    <t>120.32</t>
  </si>
  <si>
    <t>Jamshedpur</t>
  </si>
  <si>
    <t>73.43</t>
  </si>
  <si>
    <t>68.75</t>
  </si>
  <si>
    <t>63.15</t>
  </si>
  <si>
    <t>28.57</t>
  </si>
  <si>
    <t>15*</t>
  </si>
  <si>
    <t>136.36</t>
  </si>
  <si>
    <t>74.07</t>
  </si>
  <si>
    <t>28*</t>
  </si>
  <si>
    <t>215.38</t>
  </si>
  <si>
    <t>63.63</t>
  </si>
  <si>
    <t>121.73</t>
  </si>
  <si>
    <t>37*</t>
  </si>
  <si>
    <t>137.03</t>
  </si>
  <si>
    <t>67*</t>
  </si>
  <si>
    <t>135.71</t>
  </si>
  <si>
    <t>183*</t>
  </si>
  <si>
    <t>145</t>
  </si>
  <si>
    <t>126.20</t>
  </si>
  <si>
    <t>45*</t>
  </si>
  <si>
    <t>104.65</t>
  </si>
  <si>
    <t>109.58</t>
  </si>
  <si>
    <t>60.71</t>
  </si>
  <si>
    <t>53.84</t>
  </si>
  <si>
    <t>46.15</t>
  </si>
  <si>
    <t>128.30</t>
  </si>
  <si>
    <t>Peshawar</t>
  </si>
  <si>
    <t>Rawalpindi</t>
  </si>
  <si>
    <t>72*</t>
  </si>
  <si>
    <t>156.52</t>
  </si>
  <si>
    <t>Lahore</t>
  </si>
  <si>
    <t>Multan</t>
  </si>
  <si>
    <t>137.50</t>
  </si>
  <si>
    <t>Karachi</t>
  </si>
  <si>
    <t>69.09</t>
  </si>
  <si>
    <t>Faridabad</t>
  </si>
  <si>
    <t>13*</t>
  </si>
  <si>
    <t>216.66</t>
  </si>
  <si>
    <t>Margao</t>
  </si>
  <si>
    <t>10*</t>
  </si>
  <si>
    <t>76.92</t>
  </si>
  <si>
    <t>90.56</t>
  </si>
  <si>
    <t>Abu Dhabi</t>
  </si>
  <si>
    <t>81.94</t>
  </si>
  <si>
    <t>163.63</t>
  </si>
  <si>
    <t>57.69</t>
  </si>
  <si>
    <t>Basseterre</t>
  </si>
  <si>
    <t>58</t>
  </si>
  <si>
    <t>79.31</t>
  </si>
  <si>
    <t>Colombo (SSC)</t>
  </si>
  <si>
    <t>Kuala Lumpur</t>
  </si>
  <si>
    <t>138.46</t>
  </si>
  <si>
    <t>67.64</t>
  </si>
  <si>
    <t>31.81</t>
  </si>
  <si>
    <t>78.46</t>
  </si>
  <si>
    <t>51.85</t>
  </si>
  <si>
    <t>114.58</t>
  </si>
  <si>
    <t>123.80</t>
  </si>
  <si>
    <t>89.79</t>
  </si>
  <si>
    <t>62*</t>
  </si>
  <si>
    <t>147.61</t>
  </si>
  <si>
    <t>31.57</t>
  </si>
  <si>
    <t>40*</t>
  </si>
  <si>
    <t>70.58</t>
  </si>
  <si>
    <t>90.54</t>
  </si>
  <si>
    <t>116.00</t>
  </si>
  <si>
    <t>v Bermuda</t>
  </si>
  <si>
    <t>91*</t>
  </si>
  <si>
    <t>85.84</t>
  </si>
  <si>
    <t>v Africa XI</t>
  </si>
  <si>
    <t>143.29</t>
  </si>
  <si>
    <t>Belfast</t>
  </si>
  <si>
    <t>14*</t>
  </si>
  <si>
    <t>127.27</t>
  </si>
  <si>
    <t>v Scotland</t>
  </si>
  <si>
    <t>Glasgow</t>
  </si>
  <si>
    <t>31.66</t>
  </si>
  <si>
    <t>Bristol</t>
  </si>
  <si>
    <t>65.00</t>
  </si>
  <si>
    <t>72.22</t>
  </si>
  <si>
    <t>141.17</t>
  </si>
  <si>
    <t>94.59</t>
  </si>
  <si>
    <t>69.44</t>
  </si>
  <si>
    <t>65.90</t>
  </si>
  <si>
    <t>89.18</t>
  </si>
  <si>
    <t>50*</t>
  </si>
  <si>
    <t>142.85</t>
  </si>
  <si>
    <t>Chandigarh</t>
  </si>
  <si>
    <t>89.65</t>
  </si>
  <si>
    <t>94.23</t>
  </si>
  <si>
    <t>60.65</t>
  </si>
  <si>
    <t>88*</t>
  </si>
  <si>
    <t>92.63</t>
  </si>
  <si>
    <t>17*</t>
  </si>
  <si>
    <t>31.48</t>
  </si>
  <si>
    <t>119.23</t>
  </si>
  <si>
    <t>74.00</t>
  </si>
  <si>
    <t>73.52</t>
  </si>
  <si>
    <t>125.00</t>
  </si>
  <si>
    <t>97.29</t>
  </si>
  <si>
    <t>104.34</t>
  </si>
  <si>
    <t>108.47</t>
  </si>
  <si>
    <t>109*</t>
  </si>
  <si>
    <t>113.54</t>
  </si>
  <si>
    <t>v Hong Kong</t>
  </si>
  <si>
    <t>26*</t>
  </si>
  <si>
    <t>86.66</t>
  </si>
  <si>
    <t>108.06</t>
  </si>
  <si>
    <t>66.21</t>
  </si>
  <si>
    <t>21.42</t>
  </si>
  <si>
    <t>95.00</t>
  </si>
  <si>
    <t>88.75</t>
  </si>
  <si>
    <t>14.28</t>
  </si>
  <si>
    <t>121.87</t>
  </si>
  <si>
    <t>29*</t>
  </si>
  <si>
    <t>56.86</t>
  </si>
  <si>
    <t>180.00</t>
  </si>
  <si>
    <t>81.96</t>
  </si>
  <si>
    <t>61*</t>
  </si>
  <si>
    <t>93.84</t>
  </si>
  <si>
    <t>35*</t>
  </si>
  <si>
    <t>97.91</t>
  </si>
  <si>
    <t>91.37</t>
  </si>
  <si>
    <t>84*</t>
  </si>
  <si>
    <t>94.38</t>
  </si>
  <si>
    <t>121.05</t>
  </si>
  <si>
    <t>117.24</t>
  </si>
  <si>
    <t>Christchurch</t>
  </si>
  <si>
    <t>130</t>
  </si>
  <si>
    <t>73.07</t>
  </si>
  <si>
    <t>135.29</t>
  </si>
  <si>
    <t>Gros Islet</t>
  </si>
  <si>
    <t>90.32</t>
  </si>
  <si>
    <t>73.91</t>
  </si>
  <si>
    <t>124</t>
  </si>
  <si>
    <t>115.88</t>
  </si>
  <si>
    <t>74.73</t>
  </si>
  <si>
    <t>56.52</t>
  </si>
  <si>
    <t>31.16</t>
  </si>
  <si>
    <t>135.84</t>
  </si>
  <si>
    <t>96.39</t>
  </si>
  <si>
    <t>52.85</t>
  </si>
  <si>
    <t>94.39</t>
  </si>
  <si>
    <t>91.42</t>
  </si>
  <si>
    <t>194.28</t>
  </si>
  <si>
    <t>128.57</t>
  </si>
  <si>
    <t>38*</t>
  </si>
  <si>
    <t>84.44</t>
  </si>
  <si>
    <t>78.87</t>
  </si>
  <si>
    <t>77.35</t>
  </si>
  <si>
    <t>76.00</t>
  </si>
  <si>
    <t>22.22</t>
  </si>
  <si>
    <t>60.52</t>
  </si>
  <si>
    <t>50.66</t>
  </si>
  <si>
    <t>67.00</t>
  </si>
  <si>
    <t>62.29</t>
  </si>
  <si>
    <t>41.66</t>
  </si>
  <si>
    <t>124.00</t>
  </si>
  <si>
    <t>68.00</t>
  </si>
  <si>
    <t>19*</t>
  </si>
  <si>
    <t>47.50</t>
  </si>
  <si>
    <t>12*</t>
  </si>
  <si>
    <t>73.33</t>
  </si>
  <si>
    <t>87.50</t>
  </si>
  <si>
    <t>59.52</t>
  </si>
  <si>
    <t>115.18</t>
  </si>
  <si>
    <t>69</t>
  </si>
  <si>
    <t>66.99</t>
  </si>
  <si>
    <t>78*</t>
  </si>
  <si>
    <t>109.85</t>
  </si>
  <si>
    <t>124.28</t>
  </si>
  <si>
    <t>112.90</t>
  </si>
  <si>
    <t>75*</t>
  </si>
  <si>
    <t>108.69</t>
  </si>
  <si>
    <t>76.31</t>
  </si>
  <si>
    <t>75.86</t>
  </si>
  <si>
    <t>84.05</t>
  </si>
  <si>
    <t>176.92</t>
  </si>
  <si>
    <t>21*</t>
  </si>
  <si>
    <t>190.90</t>
  </si>
  <si>
    <t>4*</t>
  </si>
  <si>
    <t>400.00</t>
  </si>
  <si>
    <t>120.68</t>
  </si>
  <si>
    <t>63.26</t>
  </si>
  <si>
    <t>152.63</t>
  </si>
  <si>
    <t>113*</t>
  </si>
  <si>
    <t>90.40</t>
  </si>
  <si>
    <t>54*</t>
  </si>
  <si>
    <t>60.67</t>
  </si>
  <si>
    <t>65.45</t>
  </si>
  <si>
    <t>128.00</t>
  </si>
  <si>
    <t>90.47</t>
  </si>
  <si>
    <t>65.21</t>
  </si>
  <si>
    <t>103.84</t>
  </si>
  <si>
    <t>86.53</t>
  </si>
  <si>
    <t>86.36</t>
  </si>
  <si>
    <t>114.87</t>
  </si>
  <si>
    <t>25*</t>
  </si>
  <si>
    <t>163.15</t>
  </si>
  <si>
    <t>185.71</t>
  </si>
  <si>
    <t>51*</t>
  </si>
  <si>
    <t>127.50</t>
  </si>
  <si>
    <t>91.54</t>
  </si>
  <si>
    <t>61.29</t>
  </si>
  <si>
    <t>86.95</t>
  </si>
  <si>
    <t>108.21</t>
  </si>
  <si>
    <t>65.27</t>
  </si>
  <si>
    <t>101.96</t>
  </si>
  <si>
    <t>69.04</t>
  </si>
  <si>
    <t>38.09</t>
  </si>
  <si>
    <t>55.73</t>
  </si>
  <si>
    <t>53.12</t>
  </si>
  <si>
    <t>111.84</t>
  </si>
  <si>
    <t>62.66</t>
  </si>
  <si>
    <t>89.61</t>
  </si>
  <si>
    <t>103.33</t>
  </si>
  <si>
    <t>92*</t>
  </si>
  <si>
    <t>106.97</t>
  </si>
  <si>
    <t>77.04</t>
  </si>
  <si>
    <t>93.75</t>
  </si>
  <si>
    <t>93.10</t>
  </si>
  <si>
    <t>110.00</t>
  </si>
  <si>
    <t>255.55</t>
  </si>
  <si>
    <t>87.91</t>
  </si>
  <si>
    <t>35.48</t>
  </si>
  <si>
    <t>69.49</t>
  </si>
  <si>
    <t>109.83</t>
  </si>
  <si>
    <t>121.15</t>
  </si>
  <si>
    <t>9*</t>
  </si>
  <si>
    <t>98.73</t>
  </si>
  <si>
    <t>47.36</t>
  </si>
  <si>
    <t>66.17</t>
  </si>
  <si>
    <t>77.90</t>
  </si>
  <si>
    <t>49*</t>
  </si>
  <si>
    <t>89.77</t>
  </si>
  <si>
    <t>130.00</t>
  </si>
  <si>
    <t>18*</t>
  </si>
  <si>
    <t>147.05</t>
  </si>
  <si>
    <t>74.71</t>
  </si>
  <si>
    <t>140.00</t>
  </si>
  <si>
    <t>42*</t>
  </si>
  <si>
    <t>97.67</t>
  </si>
  <si>
    <t>76.47</t>
  </si>
  <si>
    <t>62.71</t>
  </si>
  <si>
    <t>47.05</t>
  </si>
  <si>
    <t>53.73</t>
  </si>
  <si>
    <t>153.33</t>
  </si>
  <si>
    <t>101.85</t>
  </si>
  <si>
    <t>48*</t>
  </si>
  <si>
    <t>145.45</t>
  </si>
  <si>
    <t>59*</t>
  </si>
  <si>
    <t>192.85</t>
  </si>
  <si>
    <t>56*</t>
  </si>
  <si>
    <t>135.48</t>
  </si>
  <si>
    <t>106.06</t>
  </si>
  <si>
    <t>Rohit Sharma</t>
  </si>
  <si>
    <t>85.24</t>
  </si>
  <si>
    <t>67.44</t>
  </si>
  <si>
    <t>39*</t>
  </si>
  <si>
    <t>63.93</t>
  </si>
  <si>
    <t>70*</t>
  </si>
  <si>
    <t>109.37</t>
  </si>
  <si>
    <t>60.46</t>
  </si>
  <si>
    <t>37.93</t>
  </si>
  <si>
    <t>0*</t>
  </si>
  <si>
    <t>95.65</t>
  </si>
  <si>
    <t>81.69</t>
  </si>
  <si>
    <t>78.26</t>
  </si>
  <si>
    <t>11*</t>
  </si>
  <si>
    <t>23.07</t>
  </si>
  <si>
    <t>8*</t>
  </si>
  <si>
    <t>43*</t>
  </si>
  <si>
    <t>58.10</t>
  </si>
  <si>
    <t>78.68</t>
  </si>
  <si>
    <t>95.79</t>
  </si>
  <si>
    <t>101.00</t>
  </si>
  <si>
    <t>52.00</t>
  </si>
  <si>
    <t>94.52</t>
  </si>
  <si>
    <t>78.84</t>
  </si>
  <si>
    <t>36.36</t>
  </si>
  <si>
    <t>40.74</t>
  </si>
  <si>
    <t>51.11</t>
  </si>
  <si>
    <t>90.66</t>
  </si>
  <si>
    <t>94.50</t>
  </si>
  <si>
    <t>82.97</t>
  </si>
  <si>
    <t>retired notout</t>
  </si>
  <si>
    <t>90*</t>
  </si>
  <si>
    <t>91.83</t>
  </si>
  <si>
    <t>168.75</t>
  </si>
  <si>
    <t>58.82</t>
  </si>
  <si>
    <t>81.92</t>
  </si>
  <si>
    <t>89.24</t>
  </si>
  <si>
    <t>80.24</t>
  </si>
  <si>
    <t>66.00</t>
  </si>
  <si>
    <t>67.41</t>
  </si>
  <si>
    <t>38.46</t>
  </si>
  <si>
    <t>58.97</t>
  </si>
  <si>
    <t>57.83</t>
  </si>
  <si>
    <t>65.16</t>
  </si>
  <si>
    <t>64*</t>
  </si>
  <si>
    <t>90</t>
  </si>
  <si>
    <t>71.11</t>
  </si>
  <si>
    <t>89.36</t>
  </si>
  <si>
    <t>141*</t>
  </si>
  <si>
    <t>114.63</t>
  </si>
  <si>
    <t>88.76</t>
  </si>
  <si>
    <t>209</t>
  </si>
  <si>
    <t>158</t>
  </si>
  <si>
    <t>132.27</t>
  </si>
  <si>
    <t>41.86</t>
  </si>
  <si>
    <t>13.04</t>
  </si>
  <si>
    <t>84.04</t>
  </si>
  <si>
    <t>30.76</t>
  </si>
  <si>
    <t>72.41</t>
  </si>
  <si>
    <t>46.42</t>
  </si>
  <si>
    <t>96.55</t>
  </si>
  <si>
    <t>59.77</t>
  </si>
  <si>
    <t>264</t>
  </si>
  <si>
    <t>173</t>
  </si>
  <si>
    <t>152.60</t>
  </si>
  <si>
    <t>139</t>
  </si>
  <si>
    <t>99.28</t>
  </si>
  <si>
    <t>57*</t>
  </si>
  <si>
    <t>103.63</t>
  </si>
  <si>
    <t>96.96</t>
  </si>
  <si>
    <t>76.19</t>
  </si>
  <si>
    <t>137</t>
  </si>
  <si>
    <t>108.73</t>
  </si>
  <si>
    <t>70.83</t>
  </si>
  <si>
    <t>92.64</t>
  </si>
  <si>
    <t>150</t>
  </si>
  <si>
    <t>133</t>
  </si>
  <si>
    <t>112.78</t>
  </si>
  <si>
    <t>87.83</t>
  </si>
  <si>
    <t>110.52</t>
  </si>
  <si>
    <t>171*</t>
  </si>
  <si>
    <t>163</t>
  </si>
  <si>
    <t>104.90</t>
  </si>
  <si>
    <t>97.63</t>
  </si>
  <si>
    <t>164.00</t>
  </si>
  <si>
    <t>107.69</t>
  </si>
  <si>
    <t>123*</t>
  </si>
  <si>
    <t>95.34</t>
  </si>
  <si>
    <t>124*</t>
  </si>
  <si>
    <t>85.51</t>
  </si>
  <si>
    <t>118.18</t>
  </si>
  <si>
    <t>114.51</t>
  </si>
  <si>
    <t>109</t>
  </si>
  <si>
    <t>114.67</t>
  </si>
  <si>
    <t>36.84</t>
  </si>
  <si>
    <t>147</t>
  </si>
  <si>
    <t>106.52</t>
  </si>
  <si>
    <t>15.38</t>
  </si>
  <si>
    <t>208*</t>
  </si>
  <si>
    <t>153</t>
  </si>
  <si>
    <t>135.94</t>
  </si>
  <si>
    <t>91.26</t>
  </si>
  <si>
    <t>115.38</t>
  </si>
  <si>
    <t>137*</t>
  </si>
  <si>
    <t>120.17</t>
  </si>
  <si>
    <t>11.11</t>
  </si>
  <si>
    <t>104.54</t>
  </si>
  <si>
    <t>83*</t>
  </si>
  <si>
    <t>79.80</t>
  </si>
  <si>
    <t>93.27</t>
  </si>
  <si>
    <t>87.27</t>
  </si>
  <si>
    <t>152*</t>
  </si>
  <si>
    <t>129.91</t>
  </si>
  <si>
    <t>162</t>
  </si>
  <si>
    <t>118.24</t>
  </si>
  <si>
    <t>112.50</t>
  </si>
  <si>
    <t>103.10</t>
  </si>
  <si>
    <t>82.69</t>
  </si>
  <si>
    <t>45.83</t>
  </si>
  <si>
    <t>80.51</t>
  </si>
  <si>
    <t>30.43</t>
  </si>
  <si>
    <t>12.50</t>
  </si>
  <si>
    <t>56.06</t>
  </si>
  <si>
    <t>103.26</t>
  </si>
  <si>
    <t>62.92</t>
  </si>
  <si>
    <t>144</t>
  </si>
  <si>
    <t>84.72</t>
  </si>
  <si>
    <t>81.42</t>
  </si>
  <si>
    <t>123.89</t>
  </si>
  <si>
    <t>10.00</t>
  </si>
  <si>
    <t>93.57</t>
  </si>
  <si>
    <t>113.04</t>
  </si>
  <si>
    <t>109.57</t>
  </si>
  <si>
    <t>166.66</t>
  </si>
  <si>
    <t>95.45</t>
  </si>
  <si>
    <t>128</t>
  </si>
  <si>
    <t>92.96</t>
  </si>
  <si>
    <t>117.64</t>
  </si>
  <si>
    <t>131.03</t>
  </si>
  <si>
    <t>87.09</t>
  </si>
  <si>
    <t>182.14</t>
  </si>
  <si>
    <t>123.88</t>
  </si>
  <si>
    <t>89.47</t>
  </si>
  <si>
    <t>102.00</t>
  </si>
  <si>
    <t>118.82</t>
  </si>
  <si>
    <t>176.47</t>
  </si>
  <si>
    <t>74*</t>
  </si>
  <si>
    <t>125.42</t>
  </si>
  <si>
    <t>110.41</t>
  </si>
  <si>
    <t>155.95</t>
  </si>
  <si>
    <t>136.50</t>
  </si>
  <si>
    <t>115.00</t>
  </si>
  <si>
    <t>86.13</t>
  </si>
  <si>
    <t>112.96</t>
  </si>
  <si>
    <t>162.06</t>
  </si>
  <si>
    <t>151.61</t>
  </si>
  <si>
    <t>123.40</t>
  </si>
  <si>
    <t>175.00</t>
  </si>
  <si>
    <t>132.22</t>
  </si>
  <si>
    <t>113.88</t>
  </si>
  <si>
    <t>91.56</t>
  </si>
  <si>
    <t>Sachin Tendulkar</t>
  </si>
  <si>
    <t>Gujranwala</t>
  </si>
  <si>
    <t>Dunedin</t>
  </si>
  <si>
    <t>92.30</t>
  </si>
  <si>
    <t>Sharjah</t>
  </si>
  <si>
    <t>54.28</t>
  </si>
  <si>
    <t>129.26</t>
  </si>
  <si>
    <t>103.44</t>
  </si>
  <si>
    <t>75.71</t>
  </si>
  <si>
    <t>52*</t>
  </si>
  <si>
    <t>128.94</t>
  </si>
  <si>
    <t>84.93</t>
  </si>
  <si>
    <t>New Delhi</t>
  </si>
  <si>
    <t>55.38</t>
  </si>
  <si>
    <t>53.27</t>
  </si>
  <si>
    <t>84.21</t>
  </si>
  <si>
    <t>60.62</t>
  </si>
  <si>
    <t>70.45</t>
  </si>
  <si>
    <t>64.77</t>
  </si>
  <si>
    <t>69.00</t>
  </si>
  <si>
    <t>79.54</t>
  </si>
  <si>
    <t>Mackay</t>
  </si>
  <si>
    <t>105.19</t>
  </si>
  <si>
    <t>78.50</t>
  </si>
  <si>
    <t>69.64</t>
  </si>
  <si>
    <t>27.77</t>
  </si>
  <si>
    <t>47.72</t>
  </si>
  <si>
    <t>61.53</t>
  </si>
  <si>
    <t>Bloemfontein</t>
  </si>
  <si>
    <t>55.26</t>
  </si>
  <si>
    <t>East London</t>
  </si>
  <si>
    <t>101.23</t>
  </si>
  <si>
    <t>113.33</t>
  </si>
  <si>
    <t>64.10</t>
  </si>
  <si>
    <t>Moratuwa</t>
  </si>
  <si>
    <t>150.00</t>
  </si>
  <si>
    <t>12.00</t>
  </si>
  <si>
    <t>48.38</t>
  </si>
  <si>
    <t>65.11</t>
  </si>
  <si>
    <t>Hyderabad (Deccan)</t>
  </si>
  <si>
    <t>82.53</t>
  </si>
  <si>
    <t>Jalandhar</t>
  </si>
  <si>
    <t>78.94</t>
  </si>
  <si>
    <t>167.34</t>
  </si>
  <si>
    <t>84.00</t>
  </si>
  <si>
    <t>153.84</t>
  </si>
  <si>
    <t>114.06</t>
  </si>
  <si>
    <t>84.61</t>
  </si>
  <si>
    <t>84.55</t>
  </si>
  <si>
    <t>72.34</t>
  </si>
  <si>
    <t>114.81</t>
  </si>
  <si>
    <t>97.05</t>
  </si>
  <si>
    <t>84.37</t>
  </si>
  <si>
    <t>78.35</t>
  </si>
  <si>
    <t>72.54</t>
  </si>
  <si>
    <t>117.50</t>
  </si>
  <si>
    <t>104.67</t>
  </si>
  <si>
    <t>Amritsar</t>
  </si>
  <si>
    <t>110.16</t>
  </si>
  <si>
    <t>127*</t>
  </si>
  <si>
    <t>92.02</t>
  </si>
  <si>
    <t>v Kenya</t>
  </si>
  <si>
    <t>107.14</t>
  </si>
  <si>
    <t>52.54</t>
  </si>
  <si>
    <t>73.86</t>
  </si>
  <si>
    <t>Singapore</t>
  </si>
  <si>
    <t>13.33</t>
  </si>
  <si>
    <t>84.28</t>
  </si>
  <si>
    <t>65.38</t>
  </si>
  <si>
    <t>157.89</t>
  </si>
  <si>
    <t>9.09</t>
  </si>
  <si>
    <t>79.71</t>
  </si>
  <si>
    <t>89*</t>
  </si>
  <si>
    <t>Toronto</t>
  </si>
  <si>
    <t>52.27</t>
  </si>
  <si>
    <t>79.27</t>
  </si>
  <si>
    <t>68.81</t>
  </si>
  <si>
    <t>101.63</t>
  </si>
  <si>
    <t>76.13</t>
  </si>
  <si>
    <t>7.14</t>
  </si>
  <si>
    <t>58.33</t>
  </si>
  <si>
    <t>73.21</t>
  </si>
  <si>
    <t>107.21</t>
  </si>
  <si>
    <t>Benoni</t>
  </si>
  <si>
    <t>118.51</t>
  </si>
  <si>
    <t>102.32</t>
  </si>
  <si>
    <t>65*</t>
  </si>
  <si>
    <t>Kingstown</t>
  </si>
  <si>
    <t>85.40</t>
  </si>
  <si>
    <t>79.10</t>
  </si>
  <si>
    <t>96.42</t>
  </si>
  <si>
    <t>79.68</t>
  </si>
  <si>
    <t>18.18</t>
  </si>
  <si>
    <t>Hyderabad (Sind)</t>
  </si>
  <si>
    <t>104.59</t>
  </si>
  <si>
    <t>71.05</t>
  </si>
  <si>
    <t>152.27</t>
  </si>
  <si>
    <t>121.79</t>
  </si>
  <si>
    <t>157.69</t>
  </si>
  <si>
    <t>29.41</t>
  </si>
  <si>
    <t>112.35</t>
  </si>
  <si>
    <t>97.56</t>
  </si>
  <si>
    <t>65.51</t>
  </si>
  <si>
    <t>143</t>
  </si>
  <si>
    <t>109.16</t>
  </si>
  <si>
    <t>72.00</t>
  </si>
  <si>
    <t>97.08</t>
  </si>
  <si>
    <t>147.22</t>
  </si>
  <si>
    <t>106.25</t>
  </si>
  <si>
    <t>97.70</t>
  </si>
  <si>
    <t>70.64</t>
  </si>
  <si>
    <t>97.69</t>
  </si>
  <si>
    <t>138.09</t>
  </si>
  <si>
    <t>141</t>
  </si>
  <si>
    <t>110.15</t>
  </si>
  <si>
    <t>118*</t>
  </si>
  <si>
    <t>105.35</t>
  </si>
  <si>
    <t>134.78</t>
  </si>
  <si>
    <t>Taupo</t>
  </si>
  <si>
    <t>60.86</t>
  </si>
  <si>
    <t>Hove</t>
  </si>
  <si>
    <t>140*</t>
  </si>
  <si>
    <t>138.61</t>
  </si>
  <si>
    <t>Taunton</t>
  </si>
  <si>
    <t>55.00</t>
  </si>
  <si>
    <t>42.42</t>
  </si>
  <si>
    <t>Galle</t>
  </si>
  <si>
    <t>63.79</t>
  </si>
  <si>
    <t>85.10</t>
  </si>
  <si>
    <t>118.05</t>
  </si>
  <si>
    <t>103.22</t>
  </si>
  <si>
    <t>186*</t>
  </si>
  <si>
    <t>4.34</t>
  </si>
  <si>
    <t>90.29</t>
  </si>
  <si>
    <t>121.42</t>
  </si>
  <si>
    <t>104.00</t>
  </si>
  <si>
    <t>67.74</t>
  </si>
  <si>
    <t>88.40</t>
  </si>
  <si>
    <t>104.49</t>
  </si>
  <si>
    <t>39.28</t>
  </si>
  <si>
    <t>57.35</t>
  </si>
  <si>
    <t>144.00</t>
  </si>
  <si>
    <t>97.89</t>
  </si>
  <si>
    <t>Nairobi (Gym)</t>
  </si>
  <si>
    <t>102.70</t>
  </si>
  <si>
    <t>78.00</t>
  </si>
  <si>
    <t>83.13</t>
  </si>
  <si>
    <t>72.14</t>
  </si>
  <si>
    <t>53.33</t>
  </si>
  <si>
    <t>146</t>
  </si>
  <si>
    <t>95.42</t>
  </si>
  <si>
    <t>Jodhpur</t>
  </si>
  <si>
    <t>72.09</t>
  </si>
  <si>
    <t>134.61</t>
  </si>
  <si>
    <t>110.34</t>
  </si>
  <si>
    <t>111.20</t>
  </si>
  <si>
    <t>73.63</t>
  </si>
  <si>
    <t>93.12</t>
  </si>
  <si>
    <t>78.29</t>
  </si>
  <si>
    <t>15.00</t>
  </si>
  <si>
    <t>105.71</t>
  </si>
  <si>
    <t>132</t>
  </si>
  <si>
    <t>110.60</t>
  </si>
  <si>
    <t>40.47</t>
  </si>
  <si>
    <t>83.72</t>
  </si>
  <si>
    <t>86.07</t>
  </si>
  <si>
    <t>129.85</t>
  </si>
  <si>
    <t>75.55</t>
  </si>
  <si>
    <t>105*</t>
  </si>
  <si>
    <t>97.22</t>
  </si>
  <si>
    <t>124.13</t>
  </si>
  <si>
    <t>110.78</t>
  </si>
  <si>
    <t>43.75</t>
  </si>
  <si>
    <t>45.00</t>
  </si>
  <si>
    <t>55.17</t>
  </si>
  <si>
    <t>61.01</t>
  </si>
  <si>
    <t>89.01</t>
  </si>
  <si>
    <t>152</t>
  </si>
  <si>
    <t>151</t>
  </si>
  <si>
    <t>100.66</t>
  </si>
  <si>
    <t>v Namibia</t>
  </si>
  <si>
    <t>Pietermaritzburg</t>
  </si>
  <si>
    <t>96.15</t>
  </si>
  <si>
    <t>130.66</t>
  </si>
  <si>
    <t>80.83</t>
  </si>
  <si>
    <t>82.17</t>
  </si>
  <si>
    <t>84.03</t>
  </si>
  <si>
    <t>112.08</t>
  </si>
  <si>
    <t>91.30</t>
  </si>
  <si>
    <t>74.57</t>
  </si>
  <si>
    <t>90.52</t>
  </si>
  <si>
    <t>67.50</t>
  </si>
  <si>
    <t>135</t>
  </si>
  <si>
    <t>104.44</t>
  </si>
  <si>
    <t>77.08</t>
  </si>
  <si>
    <t>65.07</t>
  </si>
  <si>
    <t>75.72</t>
  </si>
  <si>
    <t>59.37</t>
  </si>
  <si>
    <t>111.90</t>
  </si>
  <si>
    <t>94.61</t>
  </si>
  <si>
    <t>96.87</t>
  </si>
  <si>
    <t>97.10</t>
  </si>
  <si>
    <t>63.33</t>
  </si>
  <si>
    <t>81.25</t>
  </si>
  <si>
    <t>88.49</t>
  </si>
  <si>
    <t>95.27</t>
  </si>
  <si>
    <t>63.72</t>
  </si>
  <si>
    <t>85.36</t>
  </si>
  <si>
    <t>64.44</t>
  </si>
  <si>
    <t>68.62</t>
  </si>
  <si>
    <t>56.70</t>
  </si>
  <si>
    <t>81.57</t>
  </si>
  <si>
    <t>131.57</t>
  </si>
  <si>
    <t>88.52</t>
  </si>
  <si>
    <t>26.92</t>
  </si>
  <si>
    <t>196.55</t>
  </si>
  <si>
    <t>87.73</t>
  </si>
  <si>
    <t>51.51</t>
  </si>
  <si>
    <t>88.39</t>
  </si>
  <si>
    <t>63.95</t>
  </si>
  <si>
    <t>120.33</t>
  </si>
  <si>
    <t>116.04</t>
  </si>
  <si>
    <t>60.56</t>
  </si>
  <si>
    <t>66.38</t>
  </si>
  <si>
    <t>64.38</t>
  </si>
  <si>
    <t>108.79</t>
  </si>
  <si>
    <t>107.40</t>
  </si>
  <si>
    <t>95.09</t>
  </si>
  <si>
    <t>67.30</t>
  </si>
  <si>
    <t>106.66</t>
  </si>
  <si>
    <t>117*</t>
  </si>
  <si>
    <t>97.50</t>
  </si>
  <si>
    <t>75.20</t>
  </si>
  <si>
    <t>87.71</t>
  </si>
  <si>
    <t>31.25</t>
  </si>
  <si>
    <t>163*</t>
  </si>
  <si>
    <t>122.55</t>
  </si>
  <si>
    <t>83.63</t>
  </si>
  <si>
    <t>103.75</t>
  </si>
  <si>
    <t>48.27</t>
  </si>
  <si>
    <t>175</t>
  </si>
  <si>
    <t>124.11</t>
  </si>
  <si>
    <t>109.52</t>
  </si>
  <si>
    <t>200*</t>
  </si>
  <si>
    <t>136.05</t>
  </si>
  <si>
    <t>67.85</t>
  </si>
  <si>
    <t>122.72</t>
  </si>
  <si>
    <t>109.90</t>
  </si>
  <si>
    <t>77.94</t>
  </si>
  <si>
    <t>77.55</t>
  </si>
  <si>
    <t>108.33</t>
  </si>
  <si>
    <t>Shubman Gill</t>
  </si>
  <si>
    <t>120.75</t>
  </si>
  <si>
    <t>87.75</t>
  </si>
  <si>
    <t>98*</t>
  </si>
  <si>
    <t>134.02</t>
  </si>
  <si>
    <t>85.96</t>
  </si>
  <si>
    <t>59.09</t>
  </si>
  <si>
    <t>119.58</t>
  </si>
  <si>
    <t>208</t>
  </si>
  <si>
    <t>149</t>
  </si>
  <si>
    <t>139.59</t>
  </si>
  <si>
    <t>75.47</t>
  </si>
  <si>
    <t>143.58</t>
  </si>
  <si>
    <t>64.51</t>
  </si>
  <si>
    <t>75.51</t>
  </si>
  <si>
    <t>69.38</t>
  </si>
  <si>
    <t>92.39</t>
  </si>
  <si>
    <t>Tarouba</t>
  </si>
  <si>
    <t>111.53</t>
  </si>
  <si>
    <t>90.97</t>
  </si>
  <si>
    <t>27*</t>
  </si>
  <si>
    <t>117.46</t>
  </si>
  <si>
    <t>96.36</t>
  </si>
  <si>
    <t>83.87</t>
  </si>
  <si>
    <t>95.83</t>
  </si>
  <si>
    <t>159.37</t>
  </si>
  <si>
    <t>80*</t>
  </si>
  <si>
    <t>121.21</t>
  </si>
  <si>
    <t>45.71</t>
  </si>
  <si>
    <t>109.80</t>
  </si>
  <si>
    <t>88.46</t>
  </si>
  <si>
    <t>62.00</t>
  </si>
  <si>
    <t>Virender Sehwag</t>
  </si>
  <si>
    <t>65.85</t>
  </si>
  <si>
    <t>127.90</t>
  </si>
  <si>
    <t>239.13</t>
  </si>
  <si>
    <t>58.62</t>
  </si>
  <si>
    <t>78.37</t>
  </si>
  <si>
    <t>87.93</t>
  </si>
  <si>
    <t>132.25</t>
  </si>
  <si>
    <t>106.89</t>
  </si>
  <si>
    <t>109.23</t>
  </si>
  <si>
    <t>112.19</t>
  </si>
  <si>
    <t>101.72</t>
  </si>
  <si>
    <t>260.00</t>
  </si>
  <si>
    <t>113.63</t>
  </si>
  <si>
    <t>139.02</t>
  </si>
  <si>
    <t>Vijayawada</t>
  </si>
  <si>
    <t>90.75</t>
  </si>
  <si>
    <t>35.00</t>
  </si>
  <si>
    <t>Queenstown</t>
  </si>
  <si>
    <t>80.57</t>
  </si>
  <si>
    <t>21.05</t>
  </si>
  <si>
    <t>94.73</t>
  </si>
  <si>
    <t>58.92</t>
  </si>
  <si>
    <t>123.52</t>
  </si>
  <si>
    <t>84.09</t>
  </si>
  <si>
    <t>97.72</t>
  </si>
  <si>
    <t>73.58</t>
  </si>
  <si>
    <t>97.01</t>
  </si>
  <si>
    <t>59.32</t>
  </si>
  <si>
    <t>171.42</t>
  </si>
  <si>
    <t>138.59</t>
  </si>
  <si>
    <t>94.87</t>
  </si>
  <si>
    <t>88.04</t>
  </si>
  <si>
    <t>Amstelveen</t>
  </si>
  <si>
    <t>62.96</t>
  </si>
  <si>
    <t>81.53</t>
  </si>
  <si>
    <t>v ICC World XI</t>
  </si>
  <si>
    <t>113.68</t>
  </si>
  <si>
    <t>185.00</t>
  </si>
  <si>
    <t>82.05</t>
  </si>
  <si>
    <t>26.08</t>
  </si>
  <si>
    <t>218.18</t>
  </si>
  <si>
    <t>74.50</t>
  </si>
  <si>
    <t>132.35</t>
  </si>
  <si>
    <t>Melbourne (Docklands)</t>
  </si>
  <si>
    <t>92.50</t>
  </si>
  <si>
    <t>105.40</t>
  </si>
  <si>
    <t>82.75</t>
  </si>
  <si>
    <t>145.83</t>
  </si>
  <si>
    <t>124.19</t>
  </si>
  <si>
    <t>135.00</t>
  </si>
  <si>
    <t>111.66</t>
  </si>
  <si>
    <t>57.77</t>
  </si>
  <si>
    <t>87.95</t>
  </si>
  <si>
    <t>116.86</t>
  </si>
  <si>
    <t>92.23</t>
  </si>
  <si>
    <t>225.00</t>
  </si>
  <si>
    <t>85.00</t>
  </si>
  <si>
    <t>82.60</t>
  </si>
  <si>
    <t>136.84</t>
  </si>
  <si>
    <t>80.64</t>
  </si>
  <si>
    <t>117.10</t>
  </si>
  <si>
    <t>184.37</t>
  </si>
  <si>
    <t>177.27</t>
  </si>
  <si>
    <t>125.26</t>
  </si>
  <si>
    <t>148.48</t>
  </si>
  <si>
    <t>116.43</t>
  </si>
  <si>
    <t>124.65</t>
  </si>
  <si>
    <t>161.53</t>
  </si>
  <si>
    <t>128.88</t>
  </si>
  <si>
    <t>125*</t>
  </si>
  <si>
    <t>168.91</t>
  </si>
  <si>
    <t>148.14</t>
  </si>
  <si>
    <t>129.03</t>
  </si>
  <si>
    <t>44.00</t>
  </si>
  <si>
    <t>126.66</t>
  </si>
  <si>
    <t>143.13</t>
  </si>
  <si>
    <t>157.14</t>
  </si>
  <si>
    <t>162.50</t>
  </si>
  <si>
    <t>155.55</t>
  </si>
  <si>
    <t>124.32</t>
  </si>
  <si>
    <t>99*</t>
  </si>
  <si>
    <t>118.27</t>
  </si>
  <si>
    <t>152.00</t>
  </si>
  <si>
    <t>68.96</t>
  </si>
  <si>
    <t>74.28</t>
  </si>
  <si>
    <t>219</t>
  </si>
  <si>
    <t>146.97</t>
  </si>
  <si>
    <t>95.23</t>
  </si>
  <si>
    <t>187.50</t>
  </si>
  <si>
    <t>98.96</t>
  </si>
  <si>
    <t>Column2</t>
  </si>
  <si>
    <t>Column1</t>
  </si>
  <si>
    <t>ms dhoni</t>
  </si>
  <si>
    <t>Rohit sharma</t>
  </si>
  <si>
    <t>Shubman gill</t>
  </si>
  <si>
    <t>Virender sehwag</t>
  </si>
  <si>
    <t>Insight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</si>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</sst>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>
    <font>
      <sz val="11"/>
      <color theme="1"/>
      <name val="Calibri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name val="Calibri"/>
    </font>
    <font>
      <sz val="11"/>
      <color theme="0"/>
      <name val="Aptos Narrow"/>
    </font>
    <font>
      <i/>
      <sz val="9"/>
      <color theme="1"/>
      <name val="Aptos Narrow"/>
    </font>
    <font>
      <sz val="11"/>
      <color theme="1"/>
      <name val="Calibri"/>
      <scheme val="minor"/>
    </font>
    <font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002060"/>
        <bgColor rgb="FF002060"/>
      </patternFill>
    </fill>
    <fill>
      <patternFill patternType="solid">
        <fgColor rgb="FF548135"/>
        <bgColor rgb="FF54813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2F2F2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2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2" fontId="1" fillId="4" borderId="11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1" fillId="4" borderId="8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4" borderId="9" xfId="0" applyFont="1" applyFill="1" applyBorder="1" applyAlignment="1">
      <alignment horizontal="left" vertical="center"/>
    </xf>
    <xf numFmtId="10" fontId="1" fillId="4" borderId="5" xfId="1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3" fillId="0" borderId="3" xfId="0" applyFont="1" applyBorder="1"/>
    <xf numFmtId="0" fontId="4" fillId="6" borderId="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4" fontId="1" fillId="0" borderId="0" xfId="2" applyNumberFormat="1" applyFont="1" applyAlignment="1">
      <alignment horizontal="center" vertical="center"/>
    </xf>
    <xf numFmtId="164" fontId="4" fillId="5" borderId="8" xfId="2" applyNumberFormat="1" applyFont="1" applyFill="1" applyBorder="1" applyAlignment="1">
      <alignment horizontal="center" vertical="center"/>
    </xf>
    <xf numFmtId="164" fontId="1" fillId="0" borderId="0" xfId="2" applyNumberFormat="1" applyFont="1" applyAlignment="1">
      <alignment horizontal="right"/>
    </xf>
    <xf numFmtId="164" fontId="0" fillId="0" borderId="0" xfId="2" applyNumberFormat="1" applyFont="1" applyAlignment="1">
      <alignment horizontal="right"/>
    </xf>
    <xf numFmtId="164" fontId="0" fillId="0" borderId="0" xfId="2" applyNumberFormat="1" applyFont="1" applyAlignment="1">
      <alignment horizontal="center"/>
    </xf>
    <xf numFmtId="164" fontId="1" fillId="0" borderId="0" xfId="2" applyNumberFormat="1" applyFont="1" applyAlignment="1">
      <alignment horizontal="right" vertical="center"/>
    </xf>
    <xf numFmtId="0" fontId="3" fillId="0" borderId="8" xfId="0" applyFont="1" applyBorder="1"/>
    <xf numFmtId="0" fontId="2" fillId="10" borderId="8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164" fontId="4" fillId="5" borderId="8" xfId="2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7" fillId="7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/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</cellXfs>
  <cellStyles count="3">
    <cellStyle name="Comma" xfId="2" builtinId="3"/>
    <cellStyle name="Normal" xfId="0" builtinId="0"/>
    <cellStyle name="Percent" xfId="1" builtinId="5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53340</xdr:colOff>
      <xdr:row>4</xdr:row>
      <xdr:rowOff>76200</xdr:rowOff>
    </xdr:from>
    <xdr:ext cx="4282440" cy="6400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4C8EF6-2E94-9BE6-B528-2E061B1D07ED}"/>
            </a:ext>
          </a:extLst>
        </xdr:cNvPr>
        <xdr:cNvSpPr txBox="1"/>
      </xdr:nvSpPr>
      <xdr:spPr>
        <a:xfrm>
          <a:off x="11765280" y="777240"/>
          <a:ext cx="4282440" cy="640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Virat</a:t>
          </a:r>
          <a:r>
            <a:rPr lang="en-IN" b="1" baseline="0"/>
            <a:t> Kholi </a:t>
          </a:r>
          <a:r>
            <a:rPr lang="en-IN"/>
            <a:t>Leads this group in milestone consistency with </a:t>
          </a:r>
          <a:r>
            <a:rPr lang="en-IN" b="1"/>
            <a:t>51 centuries (100s)</a:t>
          </a:r>
          <a:r>
            <a:rPr lang="en-IN"/>
            <a:t> and </a:t>
          </a:r>
          <a:r>
            <a:rPr lang="en-IN" b="1"/>
            <a:t>77 half-centuries (50s)</a:t>
          </a:r>
          <a:r>
            <a:rPr lang="en-IN"/>
            <a:t>. He has a very high boundary run total of </a:t>
          </a:r>
          <a:r>
            <a:rPr lang="en-IN" b="1"/>
            <a:t>6,212</a:t>
          </a:r>
          <a:r>
            <a:rPr lang="en-IN"/>
            <a:t>.</a:t>
          </a:r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68580</xdr:colOff>
      <xdr:row>4</xdr:row>
      <xdr:rowOff>45720</xdr:rowOff>
    </xdr:from>
    <xdr:ext cx="4213859" cy="12039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38F470F-DA9D-8E0A-2EF5-258F1D3CA716}"/>
            </a:ext>
          </a:extLst>
        </xdr:cNvPr>
        <xdr:cNvSpPr txBox="1"/>
      </xdr:nvSpPr>
      <xdr:spPr>
        <a:xfrm>
          <a:off x="12397740" y="746760"/>
          <a:ext cx="4213859" cy="1203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MS Dhoni </a:t>
          </a:r>
          <a:r>
            <a:rPr lang="en-IN"/>
            <a:t>is a remarkably reliable finisher with </a:t>
          </a:r>
          <a:r>
            <a:rPr lang="en-IN" b="1"/>
            <a:t>350 matches</a:t>
          </a:r>
          <a:r>
            <a:rPr lang="en-IN"/>
            <a:t> and a high of </a:t>
          </a:r>
          <a:r>
            <a:rPr lang="en-IN" b="1"/>
            <a:t>183</a:t>
          </a:r>
          <a:r>
            <a:rPr lang="en-IN"/>
            <a:t>, recording only </a:t>
          </a:r>
          <a:r>
            <a:rPr lang="en-IN" b="1"/>
            <a:t>9 ducks</a:t>
          </a:r>
          <a:r>
            <a:rPr lang="en-IN"/>
            <a:t> in his long career. He balances power and precision with </a:t>
          </a:r>
          <a:r>
            <a:rPr lang="en-IN" b="1"/>
            <a:t>4,678 boundary runs</a:t>
          </a:r>
          <a:r>
            <a:rPr lang="en-IN"/>
            <a:t> and </a:t>
          </a:r>
          <a:r>
            <a:rPr lang="en-IN" b="1"/>
            <a:t>45 sixes</a:t>
          </a:r>
          <a:r>
            <a:rPr lang="en-IN"/>
            <a:t> specifically against Sri Lanka. Despite his lower-order role, his </a:t>
          </a:r>
          <a:r>
            <a:rPr lang="en-IN" b="1"/>
            <a:t>73 half-centuries</a:t>
          </a:r>
          <a:r>
            <a:rPr lang="en-IN"/>
            <a:t> highlight his immense consistency and stabilizing influence.</a:t>
          </a:r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</xdr:colOff>
      <xdr:row>3</xdr:row>
      <xdr:rowOff>60960</xdr:rowOff>
    </xdr:from>
    <xdr:ext cx="4419600" cy="7620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8E1232-BCB4-C8B3-7CD8-12A05DEFB979}"/>
            </a:ext>
          </a:extLst>
        </xdr:cNvPr>
        <xdr:cNvSpPr txBox="1"/>
      </xdr:nvSpPr>
      <xdr:spPr>
        <a:xfrm>
          <a:off x="12618720" y="586740"/>
          <a:ext cx="4419600" cy="762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Sachin Tendulkar </a:t>
          </a:r>
          <a:r>
            <a:rPr lang="en-IN"/>
            <a:t>Shows immense longevity and consistency with </a:t>
          </a:r>
          <a:r>
            <a:rPr lang="en-IN" b="1"/>
            <a:t>350 matches played</a:t>
          </a:r>
          <a:r>
            <a:rPr lang="en-IN"/>
            <a:t>. He maintains a high boundary run count of </a:t>
          </a:r>
          <a:r>
            <a:rPr lang="en-IN" b="1"/>
            <a:t>6,732</a:t>
          </a:r>
          <a:r>
            <a:rPr lang="en-IN"/>
            <a:t> and a high Career Variation (CV) of </a:t>
          </a:r>
          <a:r>
            <a:rPr lang="en-IN" b="1"/>
            <a:t>88.86%</a:t>
          </a:r>
          <a:r>
            <a:rPr lang="en-IN"/>
            <a:t>.</a:t>
          </a:r>
          <a:endParaRPr lang="en-I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76200</xdr:colOff>
      <xdr:row>3</xdr:row>
      <xdr:rowOff>45720</xdr:rowOff>
    </xdr:from>
    <xdr:ext cx="4389120" cy="8077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E8B065-BF04-09BA-6B85-43E36944CB1A}"/>
            </a:ext>
          </a:extLst>
        </xdr:cNvPr>
        <xdr:cNvSpPr txBox="1"/>
      </xdr:nvSpPr>
      <xdr:spPr>
        <a:xfrm>
          <a:off x="12260580" y="571500"/>
          <a:ext cx="4389120" cy="8077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 </a:t>
          </a:r>
          <a:r>
            <a:rPr lang="en-IN" b="1"/>
            <a:t>Rohit Sharma </a:t>
          </a:r>
          <a:r>
            <a:rPr lang="en-IN"/>
            <a:t>Holds the highest individual score among the group with a staggering </a:t>
          </a:r>
          <a:r>
            <a:rPr lang="en-IN" b="1"/>
            <a:t>264</a:t>
          </a:r>
          <a:r>
            <a:rPr lang="en-IN"/>
            <a:t>. He also demonstrates significant power against specific opponents, recording the highest number of sixes against Sri Lanka (</a:t>
          </a:r>
          <a:r>
            <a:rPr lang="en-IN" b="1"/>
            <a:t>58</a:t>
          </a:r>
          <a:r>
            <a:rPr lang="en-IN"/>
            <a:t>).</a:t>
          </a:r>
        </a:p>
        <a:p>
          <a:endParaRPr lang="en-IN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</xdr:colOff>
      <xdr:row>3</xdr:row>
      <xdr:rowOff>53340</xdr:rowOff>
    </xdr:from>
    <xdr:ext cx="4556760" cy="6934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CB5A6F-283B-E6FD-58D0-D95B0E34193C}"/>
            </a:ext>
          </a:extLst>
        </xdr:cNvPr>
        <xdr:cNvSpPr txBox="1"/>
      </xdr:nvSpPr>
      <xdr:spPr>
        <a:xfrm>
          <a:off x="12268200" y="579120"/>
          <a:ext cx="4556760" cy="6934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Shubman</a:t>
          </a:r>
          <a:r>
            <a:rPr lang="en-IN" b="1" baseline="0"/>
            <a:t> Gill </a:t>
          </a:r>
          <a:r>
            <a:rPr lang="en-IN"/>
            <a:t> has played the fewest matches in this set (</a:t>
          </a:r>
          <a:r>
            <a:rPr lang="en-IN" b="1"/>
            <a:t>55</a:t>
          </a:r>
          <a:r>
            <a:rPr lang="en-IN"/>
            <a:t>), he maintains an elite </a:t>
          </a:r>
          <a:r>
            <a:rPr lang="en-IN" b="1"/>
            <a:t>Boundary % of 57.40%</a:t>
          </a:r>
          <a:r>
            <a:rPr lang="en-IN"/>
            <a:t> and the lowest </a:t>
          </a:r>
          <a:r>
            <a:rPr lang="en-IN" b="1"/>
            <a:t>run-out percentage (2.13%)</a:t>
          </a:r>
          <a:r>
            <a:rPr lang="en-IN"/>
            <a:t>, suggesting excellent clinical judgment and running between wickets</a:t>
          </a:r>
          <a:endParaRPr lang="en-IN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53340</xdr:colOff>
      <xdr:row>3</xdr:row>
      <xdr:rowOff>68580</xdr:rowOff>
    </xdr:from>
    <xdr:ext cx="4137660" cy="6629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016E09-9932-2457-4A7E-85A00B0C8150}"/>
            </a:ext>
          </a:extLst>
        </xdr:cNvPr>
        <xdr:cNvSpPr txBox="1"/>
      </xdr:nvSpPr>
      <xdr:spPr>
        <a:xfrm>
          <a:off x="11963400" y="594360"/>
          <a:ext cx="4137660" cy="6629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Virender Sehwag </a:t>
          </a:r>
          <a:r>
            <a:rPr lang="en-IN" b="0"/>
            <a:t>d</a:t>
          </a:r>
          <a:r>
            <a:rPr lang="en-IN"/>
            <a:t>isplays the highest </a:t>
          </a:r>
          <a:r>
            <a:rPr lang="en-IN" b="1"/>
            <a:t>Boundary % at 64.60%</a:t>
          </a:r>
          <a:r>
            <a:rPr lang="en-IN"/>
            <a:t> and a remarkably high CV of </a:t>
          </a:r>
          <a:r>
            <a:rPr lang="en-IN" b="1"/>
            <a:t>99.30%</a:t>
          </a:r>
          <a:r>
            <a:rPr lang="en-IN"/>
            <a:t>, indicating a high-risk, high-reward scoring style.</a:t>
          </a:r>
          <a:endParaRPr lang="en-IN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0C4342-84E0-46F8-8AED-5F287F31D225}" name="Table13" displayName="Table13" ref="L3:M14" totalsRowShown="0">
  <autoFilter ref="L3:M14" xr:uid="{B50C4342-84E0-46F8-8AED-5F287F31D225}"/>
  <tableColumns count="2">
    <tableColumn id="2" xr3:uid="{9F502799-082B-4116-A70D-B7BA0046438E}" name="Other Stats" dataDxfId="4"/>
    <tableColumn id="3" xr3:uid="{CB92034F-6A56-464C-B9D3-16785F754A77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4FA43-0A64-4535-BBA4-B063EC0092F0}" name="Table1" displayName="Table1" ref="N3:O14" totalsRowShown="0">
  <autoFilter ref="N3:O14" xr:uid="{1644FA43-0A64-4535-BBA4-B063EC0092F0}"/>
  <tableColumns count="2">
    <tableColumn id="2" xr3:uid="{381F37BF-8E2C-48F6-9E3F-31172F6465CB}" name="Other Stats" dataDxfId="3"/>
    <tableColumn id="3" xr3:uid="{FBE4091F-DCC9-4E41-9E38-E19F88CA5E59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E74D24-C113-49A3-AE2C-1427CFA41D43}" name="Table14" displayName="Table14" ref="N2:O13" totalsRowShown="0">
  <autoFilter ref="N2:O13" xr:uid="{11E74D24-C113-49A3-AE2C-1427CFA41D43}"/>
  <tableColumns count="2">
    <tableColumn id="2" xr3:uid="{44FCA8AD-7DAA-4EE4-9BAD-F309C4BD53BB}" name="Other Stats" dataDxfId="2"/>
    <tableColumn id="3" xr3:uid="{0F9B19FE-8775-478D-89A7-7B7322F96E6F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855B11-89B0-4AE3-B270-09D19F3B0E27}" name="Table145" displayName="Table145" ref="N2:O13" totalsRowShown="0">
  <autoFilter ref="N2:O13" xr:uid="{03855B11-89B0-4AE3-B270-09D19F3B0E27}"/>
  <tableColumns count="2">
    <tableColumn id="2" xr3:uid="{15728A2A-5403-44F9-9707-037FD363BE8D}" name="Other Stats" dataDxfId="1"/>
    <tableColumn id="3" xr3:uid="{8BC19215-8F02-4D77-90E7-E660105953D3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2BAC32-A0AF-4A0E-9C28-377AE948C82D}" name="Table146" displayName="Table146" ref="N2:O13" totalsRowShown="0">
  <autoFilter ref="N2:O13" xr:uid="{7C2BAC32-A0AF-4A0E-9C28-377AE948C82D}"/>
  <tableColumns count="2">
    <tableColumn id="2" xr3:uid="{978A5FD3-5B4E-4279-ACBB-E0DBEFF5A843}" name="Other Stats" dataDxfId="0"/>
    <tableColumn id="3" xr3:uid="{6F34663D-9455-4497-AC62-EEC09F02AAC3}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2934EA-B40C-4BE4-882E-136415E65116}" name="Table147" displayName="Table147" ref="N2:O13" totalsRowShown="0">
  <autoFilter ref="N2:O13" xr:uid="{D52934EA-B40C-4BE4-882E-136415E65116}"/>
  <tableColumns count="2">
    <tableColumn id="2" xr3:uid="{CD8B504F-0054-4B39-8CA7-F6760B1E5501}" name="Other Stats" dataDxfId="5"/>
    <tableColumn id="3" xr3:uid="{2F630441-DC78-4A2D-8257-89F68F5BC65E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N7" sqref="N7"/>
    </sheetView>
  </sheetViews>
  <sheetFormatPr defaultColWidth="14.44140625" defaultRowHeight="15" customHeight="1"/>
  <cols>
    <col min="1" max="1" width="4" customWidth="1"/>
    <col min="2" max="2" width="14.88671875" customWidth="1"/>
    <col min="3" max="3" width="8.109375" customWidth="1"/>
    <col min="4" max="4" width="13.44140625" customWidth="1"/>
    <col min="5" max="5" width="9.6640625" customWidth="1"/>
    <col min="6" max="6" width="7.33203125" customWidth="1"/>
    <col min="7" max="7" width="8.6640625" customWidth="1"/>
    <col min="8" max="10" width="10.6640625" customWidth="1"/>
    <col min="11" max="11" width="17.5546875" customWidth="1"/>
    <col min="12" max="12" width="15.6640625" customWidth="1"/>
    <col min="13" max="13" width="8.6640625" customWidth="1"/>
    <col min="14" max="14" width="26.5546875" customWidth="1"/>
    <col min="15" max="26" width="8.6640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44" t="e">
        <v>#VALUE!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45"/>
      <c r="C3" s="1" t="s">
        <v>0</v>
      </c>
      <c r="D3" s="46" t="s">
        <v>1</v>
      </c>
      <c r="E3" s="47"/>
      <c r="F3" s="47"/>
      <c r="G3" s="47"/>
      <c r="H3" s="48"/>
      <c r="I3" s="2"/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45"/>
      <c r="C4" s="1"/>
      <c r="D4" s="1"/>
      <c r="E4" s="1"/>
      <c r="F4" s="1"/>
      <c r="G4" s="1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4" t="s">
        <v>2</v>
      </c>
      <c r="C5" s="5">
        <f>SUM(C13:C314)/ COUNTIF(L13:L314,"Yes")</f>
        <v>57.881632653061224</v>
      </c>
      <c r="D5" s="5">
        <f>AVERAGE(D13:D314)</f>
        <v>52.386206896551727</v>
      </c>
      <c r="E5" s="5">
        <f>AVERAGE(E13:E314)</f>
        <v>4.568965517241379</v>
      </c>
      <c r="F5" s="5">
        <f>AVERAGE(F13:F314)</f>
        <v>0.52413793103448281</v>
      </c>
      <c r="G5" s="21">
        <f>SUM(C13:C314)/SUM(D13:D314)</f>
        <v>0.93345181674565558</v>
      </c>
      <c r="H5" s="6"/>
      <c r="I5" s="6"/>
      <c r="J5" s="6"/>
      <c r="K5" s="6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8" t="s">
        <v>3</v>
      </c>
      <c r="C6" s="9">
        <f>MEDIAN(C13:C314)</f>
        <v>36.5</v>
      </c>
      <c r="D6" s="9"/>
      <c r="E6" s="9"/>
      <c r="F6" s="9"/>
      <c r="G6" s="9"/>
      <c r="H6" s="10"/>
      <c r="I6" s="10"/>
      <c r="J6" s="10"/>
      <c r="K6" s="10"/>
      <c r="L6" s="11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8" t="s">
        <v>4</v>
      </c>
      <c r="C7" s="9"/>
      <c r="D7" s="9"/>
      <c r="E7" s="9"/>
      <c r="F7" s="9"/>
      <c r="G7" s="9"/>
      <c r="H7" s="10"/>
      <c r="I7" s="10"/>
      <c r="J7" s="10"/>
      <c r="K7" s="10"/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8" t="s">
        <v>5</v>
      </c>
      <c r="C8" s="9">
        <f>_xlfn.STDEV.S(C13:C314)</f>
        <v>42.909258887446377</v>
      </c>
      <c r="D8" s="9"/>
      <c r="E8" s="9"/>
      <c r="F8" s="9"/>
      <c r="G8" s="9"/>
      <c r="H8" s="10"/>
      <c r="I8" s="10"/>
      <c r="J8" s="10"/>
      <c r="K8" s="10"/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8" t="s">
        <v>6</v>
      </c>
      <c r="C9" s="9">
        <f>SKEW(C13:C314)</f>
        <v>0.70233165191966029</v>
      </c>
      <c r="D9" s="9"/>
      <c r="E9" s="9"/>
      <c r="F9" s="9"/>
      <c r="G9" s="9"/>
      <c r="H9" s="10"/>
      <c r="I9" s="10"/>
      <c r="J9" s="10"/>
      <c r="K9" s="10"/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2" t="s">
        <v>7</v>
      </c>
      <c r="C10" s="13">
        <f>KURT(C13:C314)</f>
        <v>-0.51491306581489749</v>
      </c>
      <c r="D10" s="13"/>
      <c r="E10" s="13"/>
      <c r="F10" s="13"/>
      <c r="G10" s="13"/>
      <c r="H10" s="14"/>
      <c r="I10" s="14"/>
      <c r="J10" s="14"/>
      <c r="K10" s="14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6" t="s">
        <v>8</v>
      </c>
      <c r="C12" s="16" t="s">
        <v>9</v>
      </c>
      <c r="D12" s="16" t="s">
        <v>10</v>
      </c>
      <c r="E12" s="16" t="s">
        <v>11</v>
      </c>
      <c r="F12" s="16" t="s">
        <v>12</v>
      </c>
      <c r="G12" s="16" t="s">
        <v>13</v>
      </c>
      <c r="H12" s="16" t="s">
        <v>14</v>
      </c>
      <c r="I12" s="16"/>
      <c r="J12" s="16" t="s">
        <v>15</v>
      </c>
      <c r="K12" s="16" t="s">
        <v>16</v>
      </c>
      <c r="L12" s="16" t="s">
        <v>17</v>
      </c>
      <c r="M12" s="1"/>
      <c r="N12" s="50" t="s">
        <v>18</v>
      </c>
      <c r="O12" s="4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1">
        <v>1</v>
      </c>
      <c r="C13" s="1">
        <v>12</v>
      </c>
      <c r="D13" s="1">
        <v>22</v>
      </c>
      <c r="E13" s="1">
        <v>1</v>
      </c>
      <c r="F13" s="1">
        <v>0</v>
      </c>
      <c r="G13" s="1">
        <v>54.54</v>
      </c>
      <c r="H13" s="1" t="s">
        <v>19</v>
      </c>
      <c r="I13" s="1" t="e">
        <f t="array" aca="1" ref="I13:I314" ca="1">_xludf.XMATCH(H13:H314,H13:H314)</f>
        <v>#NAME?</v>
      </c>
      <c r="J13" s="1" t="s">
        <v>20</v>
      </c>
      <c r="K13" s="1" t="s">
        <v>21</v>
      </c>
      <c r="L13" s="1" t="s">
        <v>22</v>
      </c>
      <c r="M13" s="1"/>
      <c r="N13" s="2" t="s">
        <v>23</v>
      </c>
      <c r="O13" s="10">
        <f>COUNT(B13:B314)</f>
        <v>302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>
        <v>2</v>
      </c>
      <c r="C14" s="1">
        <v>37</v>
      </c>
      <c r="D14" s="1">
        <v>67</v>
      </c>
      <c r="E14" s="1">
        <v>6</v>
      </c>
      <c r="F14" s="1">
        <v>0</v>
      </c>
      <c r="G14" s="1">
        <v>55.22</v>
      </c>
      <c r="H14" s="1" t="s">
        <v>24</v>
      </c>
      <c r="I14" s="1" t="e">
        <f ca="1"/>
        <v>#NAME?</v>
      </c>
      <c r="J14" s="1" t="s">
        <v>20</v>
      </c>
      <c r="K14" s="1" t="s">
        <v>21</v>
      </c>
      <c r="L14" s="1" t="s">
        <v>22</v>
      </c>
      <c r="M14" s="1"/>
      <c r="N14" s="2" t="s">
        <v>25</v>
      </c>
      <c r="O14" s="10">
        <f>MAX(C13:C314)</f>
        <v>183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>
        <v>3</v>
      </c>
      <c r="C15" s="1">
        <v>25</v>
      </c>
      <c r="D15" s="1">
        <v>38</v>
      </c>
      <c r="E15" s="1">
        <v>4</v>
      </c>
      <c r="F15" s="1">
        <v>0</v>
      </c>
      <c r="G15" s="1">
        <v>65.78</v>
      </c>
      <c r="H15" s="1" t="s">
        <v>26</v>
      </c>
      <c r="I15" s="1" t="e">
        <f ca="1"/>
        <v>#NAME?</v>
      </c>
      <c r="J15" s="1" t="s">
        <v>20</v>
      </c>
      <c r="K15" s="1" t="s">
        <v>27</v>
      </c>
      <c r="L15" s="1" t="s">
        <v>22</v>
      </c>
      <c r="M15" s="1"/>
      <c r="N15" s="2" t="s">
        <v>28</v>
      </c>
      <c r="O15" s="10">
        <f>COUNTIF(C13:C314,0)</f>
        <v>16</v>
      </c>
      <c r="P15" s="1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>
        <v>4</v>
      </c>
      <c r="C16" s="1">
        <v>54</v>
      </c>
      <c r="D16" s="1">
        <v>66</v>
      </c>
      <c r="E16" s="1">
        <v>7</v>
      </c>
      <c r="F16" s="1">
        <v>0</v>
      </c>
      <c r="G16" s="1">
        <v>81.81</v>
      </c>
      <c r="H16" s="1" t="s">
        <v>29</v>
      </c>
      <c r="I16" s="1" t="e">
        <f ca="1"/>
        <v>#NAME?</v>
      </c>
      <c r="J16" s="1" t="s">
        <v>20</v>
      </c>
      <c r="K16" s="1" t="s">
        <v>27</v>
      </c>
      <c r="L16" s="1" t="s">
        <v>22</v>
      </c>
      <c r="M16" s="1"/>
      <c r="N16" s="2" t="s">
        <v>30</v>
      </c>
      <c r="O16" s="10">
        <f>COUNTIF(C13:C314, "&gt;=100")</f>
        <v>51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>
        <v>5</v>
      </c>
      <c r="C17" s="1">
        <v>31</v>
      </c>
      <c r="D17" s="1">
        <v>46</v>
      </c>
      <c r="E17" s="1">
        <v>3</v>
      </c>
      <c r="F17" s="1">
        <v>1</v>
      </c>
      <c r="G17" s="1">
        <v>67.39</v>
      </c>
      <c r="H17" s="1" t="s">
        <v>19</v>
      </c>
      <c r="I17" s="1" t="e">
        <f ca="1"/>
        <v>#NAME?</v>
      </c>
      <c r="J17" s="1" t="s">
        <v>20</v>
      </c>
      <c r="K17" s="1" t="s">
        <v>27</v>
      </c>
      <c r="L17" s="1" t="s">
        <v>22</v>
      </c>
      <c r="M17" s="1"/>
      <c r="N17" s="2" t="s">
        <v>31</v>
      </c>
      <c r="O17" s="10">
        <f>COUNTIFS(C13:C314, "&gt;=50", C13:C314, "&lt;=100")</f>
        <v>77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>
        <v>6</v>
      </c>
      <c r="C18" s="1">
        <v>2</v>
      </c>
      <c r="D18" s="1">
        <v>2</v>
      </c>
      <c r="E18" s="1">
        <v>0</v>
      </c>
      <c r="F18" s="1">
        <v>0</v>
      </c>
      <c r="G18" s="1">
        <v>100</v>
      </c>
      <c r="H18" s="1" t="s">
        <v>32</v>
      </c>
      <c r="I18" s="1" t="e">
        <f ca="1"/>
        <v>#NAME?</v>
      </c>
      <c r="J18" s="1" t="s">
        <v>20</v>
      </c>
      <c r="K18" s="1" t="s">
        <v>27</v>
      </c>
      <c r="L18" s="1" t="s">
        <v>33</v>
      </c>
      <c r="M18" s="1"/>
      <c r="N18" s="2" t="s">
        <v>34</v>
      </c>
      <c r="O18" s="10">
        <f>SUM(E13:E314)*4+SUM(F13:F314)*6</f>
        <v>6212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>
        <v>7</v>
      </c>
      <c r="C19" s="1">
        <v>16</v>
      </c>
      <c r="D19" s="1">
        <v>24</v>
      </c>
      <c r="E19" s="1">
        <v>1</v>
      </c>
      <c r="F19" s="1">
        <v>0</v>
      </c>
      <c r="G19" s="1">
        <v>66.66</v>
      </c>
      <c r="H19" s="1" t="s">
        <v>24</v>
      </c>
      <c r="I19" s="1" t="e">
        <f ca="1"/>
        <v>#NAME?</v>
      </c>
      <c r="J19" s="1" t="s">
        <v>35</v>
      </c>
      <c r="K19" s="1" t="s">
        <v>36</v>
      </c>
      <c r="L19" s="1" t="s">
        <v>22</v>
      </c>
      <c r="M19" s="1"/>
      <c r="N19" s="2" t="s">
        <v>37</v>
      </c>
      <c r="O19" s="18">
        <f>O18/SUM(C13:C314)</f>
        <v>0.43805091319370987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>
        <v>8</v>
      </c>
      <c r="C20" s="1" t="s">
        <v>38</v>
      </c>
      <c r="D20" s="1" t="s">
        <v>39</v>
      </c>
      <c r="E20" s="1" t="s">
        <v>39</v>
      </c>
      <c r="F20" s="1" t="s">
        <v>39</v>
      </c>
      <c r="G20" s="1" t="s">
        <v>39</v>
      </c>
      <c r="H20" s="1" t="s">
        <v>39</v>
      </c>
      <c r="I20" s="1" t="e">
        <f ca="1"/>
        <v>#NAME?</v>
      </c>
      <c r="J20" s="1" t="s">
        <v>40</v>
      </c>
      <c r="K20" s="1" t="s">
        <v>36</v>
      </c>
      <c r="L20" s="1" t="s">
        <v>39</v>
      </c>
      <c r="M20" s="1"/>
      <c r="N20" s="2" t="s">
        <v>41</v>
      </c>
      <c r="O20" s="18">
        <f>C8/C5</f>
        <v>0.74132772212286602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>
        <v>9</v>
      </c>
      <c r="C21" s="1">
        <v>79</v>
      </c>
      <c r="D21" s="1">
        <v>104</v>
      </c>
      <c r="E21" s="1">
        <v>9</v>
      </c>
      <c r="F21" s="1">
        <v>2</v>
      </c>
      <c r="G21" s="1">
        <v>75.959999999999994</v>
      </c>
      <c r="H21" s="1" t="s">
        <v>32</v>
      </c>
      <c r="I21" s="1" t="e">
        <f ca="1"/>
        <v>#NAME?</v>
      </c>
      <c r="J21" s="1" t="s">
        <v>42</v>
      </c>
      <c r="K21" s="1" t="s">
        <v>43</v>
      </c>
      <c r="L21" s="1" t="s">
        <v>33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>
        <v>10</v>
      </c>
      <c r="C22" s="1">
        <v>30</v>
      </c>
      <c r="D22" s="1">
        <v>41</v>
      </c>
      <c r="E22" s="1">
        <v>3</v>
      </c>
      <c r="F22" s="1">
        <v>0</v>
      </c>
      <c r="G22" s="1">
        <v>73.17</v>
      </c>
      <c r="H22" s="1" t="s">
        <v>24</v>
      </c>
      <c r="I22" s="1" t="e">
        <f ca="1"/>
        <v>#NAME?</v>
      </c>
      <c r="J22" s="1" t="s">
        <v>40</v>
      </c>
      <c r="K22" s="1" t="s">
        <v>44</v>
      </c>
      <c r="L22" s="1" t="s">
        <v>22</v>
      </c>
      <c r="M22" s="1"/>
      <c r="N22" s="2" t="s">
        <v>45</v>
      </c>
      <c r="O22" s="9">
        <f>AVERAGEIFS(C13:C314,J13:J314,"Australia")</f>
        <v>51.0625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>
        <v>11</v>
      </c>
      <c r="C23" s="1">
        <v>10</v>
      </c>
      <c r="D23" s="1">
        <v>16</v>
      </c>
      <c r="E23" s="1">
        <v>1</v>
      </c>
      <c r="F23" s="1">
        <v>0</v>
      </c>
      <c r="G23" s="1">
        <v>62.5</v>
      </c>
      <c r="H23" s="1" t="s">
        <v>24</v>
      </c>
      <c r="I23" s="1" t="e">
        <f ca="1"/>
        <v>#NAME?</v>
      </c>
      <c r="J23" s="1" t="s">
        <v>40</v>
      </c>
      <c r="K23" s="1" t="s">
        <v>46</v>
      </c>
      <c r="L23" s="1" t="s">
        <v>22</v>
      </c>
      <c r="M23" s="1"/>
      <c r="N23" s="2" t="s">
        <v>47</v>
      </c>
      <c r="O23" s="18">
        <f>COUNTIF(H13:H314, "run out")/COUNTIF(L13:L314, "Yes")</f>
        <v>4.8979591836734691E-2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>
        <v>12</v>
      </c>
      <c r="C24" s="1">
        <v>27</v>
      </c>
      <c r="D24" s="1">
        <v>19</v>
      </c>
      <c r="E24" s="1">
        <v>4</v>
      </c>
      <c r="F24" s="1">
        <v>0</v>
      </c>
      <c r="G24" s="1">
        <v>142.1</v>
      </c>
      <c r="H24" s="1" t="s">
        <v>29</v>
      </c>
      <c r="I24" s="1" t="e">
        <f ca="1"/>
        <v>#NAME?</v>
      </c>
      <c r="J24" s="1" t="s">
        <v>20</v>
      </c>
      <c r="K24" s="1" t="s">
        <v>48</v>
      </c>
      <c r="L24" s="1" t="s">
        <v>22</v>
      </c>
      <c r="M24" s="1"/>
      <c r="N24" s="2" t="s">
        <v>49</v>
      </c>
      <c r="O24" s="10">
        <f>SUMIFS(F13:F314,J13:J314, "Sri Lanka")</f>
        <v>26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>
        <v>13</v>
      </c>
      <c r="C25" s="1">
        <v>54</v>
      </c>
      <c r="D25" s="1">
        <v>65</v>
      </c>
      <c r="E25" s="1">
        <v>7</v>
      </c>
      <c r="F25" s="1">
        <v>0</v>
      </c>
      <c r="G25" s="1">
        <v>83.07</v>
      </c>
      <c r="H25" s="1" t="s">
        <v>19</v>
      </c>
      <c r="I25" s="1" t="e">
        <f ca="1"/>
        <v>#NAME?</v>
      </c>
      <c r="J25" s="1" t="s">
        <v>20</v>
      </c>
      <c r="K25" s="1" t="s">
        <v>50</v>
      </c>
      <c r="L25" s="1" t="s">
        <v>22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>
        <v>14</v>
      </c>
      <c r="C26" s="1">
        <v>107</v>
      </c>
      <c r="D26" s="1">
        <v>114</v>
      </c>
      <c r="E26" s="1">
        <v>11</v>
      </c>
      <c r="F26" s="1">
        <v>1</v>
      </c>
      <c r="G26" s="1">
        <v>93.85</v>
      </c>
      <c r="H26" s="1" t="s">
        <v>24</v>
      </c>
      <c r="I26" s="1" t="e">
        <f ca="1"/>
        <v>#NAME?</v>
      </c>
      <c r="J26" s="1" t="s">
        <v>20</v>
      </c>
      <c r="K26" s="1" t="s">
        <v>51</v>
      </c>
      <c r="L26" s="1" t="s">
        <v>22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>
        <v>15</v>
      </c>
      <c r="C27" s="1" t="s">
        <v>38</v>
      </c>
      <c r="D27" s="1" t="s">
        <v>39</v>
      </c>
      <c r="E27" s="1" t="s">
        <v>39</v>
      </c>
      <c r="F27" s="1" t="s">
        <v>39</v>
      </c>
      <c r="G27" s="1" t="s">
        <v>39</v>
      </c>
      <c r="H27" s="1" t="s">
        <v>39</v>
      </c>
      <c r="I27" s="1" t="e">
        <f ca="1"/>
        <v>#NAME?</v>
      </c>
      <c r="J27" s="1" t="s">
        <v>20</v>
      </c>
      <c r="K27" s="1" t="s">
        <v>52</v>
      </c>
      <c r="L27" s="1" t="s">
        <v>39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>
        <v>16</v>
      </c>
      <c r="C28" s="1">
        <v>9</v>
      </c>
      <c r="D28" s="1">
        <v>12</v>
      </c>
      <c r="E28" s="1">
        <v>1</v>
      </c>
      <c r="F28" s="1">
        <v>0</v>
      </c>
      <c r="G28" s="1">
        <v>75</v>
      </c>
      <c r="H28" s="1" t="s">
        <v>24</v>
      </c>
      <c r="I28" s="1" t="e">
        <f ca="1"/>
        <v>#NAME?</v>
      </c>
      <c r="J28" s="1" t="s">
        <v>20</v>
      </c>
      <c r="K28" s="1" t="s">
        <v>53</v>
      </c>
      <c r="L28" s="1" t="s">
        <v>22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>
        <v>17</v>
      </c>
      <c r="C29" s="1">
        <v>91</v>
      </c>
      <c r="D29" s="1">
        <v>102</v>
      </c>
      <c r="E29" s="1">
        <v>7</v>
      </c>
      <c r="F29" s="1">
        <v>0</v>
      </c>
      <c r="G29" s="1">
        <v>89.21</v>
      </c>
      <c r="H29" s="1" t="s">
        <v>24</v>
      </c>
      <c r="I29" s="1" t="e">
        <f ca="1"/>
        <v>#NAME?</v>
      </c>
      <c r="J29" s="1" t="s">
        <v>54</v>
      </c>
      <c r="K29" s="1" t="s">
        <v>53</v>
      </c>
      <c r="L29" s="1" t="s">
        <v>22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>
        <v>18</v>
      </c>
      <c r="C30" s="1">
        <v>71</v>
      </c>
      <c r="D30" s="1">
        <v>68</v>
      </c>
      <c r="E30" s="1">
        <v>9</v>
      </c>
      <c r="F30" s="1">
        <v>0</v>
      </c>
      <c r="G30" s="1">
        <v>104.41</v>
      </c>
      <c r="H30" s="1" t="s">
        <v>32</v>
      </c>
      <c r="I30" s="1" t="e">
        <f ca="1"/>
        <v>#NAME?</v>
      </c>
      <c r="J30" s="1" t="s">
        <v>20</v>
      </c>
      <c r="K30" s="1" t="s">
        <v>53</v>
      </c>
      <c r="L30" s="1" t="s">
        <v>33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>
        <v>19</v>
      </c>
      <c r="C31" s="1">
        <v>102</v>
      </c>
      <c r="D31" s="1">
        <v>95</v>
      </c>
      <c r="E31" s="1">
        <v>11</v>
      </c>
      <c r="F31" s="1">
        <v>0</v>
      </c>
      <c r="G31" s="1">
        <v>107.36</v>
      </c>
      <c r="H31" s="1" t="s">
        <v>32</v>
      </c>
      <c r="I31" s="1" t="e">
        <f ca="1"/>
        <v>#NAME?</v>
      </c>
      <c r="J31" s="1" t="s">
        <v>54</v>
      </c>
      <c r="K31" s="1" t="s">
        <v>53</v>
      </c>
      <c r="L31" s="1" t="s">
        <v>33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>
        <v>20</v>
      </c>
      <c r="C32" s="1">
        <v>2</v>
      </c>
      <c r="D32" s="1">
        <v>8</v>
      </c>
      <c r="E32" s="1">
        <v>0</v>
      </c>
      <c r="F32" s="1">
        <v>0</v>
      </c>
      <c r="G32" s="1">
        <v>25</v>
      </c>
      <c r="H32" s="1" t="s">
        <v>24</v>
      </c>
      <c r="I32" s="1" t="e">
        <f ca="1"/>
        <v>#NAME?</v>
      </c>
      <c r="J32" s="1" t="s">
        <v>20</v>
      </c>
      <c r="K32" s="1" t="s">
        <v>53</v>
      </c>
      <c r="L32" s="1" t="s">
        <v>22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>
        <v>21</v>
      </c>
      <c r="C33" s="1">
        <v>31</v>
      </c>
      <c r="D33" s="1">
        <v>46</v>
      </c>
      <c r="E33" s="1">
        <v>1</v>
      </c>
      <c r="F33" s="1">
        <v>0</v>
      </c>
      <c r="G33" s="1">
        <v>67.39</v>
      </c>
      <c r="H33" s="1" t="s">
        <v>24</v>
      </c>
      <c r="I33" s="1" t="e">
        <f ca="1"/>
        <v>#NAME?</v>
      </c>
      <c r="J33" s="1" t="s">
        <v>55</v>
      </c>
      <c r="K33" s="1" t="s">
        <v>56</v>
      </c>
      <c r="L33" s="1" t="s">
        <v>22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>
        <v>22</v>
      </c>
      <c r="C34" s="1" t="s">
        <v>57</v>
      </c>
      <c r="D34" s="1" t="s">
        <v>39</v>
      </c>
      <c r="E34" s="1" t="s">
        <v>39</v>
      </c>
      <c r="F34" s="1" t="s">
        <v>39</v>
      </c>
      <c r="G34" s="1" t="s">
        <v>39</v>
      </c>
      <c r="H34" s="1" t="s">
        <v>39</v>
      </c>
      <c r="I34" s="1" t="e">
        <f ca="1"/>
        <v>#NAME?</v>
      </c>
      <c r="J34" s="1" t="s">
        <v>55</v>
      </c>
      <c r="K34" s="1" t="s">
        <v>58</v>
      </c>
      <c r="L34" s="1" t="s">
        <v>39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>
        <v>23</v>
      </c>
      <c r="C35" s="1">
        <v>57</v>
      </c>
      <c r="D35" s="1">
        <v>71</v>
      </c>
      <c r="E35" s="1">
        <v>4</v>
      </c>
      <c r="F35" s="1">
        <v>1</v>
      </c>
      <c r="G35" s="1">
        <v>80.28</v>
      </c>
      <c r="H35" s="1" t="s">
        <v>24</v>
      </c>
      <c r="I35" s="1" t="e">
        <f ca="1"/>
        <v>#NAME?</v>
      </c>
      <c r="J35" s="1" t="s">
        <v>55</v>
      </c>
      <c r="K35" s="1" t="s">
        <v>59</v>
      </c>
      <c r="L35" s="1" t="s">
        <v>22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>
        <v>24</v>
      </c>
      <c r="C36" s="1">
        <v>0</v>
      </c>
      <c r="D36" s="1">
        <v>0</v>
      </c>
      <c r="E36" s="1">
        <v>0</v>
      </c>
      <c r="F36" s="1">
        <v>0</v>
      </c>
      <c r="G36" s="1" t="s">
        <v>39</v>
      </c>
      <c r="H36" s="1" t="s">
        <v>26</v>
      </c>
      <c r="I36" s="1" t="e">
        <f ca="1"/>
        <v>#NAME?</v>
      </c>
      <c r="J36" s="1" t="s">
        <v>60</v>
      </c>
      <c r="K36" s="1" t="s">
        <v>61</v>
      </c>
      <c r="L36" s="1" t="s">
        <v>22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>
        <v>25</v>
      </c>
      <c r="C37" s="1">
        <v>82</v>
      </c>
      <c r="D37" s="1">
        <v>92</v>
      </c>
      <c r="E37" s="1">
        <v>4</v>
      </c>
      <c r="F37" s="1">
        <v>0</v>
      </c>
      <c r="G37" s="1">
        <v>89.13</v>
      </c>
      <c r="H37" s="1" t="s">
        <v>24</v>
      </c>
      <c r="I37" s="1" t="e">
        <f ca="1"/>
        <v>#NAME?</v>
      </c>
      <c r="J37" s="1" t="s">
        <v>20</v>
      </c>
      <c r="K37" s="1" t="s">
        <v>61</v>
      </c>
      <c r="L37" s="1" t="s">
        <v>22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>
        <v>26</v>
      </c>
      <c r="C38" s="1">
        <v>18</v>
      </c>
      <c r="D38" s="1">
        <v>29</v>
      </c>
      <c r="E38" s="1">
        <v>1</v>
      </c>
      <c r="F38" s="1">
        <v>0</v>
      </c>
      <c r="G38" s="1">
        <v>62.06</v>
      </c>
      <c r="H38" s="1" t="s">
        <v>24</v>
      </c>
      <c r="I38" s="1" t="e">
        <f ca="1"/>
        <v>#NAME?</v>
      </c>
      <c r="J38" s="1" t="s">
        <v>60</v>
      </c>
      <c r="K38" s="1" t="s">
        <v>62</v>
      </c>
      <c r="L38" s="1" t="s">
        <v>22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>
        <v>27</v>
      </c>
      <c r="C39" s="1">
        <v>68</v>
      </c>
      <c r="D39" s="1">
        <v>95</v>
      </c>
      <c r="E39" s="1">
        <v>5</v>
      </c>
      <c r="F39" s="1">
        <v>0</v>
      </c>
      <c r="G39" s="1">
        <v>71.569999999999993</v>
      </c>
      <c r="H39" s="1" t="s">
        <v>24</v>
      </c>
      <c r="I39" s="1" t="e">
        <f ca="1"/>
        <v>#NAME?</v>
      </c>
      <c r="J39" s="1" t="s">
        <v>20</v>
      </c>
      <c r="K39" s="1" t="s">
        <v>62</v>
      </c>
      <c r="L39" s="1" t="s">
        <v>22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>
        <v>28</v>
      </c>
      <c r="C40" s="1">
        <v>11</v>
      </c>
      <c r="D40" s="1">
        <v>22</v>
      </c>
      <c r="E40" s="1">
        <v>0</v>
      </c>
      <c r="F40" s="1">
        <v>0</v>
      </c>
      <c r="G40" s="1">
        <v>50</v>
      </c>
      <c r="H40" s="1" t="s">
        <v>63</v>
      </c>
      <c r="I40" s="1" t="e">
        <f ca="1"/>
        <v>#NAME?</v>
      </c>
      <c r="J40" s="1" t="s">
        <v>54</v>
      </c>
      <c r="K40" s="1" t="s">
        <v>21</v>
      </c>
      <c r="L40" s="1" t="s">
        <v>22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>
        <v>29</v>
      </c>
      <c r="C41" s="1">
        <v>18</v>
      </c>
      <c r="D41" s="1">
        <v>27</v>
      </c>
      <c r="E41" s="1">
        <v>1</v>
      </c>
      <c r="F41" s="1">
        <v>0</v>
      </c>
      <c r="G41" s="1">
        <v>66.66</v>
      </c>
      <c r="H41" s="1" t="s">
        <v>29</v>
      </c>
      <c r="I41" s="1" t="e">
        <f ca="1"/>
        <v>#NAME?</v>
      </c>
      <c r="J41" s="1" t="s">
        <v>35</v>
      </c>
      <c r="K41" s="1" t="s">
        <v>21</v>
      </c>
      <c r="L41" s="1" t="s">
        <v>22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>
        <v>30</v>
      </c>
      <c r="C42" s="1">
        <v>10</v>
      </c>
      <c r="D42" s="1">
        <v>14</v>
      </c>
      <c r="E42" s="1">
        <v>1</v>
      </c>
      <c r="F42" s="1">
        <v>0</v>
      </c>
      <c r="G42" s="1">
        <v>71.42</v>
      </c>
      <c r="H42" s="1" t="s">
        <v>24</v>
      </c>
      <c r="I42" s="1" t="e">
        <f ca="1"/>
        <v>#NAME?</v>
      </c>
      <c r="J42" s="1" t="s">
        <v>20</v>
      </c>
      <c r="K42" s="1" t="s">
        <v>21</v>
      </c>
      <c r="L42" s="1" t="s">
        <v>22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>
        <v>31</v>
      </c>
      <c r="C43" s="1">
        <v>28</v>
      </c>
      <c r="D43" s="1">
        <v>34</v>
      </c>
      <c r="E43" s="1">
        <v>4</v>
      </c>
      <c r="F43" s="1">
        <v>0</v>
      </c>
      <c r="G43" s="1">
        <v>82.35</v>
      </c>
      <c r="H43" s="1" t="s">
        <v>24</v>
      </c>
      <c r="I43" s="1" t="e">
        <f ca="1"/>
        <v>#NAME?</v>
      </c>
      <c r="J43" s="1" t="s">
        <v>20</v>
      </c>
      <c r="K43" s="1" t="s">
        <v>21</v>
      </c>
      <c r="L43" s="1" t="s">
        <v>22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>
        <v>32</v>
      </c>
      <c r="C44" s="1">
        <v>0</v>
      </c>
      <c r="D44" s="1">
        <v>3</v>
      </c>
      <c r="E44" s="1">
        <v>0</v>
      </c>
      <c r="F44" s="1">
        <v>0</v>
      </c>
      <c r="G44" s="1">
        <v>0</v>
      </c>
      <c r="H44" s="1" t="s">
        <v>24</v>
      </c>
      <c r="I44" s="1" t="e">
        <f ca="1"/>
        <v>#NAME?</v>
      </c>
      <c r="J44" s="1" t="s">
        <v>20</v>
      </c>
      <c r="K44" s="1" t="s">
        <v>21</v>
      </c>
      <c r="L44" s="1" t="s">
        <v>22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>
        <v>33</v>
      </c>
      <c r="C45" s="1">
        <v>8</v>
      </c>
      <c r="D45" s="1">
        <v>16</v>
      </c>
      <c r="E45" s="1">
        <v>1</v>
      </c>
      <c r="F45" s="1">
        <v>0</v>
      </c>
      <c r="G45" s="1">
        <v>50</v>
      </c>
      <c r="H45" s="1" t="s">
        <v>24</v>
      </c>
      <c r="I45" s="1" t="e">
        <f ca="1"/>
        <v>#NAME?</v>
      </c>
      <c r="J45" s="1" t="s">
        <v>64</v>
      </c>
      <c r="K45" s="1" t="s">
        <v>21</v>
      </c>
      <c r="L45" s="1" t="s">
        <v>22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>
        <v>34</v>
      </c>
      <c r="C46" s="1">
        <v>37</v>
      </c>
      <c r="D46" s="1">
        <v>57</v>
      </c>
      <c r="E46" s="1">
        <v>5</v>
      </c>
      <c r="F46" s="1">
        <v>0</v>
      </c>
      <c r="G46" s="1">
        <v>64.91</v>
      </c>
      <c r="H46" s="1" t="s">
        <v>24</v>
      </c>
      <c r="I46" s="1" t="e">
        <f ca="1"/>
        <v>#NAME?</v>
      </c>
      <c r="J46" s="1" t="s">
        <v>20</v>
      </c>
      <c r="K46" s="1" t="s">
        <v>21</v>
      </c>
      <c r="L46" s="1" t="s">
        <v>22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>
        <v>35</v>
      </c>
      <c r="C47" s="1">
        <v>118</v>
      </c>
      <c r="D47" s="1">
        <v>121</v>
      </c>
      <c r="E47" s="1">
        <v>11</v>
      </c>
      <c r="F47" s="1">
        <v>1</v>
      </c>
      <c r="G47" s="1">
        <v>97.52</v>
      </c>
      <c r="H47" s="1" t="s">
        <v>24</v>
      </c>
      <c r="I47" s="1" t="e">
        <f ca="1"/>
        <v>#NAME?</v>
      </c>
      <c r="J47" s="1" t="s">
        <v>40</v>
      </c>
      <c r="K47" s="1" t="s">
        <v>65</v>
      </c>
      <c r="L47" s="1" t="s">
        <v>22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>
        <v>36</v>
      </c>
      <c r="C48" s="1">
        <v>105</v>
      </c>
      <c r="D48" s="1">
        <v>104</v>
      </c>
      <c r="E48" s="1">
        <v>10</v>
      </c>
      <c r="F48" s="1">
        <v>0</v>
      </c>
      <c r="G48" s="1">
        <v>100.96</v>
      </c>
      <c r="H48" s="1" t="s">
        <v>24</v>
      </c>
      <c r="I48" s="1" t="e">
        <f ca="1"/>
        <v>#NAME?</v>
      </c>
      <c r="J48" s="1" t="s">
        <v>64</v>
      </c>
      <c r="K48" s="1" t="s">
        <v>66</v>
      </c>
      <c r="L48" s="1" t="s">
        <v>22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>
        <v>37</v>
      </c>
      <c r="C49" s="1">
        <v>64</v>
      </c>
      <c r="D49" s="1">
        <v>73</v>
      </c>
      <c r="E49" s="1">
        <v>8</v>
      </c>
      <c r="F49" s="1">
        <v>0</v>
      </c>
      <c r="G49" s="1">
        <v>87.67</v>
      </c>
      <c r="H49" s="1" t="s">
        <v>24</v>
      </c>
      <c r="I49" s="1" t="e">
        <f ca="1"/>
        <v>#NAME?</v>
      </c>
      <c r="J49" s="1" t="s">
        <v>64</v>
      </c>
      <c r="K49" s="1" t="s">
        <v>56</v>
      </c>
      <c r="L49" s="1" t="s">
        <v>22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>
        <v>38</v>
      </c>
      <c r="C50" s="1">
        <v>63</v>
      </c>
      <c r="D50" s="1">
        <v>70</v>
      </c>
      <c r="E50" s="1">
        <v>6</v>
      </c>
      <c r="F50" s="1">
        <v>2</v>
      </c>
      <c r="G50" s="1">
        <v>90</v>
      </c>
      <c r="H50" s="1" t="s">
        <v>32</v>
      </c>
      <c r="I50" s="1" t="e">
        <f ca="1"/>
        <v>#NAME?</v>
      </c>
      <c r="J50" s="1" t="s">
        <v>64</v>
      </c>
      <c r="K50" s="1" t="s">
        <v>44</v>
      </c>
      <c r="L50" s="1" t="s">
        <v>33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>
        <v>39</v>
      </c>
      <c r="C51" s="1">
        <v>0</v>
      </c>
      <c r="D51" s="1">
        <v>2</v>
      </c>
      <c r="E51" s="1">
        <v>0</v>
      </c>
      <c r="F51" s="1">
        <v>0</v>
      </c>
      <c r="G51" s="1">
        <v>0</v>
      </c>
      <c r="H51" s="1" t="s">
        <v>24</v>
      </c>
      <c r="I51" s="1" t="e">
        <f ca="1"/>
        <v>#NAME?</v>
      </c>
      <c r="J51" s="1" t="s">
        <v>64</v>
      </c>
      <c r="K51" s="1" t="s">
        <v>67</v>
      </c>
      <c r="L51" s="1" t="s">
        <v>22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>
        <v>40</v>
      </c>
      <c r="C52" s="1">
        <v>2</v>
      </c>
      <c r="D52" s="1">
        <v>8</v>
      </c>
      <c r="E52" s="1">
        <v>0</v>
      </c>
      <c r="F52" s="1">
        <v>0</v>
      </c>
      <c r="G52" s="1">
        <v>25</v>
      </c>
      <c r="H52" s="1" t="s">
        <v>24</v>
      </c>
      <c r="I52" s="1" t="e">
        <f ca="1"/>
        <v>#NAME?</v>
      </c>
      <c r="J52" s="1" t="s">
        <v>64</v>
      </c>
      <c r="K52" s="1" t="s">
        <v>68</v>
      </c>
      <c r="L52" s="1" t="s">
        <v>22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>
        <v>41</v>
      </c>
      <c r="C53" s="1">
        <v>54</v>
      </c>
      <c r="D53" s="1">
        <v>70</v>
      </c>
      <c r="E53" s="1">
        <v>2</v>
      </c>
      <c r="F53" s="1">
        <v>1</v>
      </c>
      <c r="G53" s="1">
        <v>77.14</v>
      </c>
      <c r="H53" s="1" t="s">
        <v>24</v>
      </c>
      <c r="I53" s="1" t="e">
        <f ca="1"/>
        <v>#NAME?</v>
      </c>
      <c r="J53" s="1" t="s">
        <v>55</v>
      </c>
      <c r="K53" s="1" t="s">
        <v>69</v>
      </c>
      <c r="L53" s="1" t="s">
        <v>22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>
        <v>42</v>
      </c>
      <c r="C54" s="1">
        <v>22</v>
      </c>
      <c r="D54" s="1">
        <v>34</v>
      </c>
      <c r="E54" s="1">
        <v>1</v>
      </c>
      <c r="F54" s="1">
        <v>0</v>
      </c>
      <c r="G54" s="1">
        <v>64.7</v>
      </c>
      <c r="H54" s="1" t="s">
        <v>26</v>
      </c>
      <c r="I54" s="1" t="e">
        <f ca="1"/>
        <v>#NAME?</v>
      </c>
      <c r="J54" s="1" t="s">
        <v>55</v>
      </c>
      <c r="K54" s="1" t="s">
        <v>43</v>
      </c>
      <c r="L54" s="1" t="s">
        <v>22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>
        <v>43</v>
      </c>
      <c r="C55" s="1">
        <v>28</v>
      </c>
      <c r="D55" s="1">
        <v>41</v>
      </c>
      <c r="E55" s="1">
        <v>5</v>
      </c>
      <c r="F55" s="1">
        <v>0</v>
      </c>
      <c r="G55" s="1">
        <v>68.290000000000006</v>
      </c>
      <c r="H55" s="1" t="s">
        <v>24</v>
      </c>
      <c r="I55" s="1" t="e">
        <f ca="1"/>
        <v>#NAME?</v>
      </c>
      <c r="J55" s="1" t="s">
        <v>55</v>
      </c>
      <c r="K55" s="1" t="s">
        <v>70</v>
      </c>
      <c r="L55" s="1" t="s">
        <v>22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>
        <v>44</v>
      </c>
      <c r="C56" s="1">
        <v>87</v>
      </c>
      <c r="D56" s="1">
        <v>92</v>
      </c>
      <c r="E56" s="1">
        <v>7</v>
      </c>
      <c r="F56" s="1">
        <v>2</v>
      </c>
      <c r="G56" s="1">
        <v>94.56</v>
      </c>
      <c r="H56" s="1" t="s">
        <v>32</v>
      </c>
      <c r="I56" s="1" t="e">
        <f ca="1"/>
        <v>#NAME?</v>
      </c>
      <c r="J56" s="1" t="s">
        <v>55</v>
      </c>
      <c r="K56" s="1" t="s">
        <v>71</v>
      </c>
      <c r="L56" s="1" t="s">
        <v>33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>
        <v>45</v>
      </c>
      <c r="C57" s="1">
        <v>2</v>
      </c>
      <c r="D57" s="1">
        <v>6</v>
      </c>
      <c r="E57" s="1">
        <v>0</v>
      </c>
      <c r="F57" s="1">
        <v>0</v>
      </c>
      <c r="G57" s="1">
        <v>33.33</v>
      </c>
      <c r="H57" s="1" t="s">
        <v>24</v>
      </c>
      <c r="I57" s="1" t="e">
        <f ca="1"/>
        <v>#NAME?</v>
      </c>
      <c r="J57" s="1" t="s">
        <v>55</v>
      </c>
      <c r="K57" s="1" t="s">
        <v>36</v>
      </c>
      <c r="L57" s="1" t="s">
        <v>22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>
        <v>46</v>
      </c>
      <c r="C58" s="1">
        <v>100</v>
      </c>
      <c r="D58" s="1">
        <v>83</v>
      </c>
      <c r="E58" s="1">
        <v>8</v>
      </c>
      <c r="F58" s="1">
        <v>2</v>
      </c>
      <c r="G58" s="1">
        <v>120.48</v>
      </c>
      <c r="H58" s="1" t="s">
        <v>32</v>
      </c>
      <c r="I58" s="1" t="e">
        <f ca="1"/>
        <v>#NAME?</v>
      </c>
      <c r="J58" s="1" t="s">
        <v>54</v>
      </c>
      <c r="K58" s="1" t="s">
        <v>53</v>
      </c>
      <c r="L58" s="1" t="s">
        <v>33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>
        <v>47</v>
      </c>
      <c r="C59" s="1">
        <v>8</v>
      </c>
      <c r="D59" s="1">
        <v>5</v>
      </c>
      <c r="E59" s="1">
        <v>1</v>
      </c>
      <c r="F59" s="1">
        <v>0</v>
      </c>
      <c r="G59" s="1">
        <v>160</v>
      </c>
      <c r="H59" s="1" t="s">
        <v>29</v>
      </c>
      <c r="I59" s="1" t="e">
        <f ca="1"/>
        <v>#NAME?</v>
      </c>
      <c r="J59" s="1" t="s">
        <v>72</v>
      </c>
      <c r="K59" s="1" t="s">
        <v>67</v>
      </c>
      <c r="L59" s="1" t="s">
        <v>22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>
        <v>48</v>
      </c>
      <c r="C60" s="1">
        <v>34</v>
      </c>
      <c r="D60" s="1">
        <v>53</v>
      </c>
      <c r="E60" s="1">
        <v>3</v>
      </c>
      <c r="F60" s="1">
        <v>0</v>
      </c>
      <c r="G60" s="1">
        <v>64.150000000000006</v>
      </c>
      <c r="H60" s="1" t="s">
        <v>26</v>
      </c>
      <c r="I60" s="1" t="e">
        <f ca="1"/>
        <v>#NAME?</v>
      </c>
      <c r="J60" s="1" t="s">
        <v>73</v>
      </c>
      <c r="K60" s="1" t="s">
        <v>67</v>
      </c>
      <c r="L60" s="1" t="s">
        <v>22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>
        <v>49</v>
      </c>
      <c r="C61" s="1">
        <v>12</v>
      </c>
      <c r="D61" s="1">
        <v>20</v>
      </c>
      <c r="E61" s="1">
        <v>2</v>
      </c>
      <c r="F61" s="1">
        <v>0</v>
      </c>
      <c r="G61" s="1">
        <v>60</v>
      </c>
      <c r="H61" s="1" t="s">
        <v>29</v>
      </c>
      <c r="I61" s="1" t="e">
        <f ca="1"/>
        <v>#NAME?</v>
      </c>
      <c r="J61" s="1" t="s">
        <v>74</v>
      </c>
      <c r="K61" s="1" t="s">
        <v>52</v>
      </c>
      <c r="L61" s="1" t="s">
        <v>22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>
        <v>50</v>
      </c>
      <c r="C62" s="1">
        <v>1</v>
      </c>
      <c r="D62" s="1">
        <v>3</v>
      </c>
      <c r="E62" s="1">
        <v>0</v>
      </c>
      <c r="F62" s="1">
        <v>0</v>
      </c>
      <c r="G62" s="1">
        <v>33.33</v>
      </c>
      <c r="H62" s="1" t="s">
        <v>24</v>
      </c>
      <c r="I62" s="1" t="e">
        <f ca="1"/>
        <v>#NAME?</v>
      </c>
      <c r="J62" s="1" t="s">
        <v>55</v>
      </c>
      <c r="K62" s="1" t="s">
        <v>50</v>
      </c>
      <c r="L62" s="1" t="s">
        <v>22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>
        <v>51</v>
      </c>
      <c r="C63" s="1">
        <v>59</v>
      </c>
      <c r="D63" s="1">
        <v>76</v>
      </c>
      <c r="E63" s="1">
        <v>5</v>
      </c>
      <c r="F63" s="1">
        <v>0</v>
      </c>
      <c r="G63" s="1">
        <v>77.63</v>
      </c>
      <c r="H63" s="1" t="s">
        <v>29</v>
      </c>
      <c r="I63" s="1" t="e">
        <f ca="1"/>
        <v>#NAME?</v>
      </c>
      <c r="J63" s="1" t="s">
        <v>42</v>
      </c>
      <c r="K63" s="1" t="s">
        <v>68</v>
      </c>
      <c r="L63" s="1" t="s">
        <v>22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>
        <v>52</v>
      </c>
      <c r="C64" s="1">
        <v>24</v>
      </c>
      <c r="D64" s="1">
        <v>33</v>
      </c>
      <c r="E64" s="1">
        <v>1</v>
      </c>
      <c r="F64" s="1">
        <v>0</v>
      </c>
      <c r="G64" s="1">
        <v>72.72</v>
      </c>
      <c r="H64" s="1" t="s">
        <v>24</v>
      </c>
      <c r="I64" s="1" t="e">
        <f ca="1"/>
        <v>#NAME?</v>
      </c>
      <c r="J64" s="1" t="s">
        <v>40</v>
      </c>
      <c r="K64" s="1" t="s">
        <v>59</v>
      </c>
      <c r="L64" s="1" t="s">
        <v>22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>
        <v>53</v>
      </c>
      <c r="C65" s="1">
        <v>9</v>
      </c>
      <c r="D65" s="1">
        <v>21</v>
      </c>
      <c r="E65" s="1">
        <v>0</v>
      </c>
      <c r="F65" s="1">
        <v>0</v>
      </c>
      <c r="G65" s="1">
        <v>42.85</v>
      </c>
      <c r="H65" s="1" t="s">
        <v>24</v>
      </c>
      <c r="I65" s="1" t="e">
        <f ca="1"/>
        <v>#NAME?</v>
      </c>
      <c r="J65" s="1" t="s">
        <v>35</v>
      </c>
      <c r="K65" s="1" t="s">
        <v>46</v>
      </c>
      <c r="L65" s="1" t="s">
        <v>22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>
        <v>54</v>
      </c>
      <c r="C66" s="1">
        <v>35</v>
      </c>
      <c r="D66" s="1">
        <v>49</v>
      </c>
      <c r="E66" s="1">
        <v>4</v>
      </c>
      <c r="F66" s="1">
        <v>0</v>
      </c>
      <c r="G66" s="1">
        <v>71.42</v>
      </c>
      <c r="H66" s="1" t="s">
        <v>24</v>
      </c>
      <c r="I66" s="1" t="e">
        <f ca="1"/>
        <v>#NAME?</v>
      </c>
      <c r="J66" s="1" t="s">
        <v>20</v>
      </c>
      <c r="K66" s="1" t="s">
        <v>75</v>
      </c>
      <c r="L66" s="1" t="s">
        <v>22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>
        <v>55</v>
      </c>
      <c r="C67" s="1">
        <v>2</v>
      </c>
      <c r="D67" s="1">
        <v>8</v>
      </c>
      <c r="E67" s="1">
        <v>0</v>
      </c>
      <c r="F67" s="1">
        <v>0</v>
      </c>
      <c r="G67" s="1">
        <v>25</v>
      </c>
      <c r="H67" s="1" t="s">
        <v>24</v>
      </c>
      <c r="I67" s="1" t="e">
        <f ca="1"/>
        <v>#NAME?</v>
      </c>
      <c r="J67" s="1" t="s">
        <v>42</v>
      </c>
      <c r="K67" s="1" t="s">
        <v>76</v>
      </c>
      <c r="L67" s="1" t="s">
        <v>22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>
        <v>56</v>
      </c>
      <c r="C68" s="1">
        <v>81</v>
      </c>
      <c r="D68" s="1">
        <v>103</v>
      </c>
      <c r="E68" s="1">
        <v>6</v>
      </c>
      <c r="F68" s="1">
        <v>1</v>
      </c>
      <c r="G68" s="1">
        <v>78.64</v>
      </c>
      <c r="H68" s="1" t="s">
        <v>24</v>
      </c>
      <c r="I68" s="1" t="e">
        <f ca="1"/>
        <v>#NAME?</v>
      </c>
      <c r="J68" s="1" t="s">
        <v>42</v>
      </c>
      <c r="K68" s="1" t="s">
        <v>76</v>
      </c>
      <c r="L68" s="1" t="s">
        <v>22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>
        <v>57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 t="s">
        <v>19</v>
      </c>
      <c r="I69" s="1" t="e">
        <f ca="1"/>
        <v>#NAME?</v>
      </c>
      <c r="J69" s="1" t="s">
        <v>42</v>
      </c>
      <c r="K69" s="1" t="s">
        <v>77</v>
      </c>
      <c r="L69" s="1" t="s">
        <v>22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>
        <v>58</v>
      </c>
      <c r="C70" s="1">
        <v>22</v>
      </c>
      <c r="D70" s="1">
        <v>33</v>
      </c>
      <c r="E70" s="1">
        <v>1</v>
      </c>
      <c r="F70" s="1">
        <v>0</v>
      </c>
      <c r="G70" s="1">
        <v>66.66</v>
      </c>
      <c r="H70" s="1" t="s">
        <v>63</v>
      </c>
      <c r="I70" s="1" t="e">
        <f ca="1"/>
        <v>#NAME?</v>
      </c>
      <c r="J70" s="1" t="s">
        <v>42</v>
      </c>
      <c r="K70" s="1" t="s">
        <v>77</v>
      </c>
      <c r="L70" s="1" t="s">
        <v>22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>
        <v>59</v>
      </c>
      <c r="C71" s="1">
        <v>94</v>
      </c>
      <c r="D71" s="1">
        <v>104</v>
      </c>
      <c r="E71" s="1">
        <v>10</v>
      </c>
      <c r="F71" s="1">
        <v>0</v>
      </c>
      <c r="G71" s="1">
        <v>90.38</v>
      </c>
      <c r="H71" s="1" t="s">
        <v>26</v>
      </c>
      <c r="I71" s="1" t="e">
        <f ca="1"/>
        <v>#NAME?</v>
      </c>
      <c r="J71" s="1" t="s">
        <v>42</v>
      </c>
      <c r="K71" s="1" t="s">
        <v>78</v>
      </c>
      <c r="L71" s="1" t="s">
        <v>22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>
        <v>60</v>
      </c>
      <c r="C72" s="1">
        <v>55</v>
      </c>
      <c r="D72" s="1">
        <v>73</v>
      </c>
      <c r="E72" s="1">
        <v>4</v>
      </c>
      <c r="F72" s="1">
        <v>0</v>
      </c>
      <c r="G72" s="1">
        <v>75.34</v>
      </c>
      <c r="H72" s="1" t="s">
        <v>29</v>
      </c>
      <c r="I72" s="1" t="e">
        <f ca="1"/>
        <v>#NAME?</v>
      </c>
      <c r="J72" s="1" t="s">
        <v>72</v>
      </c>
      <c r="K72" s="1" t="s">
        <v>79</v>
      </c>
      <c r="L72" s="1" t="s">
        <v>22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>
        <v>61</v>
      </c>
      <c r="C73" s="1">
        <v>9</v>
      </c>
      <c r="D73" s="1">
        <v>9</v>
      </c>
      <c r="E73" s="1">
        <v>0</v>
      </c>
      <c r="F73" s="1">
        <v>0</v>
      </c>
      <c r="G73" s="1">
        <v>100</v>
      </c>
      <c r="H73" s="1" t="s">
        <v>24</v>
      </c>
      <c r="I73" s="1" t="e">
        <f ca="1"/>
        <v>#NAME?</v>
      </c>
      <c r="J73" s="1" t="s">
        <v>72</v>
      </c>
      <c r="K73" s="1" t="s">
        <v>80</v>
      </c>
      <c r="L73" s="1" t="s">
        <v>22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>
        <v>62</v>
      </c>
      <c r="C74" s="1">
        <v>7</v>
      </c>
      <c r="D74" s="1">
        <v>18</v>
      </c>
      <c r="E74" s="1">
        <v>0</v>
      </c>
      <c r="F74" s="1">
        <v>0</v>
      </c>
      <c r="G74" s="1">
        <v>38.880000000000003</v>
      </c>
      <c r="H74" s="1" t="s">
        <v>24</v>
      </c>
      <c r="I74" s="1" t="e">
        <f ca="1"/>
        <v>#NAME?</v>
      </c>
      <c r="J74" s="1" t="s">
        <v>72</v>
      </c>
      <c r="K74" s="1" t="s">
        <v>81</v>
      </c>
      <c r="L74" s="1" t="s">
        <v>22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>
        <v>63</v>
      </c>
      <c r="C75" s="1">
        <v>16</v>
      </c>
      <c r="D75" s="1">
        <v>36</v>
      </c>
      <c r="E75" s="1">
        <v>1</v>
      </c>
      <c r="F75" s="1">
        <v>0</v>
      </c>
      <c r="G75" s="1">
        <v>44.44</v>
      </c>
      <c r="H75" s="1" t="s">
        <v>24</v>
      </c>
      <c r="I75" s="1" t="e">
        <f ca="1"/>
        <v>#NAME?</v>
      </c>
      <c r="J75" s="1" t="s">
        <v>72</v>
      </c>
      <c r="K75" s="1" t="s">
        <v>82</v>
      </c>
      <c r="L75" s="1" t="s">
        <v>22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>
        <v>64</v>
      </c>
      <c r="C76" s="1">
        <v>107</v>
      </c>
      <c r="D76" s="1">
        <v>93</v>
      </c>
      <c r="E76" s="1">
        <v>9</v>
      </c>
      <c r="F76" s="1">
        <v>1</v>
      </c>
      <c r="G76" s="1">
        <v>115.05</v>
      </c>
      <c r="H76" s="1" t="s">
        <v>83</v>
      </c>
      <c r="I76" s="1" t="e">
        <f ca="1"/>
        <v>#NAME?</v>
      </c>
      <c r="J76" s="1" t="s">
        <v>72</v>
      </c>
      <c r="K76" s="1" t="s">
        <v>84</v>
      </c>
      <c r="L76" s="1" t="s">
        <v>22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>
        <v>65</v>
      </c>
      <c r="C77" s="1">
        <v>37</v>
      </c>
      <c r="D77" s="1">
        <v>63</v>
      </c>
      <c r="E77" s="1">
        <v>0</v>
      </c>
      <c r="F77" s="1">
        <v>0</v>
      </c>
      <c r="G77" s="1">
        <v>58.73</v>
      </c>
      <c r="H77" s="1" t="s">
        <v>24</v>
      </c>
      <c r="I77" s="1" t="e">
        <f ca="1"/>
        <v>#NAME?</v>
      </c>
      <c r="J77" s="1" t="s">
        <v>72</v>
      </c>
      <c r="K77" s="1" t="s">
        <v>85</v>
      </c>
      <c r="L77" s="1" t="s">
        <v>22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>
        <v>66</v>
      </c>
      <c r="C78" s="1">
        <v>112</v>
      </c>
      <c r="D78" s="1">
        <v>98</v>
      </c>
      <c r="E78" s="1">
        <v>16</v>
      </c>
      <c r="F78" s="1">
        <v>0</v>
      </c>
      <c r="G78" s="1">
        <v>114.28</v>
      </c>
      <c r="H78" s="1" t="s">
        <v>32</v>
      </c>
      <c r="I78" s="1" t="e">
        <f ca="1"/>
        <v>#NAME?</v>
      </c>
      <c r="J78" s="1" t="s">
        <v>72</v>
      </c>
      <c r="K78" s="1" t="s">
        <v>52</v>
      </c>
      <c r="L78" s="1" t="s">
        <v>33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>
        <v>67</v>
      </c>
      <c r="C79" s="1">
        <v>35</v>
      </c>
      <c r="D79" s="1">
        <v>30</v>
      </c>
      <c r="E79" s="1">
        <v>5</v>
      </c>
      <c r="F79" s="1">
        <v>0</v>
      </c>
      <c r="G79" s="1">
        <v>116.66</v>
      </c>
      <c r="H79" s="1" t="s">
        <v>19</v>
      </c>
      <c r="I79" s="1" t="e">
        <f ca="1"/>
        <v>#NAME?</v>
      </c>
      <c r="J79" s="1" t="s">
        <v>72</v>
      </c>
      <c r="K79" s="1" t="s">
        <v>46</v>
      </c>
      <c r="L79" s="1" t="s">
        <v>22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>
        <v>68</v>
      </c>
      <c r="C80" s="1">
        <v>86</v>
      </c>
      <c r="D80" s="1">
        <v>99</v>
      </c>
      <c r="E80" s="1">
        <v>11</v>
      </c>
      <c r="F80" s="1">
        <v>0</v>
      </c>
      <c r="G80" s="1">
        <v>86.86</v>
      </c>
      <c r="H80" s="1" t="s">
        <v>32</v>
      </c>
      <c r="I80" s="1" t="e">
        <f ca="1"/>
        <v>#NAME?</v>
      </c>
      <c r="J80" s="1" t="s">
        <v>72</v>
      </c>
      <c r="K80" s="1" t="s">
        <v>75</v>
      </c>
      <c r="L80" s="1" t="s">
        <v>33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>
        <v>69</v>
      </c>
      <c r="C81" s="1">
        <v>0</v>
      </c>
      <c r="D81" s="1">
        <v>5</v>
      </c>
      <c r="E81" s="1">
        <v>0</v>
      </c>
      <c r="F81" s="1">
        <v>0</v>
      </c>
      <c r="G81" s="1">
        <v>0</v>
      </c>
      <c r="H81" s="1" t="s">
        <v>29</v>
      </c>
      <c r="I81" s="1" t="e">
        <f ca="1"/>
        <v>#NAME?</v>
      </c>
      <c r="J81" s="1" t="s">
        <v>72</v>
      </c>
      <c r="K81" s="1" t="s">
        <v>51</v>
      </c>
      <c r="L81" s="1" t="s">
        <v>22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>
        <v>70</v>
      </c>
      <c r="C82" s="1">
        <v>3</v>
      </c>
      <c r="D82" s="1">
        <v>6</v>
      </c>
      <c r="E82" s="1">
        <v>0</v>
      </c>
      <c r="F82" s="1">
        <v>0</v>
      </c>
      <c r="G82" s="1">
        <v>50</v>
      </c>
      <c r="H82" s="1" t="s">
        <v>29</v>
      </c>
      <c r="I82" s="1" t="e">
        <f ca="1"/>
        <v>#NAME?</v>
      </c>
      <c r="J82" s="1" t="s">
        <v>42</v>
      </c>
      <c r="K82" s="1" t="s">
        <v>86</v>
      </c>
      <c r="L82" s="1" t="s">
        <v>22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>
        <v>71</v>
      </c>
      <c r="C83" s="1">
        <v>117</v>
      </c>
      <c r="D83" s="1">
        <v>123</v>
      </c>
      <c r="E83" s="1">
        <v>14</v>
      </c>
      <c r="F83" s="1">
        <v>0</v>
      </c>
      <c r="G83" s="1">
        <v>95.12</v>
      </c>
      <c r="H83" s="1" t="s">
        <v>24</v>
      </c>
      <c r="I83" s="1" t="e">
        <f ca="1"/>
        <v>#NAME?</v>
      </c>
      <c r="J83" s="1" t="s">
        <v>42</v>
      </c>
      <c r="K83" s="1" t="s">
        <v>65</v>
      </c>
      <c r="L83" s="1" t="s">
        <v>22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>
        <v>72</v>
      </c>
      <c r="C84" s="1">
        <v>20</v>
      </c>
      <c r="D84" s="1">
        <v>30</v>
      </c>
      <c r="E84" s="1">
        <v>3</v>
      </c>
      <c r="F84" s="1">
        <v>0</v>
      </c>
      <c r="G84" s="1">
        <v>66.66</v>
      </c>
      <c r="H84" s="1" t="s">
        <v>19</v>
      </c>
      <c r="I84" s="1" t="e">
        <f ca="1"/>
        <v>#NAME?</v>
      </c>
      <c r="J84" s="1" t="s">
        <v>42</v>
      </c>
      <c r="K84" s="1" t="s">
        <v>59</v>
      </c>
      <c r="L84" s="1" t="s">
        <v>22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>
        <v>73</v>
      </c>
      <c r="C85" s="1">
        <v>23</v>
      </c>
      <c r="D85" s="1">
        <v>11</v>
      </c>
      <c r="E85" s="1">
        <v>3</v>
      </c>
      <c r="F85" s="1">
        <v>0</v>
      </c>
      <c r="G85" s="1">
        <v>209.09</v>
      </c>
      <c r="H85" s="1" t="s">
        <v>32</v>
      </c>
      <c r="I85" s="1" t="e">
        <f ca="1"/>
        <v>#NAME?</v>
      </c>
      <c r="J85" s="1" t="s">
        <v>42</v>
      </c>
      <c r="K85" s="1" t="s">
        <v>87</v>
      </c>
      <c r="L85" s="1" t="s">
        <v>33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>
        <v>74</v>
      </c>
      <c r="C86" s="1">
        <v>80</v>
      </c>
      <c r="D86" s="1">
        <v>85</v>
      </c>
      <c r="E86" s="1">
        <v>5</v>
      </c>
      <c r="F86" s="1">
        <v>0</v>
      </c>
      <c r="G86" s="1">
        <v>94.11</v>
      </c>
      <c r="H86" s="1" t="s">
        <v>24</v>
      </c>
      <c r="I86" s="1" t="e">
        <f ca="1"/>
        <v>#NAME?</v>
      </c>
      <c r="J86" s="1" t="s">
        <v>42</v>
      </c>
      <c r="K86" s="1" t="s">
        <v>68</v>
      </c>
      <c r="L86" s="1" t="s">
        <v>22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>
        <v>75</v>
      </c>
      <c r="C87" s="1">
        <v>31</v>
      </c>
      <c r="D87" s="1">
        <v>34</v>
      </c>
      <c r="E87" s="1">
        <v>3</v>
      </c>
      <c r="F87" s="1">
        <v>0</v>
      </c>
      <c r="G87" s="1">
        <v>91.17</v>
      </c>
      <c r="H87" s="1" t="s">
        <v>24</v>
      </c>
      <c r="I87" s="1" t="e">
        <f ca="1"/>
        <v>#NAME?</v>
      </c>
      <c r="J87" s="1" t="s">
        <v>40</v>
      </c>
      <c r="K87" s="1" t="s">
        <v>88</v>
      </c>
      <c r="L87" s="1" t="s">
        <v>22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>
        <v>76</v>
      </c>
      <c r="C88" s="1">
        <v>77</v>
      </c>
      <c r="D88" s="1">
        <v>94</v>
      </c>
      <c r="E88" s="1">
        <v>8</v>
      </c>
      <c r="F88" s="1">
        <v>1</v>
      </c>
      <c r="G88" s="1">
        <v>81.91</v>
      </c>
      <c r="H88" s="1" t="s">
        <v>26</v>
      </c>
      <c r="I88" s="1" t="e">
        <f ca="1"/>
        <v>#NAME?</v>
      </c>
      <c r="J88" s="1" t="s">
        <v>20</v>
      </c>
      <c r="K88" s="1" t="s">
        <v>89</v>
      </c>
      <c r="L88" s="1" t="s">
        <v>22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>
        <v>77</v>
      </c>
      <c r="C89" s="1">
        <v>18</v>
      </c>
      <c r="D89" s="1">
        <v>28</v>
      </c>
      <c r="E89" s="1">
        <v>1</v>
      </c>
      <c r="F89" s="1">
        <v>0</v>
      </c>
      <c r="G89" s="1">
        <v>64.28</v>
      </c>
      <c r="H89" s="1" t="s">
        <v>24</v>
      </c>
      <c r="I89" s="1" t="e">
        <f ca="1"/>
        <v>#NAME?</v>
      </c>
      <c r="J89" s="1" t="s">
        <v>40</v>
      </c>
      <c r="K89" s="1" t="s">
        <v>90</v>
      </c>
      <c r="L89" s="1" t="s">
        <v>22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>
        <v>78</v>
      </c>
      <c r="C90" s="1">
        <v>15</v>
      </c>
      <c r="D90" s="1">
        <v>25</v>
      </c>
      <c r="E90" s="1">
        <v>1</v>
      </c>
      <c r="F90" s="1">
        <v>0</v>
      </c>
      <c r="G90" s="1">
        <v>60</v>
      </c>
      <c r="H90" s="1" t="s">
        <v>19</v>
      </c>
      <c r="I90" s="1" t="e">
        <f ca="1"/>
        <v>#NAME?</v>
      </c>
      <c r="J90" s="1" t="s">
        <v>20</v>
      </c>
      <c r="K90" s="1" t="s">
        <v>90</v>
      </c>
      <c r="L90" s="1" t="s">
        <v>22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>
        <v>79</v>
      </c>
      <c r="C91" s="1">
        <v>12</v>
      </c>
      <c r="D91" s="1">
        <v>25</v>
      </c>
      <c r="E91" s="1">
        <v>0</v>
      </c>
      <c r="F91" s="1">
        <v>0</v>
      </c>
      <c r="G91" s="1">
        <v>48</v>
      </c>
      <c r="H91" s="1" t="s">
        <v>24</v>
      </c>
      <c r="I91" s="1" t="e">
        <f ca="1"/>
        <v>#NAME?</v>
      </c>
      <c r="J91" s="1" t="s">
        <v>40</v>
      </c>
      <c r="K91" s="1" t="s">
        <v>91</v>
      </c>
      <c r="L91" s="1" t="s">
        <v>22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>
        <v>80</v>
      </c>
      <c r="C92" s="1">
        <v>66</v>
      </c>
      <c r="D92" s="1">
        <v>83</v>
      </c>
      <c r="E92" s="1">
        <v>2</v>
      </c>
      <c r="F92" s="1">
        <v>0</v>
      </c>
      <c r="G92" s="1">
        <v>79.510000000000005</v>
      </c>
      <c r="H92" s="1" t="s">
        <v>24</v>
      </c>
      <c r="I92" s="1" t="e">
        <f ca="1"/>
        <v>#NAME?</v>
      </c>
      <c r="J92" s="1" t="s">
        <v>20</v>
      </c>
      <c r="K92" s="1" t="s">
        <v>91</v>
      </c>
      <c r="L92" s="1" t="s">
        <v>22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>
        <v>81</v>
      </c>
      <c r="C93" s="1">
        <v>21</v>
      </c>
      <c r="D93" s="1">
        <v>27</v>
      </c>
      <c r="E93" s="1">
        <v>2</v>
      </c>
      <c r="F93" s="1">
        <v>0</v>
      </c>
      <c r="G93" s="1">
        <v>77.77</v>
      </c>
      <c r="H93" s="1" t="s">
        <v>24</v>
      </c>
      <c r="I93" s="1" t="e">
        <f ca="1"/>
        <v>#NAME?</v>
      </c>
      <c r="J93" s="1" t="s">
        <v>40</v>
      </c>
      <c r="K93" s="1" t="s">
        <v>92</v>
      </c>
      <c r="L93" s="1" t="s">
        <v>22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>
        <v>82</v>
      </c>
      <c r="C94" s="1">
        <v>133</v>
      </c>
      <c r="D94" s="1">
        <v>86</v>
      </c>
      <c r="E94" s="1">
        <v>16</v>
      </c>
      <c r="F94" s="1">
        <v>2</v>
      </c>
      <c r="G94" s="1">
        <v>154.65</v>
      </c>
      <c r="H94" s="1" t="s">
        <v>32</v>
      </c>
      <c r="I94" s="1" t="e">
        <f ca="1"/>
        <v>#NAME?</v>
      </c>
      <c r="J94" s="1" t="s">
        <v>20</v>
      </c>
      <c r="K94" s="1" t="s">
        <v>93</v>
      </c>
      <c r="L94" s="1" t="s">
        <v>33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>
        <v>83</v>
      </c>
      <c r="C95" s="1">
        <v>108</v>
      </c>
      <c r="D95" s="1">
        <v>120</v>
      </c>
      <c r="E95" s="1">
        <v>7</v>
      </c>
      <c r="F95" s="1">
        <v>0</v>
      </c>
      <c r="G95" s="1">
        <v>90</v>
      </c>
      <c r="H95" s="1" t="s">
        <v>24</v>
      </c>
      <c r="I95" s="1" t="e">
        <f ca="1"/>
        <v>#NAME?</v>
      </c>
      <c r="J95" s="1" t="s">
        <v>20</v>
      </c>
      <c r="K95" s="1" t="s">
        <v>53</v>
      </c>
      <c r="L95" s="1" t="s">
        <v>22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>
        <v>84</v>
      </c>
      <c r="C96" s="1">
        <v>66</v>
      </c>
      <c r="D96" s="1">
        <v>82</v>
      </c>
      <c r="E96" s="1">
        <v>5</v>
      </c>
      <c r="F96" s="1">
        <v>0</v>
      </c>
      <c r="G96" s="1">
        <v>80.48</v>
      </c>
      <c r="H96" s="1" t="s">
        <v>29</v>
      </c>
      <c r="I96" s="1" t="e">
        <f ca="1"/>
        <v>#NAME?</v>
      </c>
      <c r="J96" s="1" t="s">
        <v>54</v>
      </c>
      <c r="K96" s="1" t="s">
        <v>53</v>
      </c>
      <c r="L96" s="1" t="s">
        <v>22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>
        <v>85</v>
      </c>
      <c r="C97" s="1">
        <v>183</v>
      </c>
      <c r="D97" s="1">
        <v>148</v>
      </c>
      <c r="E97" s="1">
        <v>22</v>
      </c>
      <c r="F97" s="1">
        <v>1</v>
      </c>
      <c r="G97" s="1">
        <v>123.64</v>
      </c>
      <c r="H97" s="1" t="s">
        <v>24</v>
      </c>
      <c r="I97" s="1" t="e">
        <f ca="1"/>
        <v>#NAME?</v>
      </c>
      <c r="J97" s="1" t="s">
        <v>35</v>
      </c>
      <c r="K97" s="1" t="s">
        <v>53</v>
      </c>
      <c r="L97" s="1" t="s">
        <v>22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>
        <v>86</v>
      </c>
      <c r="C98" s="1">
        <v>106</v>
      </c>
      <c r="D98" s="1">
        <v>113</v>
      </c>
      <c r="E98" s="1">
        <v>9</v>
      </c>
      <c r="F98" s="1">
        <v>0</v>
      </c>
      <c r="G98" s="1">
        <v>93.8</v>
      </c>
      <c r="H98" s="1" t="s">
        <v>24</v>
      </c>
      <c r="I98" s="1" t="e">
        <f ca="1"/>
        <v>#NAME?</v>
      </c>
      <c r="J98" s="1" t="s">
        <v>20</v>
      </c>
      <c r="K98" s="1" t="s">
        <v>94</v>
      </c>
      <c r="L98" s="1" t="s">
        <v>22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>
        <v>87</v>
      </c>
      <c r="C99" s="1">
        <v>1</v>
      </c>
      <c r="D99" s="1">
        <v>5</v>
      </c>
      <c r="E99" s="1">
        <v>0</v>
      </c>
      <c r="F99" s="1">
        <v>0</v>
      </c>
      <c r="G99" s="1">
        <v>20</v>
      </c>
      <c r="H99" s="1" t="s">
        <v>24</v>
      </c>
      <c r="I99" s="1" t="e">
        <f ca="1"/>
        <v>#NAME?</v>
      </c>
      <c r="J99" s="1" t="s">
        <v>20</v>
      </c>
      <c r="K99" s="1" t="s">
        <v>94</v>
      </c>
      <c r="L99" s="1" t="s">
        <v>22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>
        <v>88</v>
      </c>
      <c r="C100" s="1">
        <v>38</v>
      </c>
      <c r="D100" s="1">
        <v>65</v>
      </c>
      <c r="E100" s="1">
        <v>2</v>
      </c>
      <c r="F100" s="1">
        <v>0</v>
      </c>
      <c r="G100" s="1">
        <v>58.46</v>
      </c>
      <c r="H100" s="1" t="s">
        <v>24</v>
      </c>
      <c r="I100" s="1" t="e">
        <f ca="1"/>
        <v>#NAME?</v>
      </c>
      <c r="J100" s="1" t="s">
        <v>20</v>
      </c>
      <c r="K100" s="1" t="s">
        <v>27</v>
      </c>
      <c r="L100" s="1" t="s">
        <v>22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>
        <v>89</v>
      </c>
      <c r="C101" s="1">
        <v>128</v>
      </c>
      <c r="D101" s="1">
        <v>119</v>
      </c>
      <c r="E101" s="1">
        <v>12</v>
      </c>
      <c r="F101" s="1">
        <v>1</v>
      </c>
      <c r="G101" s="1">
        <v>107.56</v>
      </c>
      <c r="H101" s="1" t="s">
        <v>32</v>
      </c>
      <c r="I101" s="1" t="e">
        <f ca="1"/>
        <v>#NAME?</v>
      </c>
      <c r="J101" s="1" t="s">
        <v>20</v>
      </c>
      <c r="K101" s="1" t="s">
        <v>27</v>
      </c>
      <c r="L101" s="1" t="s">
        <v>33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>
        <v>90</v>
      </c>
      <c r="C102" s="1">
        <v>23</v>
      </c>
      <c r="D102" s="1">
        <v>35</v>
      </c>
      <c r="E102" s="1">
        <v>2</v>
      </c>
      <c r="F102" s="1">
        <v>0</v>
      </c>
      <c r="G102" s="1">
        <v>65.709999999999994</v>
      </c>
      <c r="H102" s="1" t="s">
        <v>19</v>
      </c>
      <c r="I102" s="1" t="e">
        <f ca="1"/>
        <v>#NAME?</v>
      </c>
      <c r="J102" s="1" t="s">
        <v>20</v>
      </c>
      <c r="K102" s="1" t="s">
        <v>95</v>
      </c>
      <c r="L102" s="1" t="s">
        <v>22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>
        <v>91</v>
      </c>
      <c r="C103" s="1">
        <v>0</v>
      </c>
      <c r="D103" s="1">
        <v>5</v>
      </c>
      <c r="E103" s="1">
        <v>0</v>
      </c>
      <c r="F103" s="1">
        <v>0</v>
      </c>
      <c r="G103" s="1">
        <v>0</v>
      </c>
      <c r="H103" s="1" t="s">
        <v>29</v>
      </c>
      <c r="I103" s="1" t="e">
        <f ca="1"/>
        <v>#NAME?</v>
      </c>
      <c r="J103" s="1" t="s">
        <v>35</v>
      </c>
      <c r="K103" s="1" t="s">
        <v>68</v>
      </c>
      <c r="L103" s="1" t="s">
        <v>22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>
        <v>92</v>
      </c>
      <c r="C104" s="1">
        <v>6</v>
      </c>
      <c r="D104" s="1">
        <v>9</v>
      </c>
      <c r="E104" s="1">
        <v>1</v>
      </c>
      <c r="F104" s="1">
        <v>0</v>
      </c>
      <c r="G104" s="1">
        <v>66.66</v>
      </c>
      <c r="H104" s="1" t="s">
        <v>24</v>
      </c>
      <c r="I104" s="1" t="e">
        <f ca="1"/>
        <v>#NAME?</v>
      </c>
      <c r="J104" s="1" t="s">
        <v>35</v>
      </c>
      <c r="K104" s="1" t="s">
        <v>51</v>
      </c>
      <c r="L104" s="1" t="s">
        <v>22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>
        <v>93</v>
      </c>
      <c r="C105" s="1">
        <v>7</v>
      </c>
      <c r="D105" s="1">
        <v>17</v>
      </c>
      <c r="E105" s="1">
        <v>1</v>
      </c>
      <c r="F105" s="1">
        <v>0</v>
      </c>
      <c r="G105" s="1">
        <v>41.17</v>
      </c>
      <c r="H105" s="1" t="s">
        <v>24</v>
      </c>
      <c r="I105" s="1" t="e">
        <f ca="1"/>
        <v>#NAME?</v>
      </c>
      <c r="J105" s="1" t="s">
        <v>35</v>
      </c>
      <c r="K105" s="1" t="s">
        <v>52</v>
      </c>
      <c r="L105" s="1" t="s">
        <v>22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>
        <v>94</v>
      </c>
      <c r="C106" s="1">
        <v>15</v>
      </c>
      <c r="D106" s="1">
        <v>22</v>
      </c>
      <c r="E106" s="1">
        <v>1</v>
      </c>
      <c r="F106" s="1">
        <v>0</v>
      </c>
      <c r="G106" s="1">
        <v>68.180000000000007</v>
      </c>
      <c r="H106" s="1" t="s">
        <v>24</v>
      </c>
      <c r="I106" s="1" t="e">
        <f ca="1"/>
        <v>#NAME?</v>
      </c>
      <c r="J106" s="1" t="s">
        <v>72</v>
      </c>
      <c r="K106" s="1" t="s">
        <v>48</v>
      </c>
      <c r="L106" s="1" t="s">
        <v>22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>
        <v>95</v>
      </c>
      <c r="C107" s="1">
        <v>37</v>
      </c>
      <c r="D107" s="1">
        <v>54</v>
      </c>
      <c r="E107" s="1">
        <v>1</v>
      </c>
      <c r="F107" s="1">
        <v>1</v>
      </c>
      <c r="G107" s="1">
        <v>68.510000000000005</v>
      </c>
      <c r="H107" s="1" t="s">
        <v>24</v>
      </c>
      <c r="I107" s="1" t="e">
        <f ca="1"/>
        <v>#NAME?</v>
      </c>
      <c r="J107" s="1" t="s">
        <v>72</v>
      </c>
      <c r="K107" s="1" t="s">
        <v>96</v>
      </c>
      <c r="L107" s="1" t="s">
        <v>22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>
        <v>96</v>
      </c>
      <c r="C108" s="1">
        <v>77</v>
      </c>
      <c r="D108" s="1">
        <v>79</v>
      </c>
      <c r="E108" s="1">
        <v>9</v>
      </c>
      <c r="F108" s="1">
        <v>2</v>
      </c>
      <c r="G108" s="1">
        <v>97.46</v>
      </c>
      <c r="H108" s="1" t="s">
        <v>32</v>
      </c>
      <c r="I108" s="1" t="e">
        <f ca="1"/>
        <v>#NAME?</v>
      </c>
      <c r="J108" s="1" t="s">
        <v>72</v>
      </c>
      <c r="K108" s="1" t="s">
        <v>97</v>
      </c>
      <c r="L108" s="1" t="s">
        <v>33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>
        <v>97</v>
      </c>
      <c r="C109" s="1">
        <v>26</v>
      </c>
      <c r="D109" s="1">
        <v>33</v>
      </c>
      <c r="E109" s="1">
        <v>3</v>
      </c>
      <c r="F109" s="1">
        <v>0</v>
      </c>
      <c r="G109" s="1">
        <v>78.78</v>
      </c>
      <c r="H109" s="1" t="s">
        <v>24</v>
      </c>
      <c r="I109" s="1" t="e">
        <f ca="1"/>
        <v>#NAME?</v>
      </c>
      <c r="J109" s="1" t="s">
        <v>72</v>
      </c>
      <c r="K109" s="1" t="s">
        <v>46</v>
      </c>
      <c r="L109" s="1" t="s">
        <v>22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>
        <v>98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 t="s">
        <v>24</v>
      </c>
      <c r="I110" s="1" t="e">
        <f ca="1"/>
        <v>#NAME?</v>
      </c>
      <c r="J110" s="1" t="s">
        <v>72</v>
      </c>
      <c r="K110" s="1" t="s">
        <v>98</v>
      </c>
      <c r="L110" s="1" t="s">
        <v>22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>
        <v>99</v>
      </c>
      <c r="C111" s="1">
        <v>31</v>
      </c>
      <c r="D111" s="1">
        <v>41</v>
      </c>
      <c r="E111" s="1">
        <v>2</v>
      </c>
      <c r="F111" s="1">
        <v>0</v>
      </c>
      <c r="G111" s="1">
        <v>75.599999999999994</v>
      </c>
      <c r="H111" s="1" t="s">
        <v>24</v>
      </c>
      <c r="I111" s="1" t="e">
        <f ca="1"/>
        <v>#NAME?</v>
      </c>
      <c r="J111" s="1" t="s">
        <v>55</v>
      </c>
      <c r="K111" s="1" t="s">
        <v>84</v>
      </c>
      <c r="L111" s="1" t="s">
        <v>22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>
        <v>100</v>
      </c>
      <c r="C112" s="1">
        <v>22</v>
      </c>
      <c r="D112" s="1">
        <v>18</v>
      </c>
      <c r="E112" s="1">
        <v>4</v>
      </c>
      <c r="F112" s="1">
        <v>0</v>
      </c>
      <c r="G112" s="1">
        <v>122.22</v>
      </c>
      <c r="H112" s="1" t="s">
        <v>29</v>
      </c>
      <c r="I112" s="1" t="e">
        <f ca="1"/>
        <v>#NAME?</v>
      </c>
      <c r="J112" s="1" t="s">
        <v>42</v>
      </c>
      <c r="K112" s="1" t="s">
        <v>81</v>
      </c>
      <c r="L112" s="1" t="s">
        <v>22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>
        <v>101</v>
      </c>
      <c r="C113" s="1">
        <v>22</v>
      </c>
      <c r="D113" s="1">
        <v>27</v>
      </c>
      <c r="E113" s="1">
        <v>3</v>
      </c>
      <c r="F113" s="1">
        <v>0</v>
      </c>
      <c r="G113" s="1">
        <v>81.48</v>
      </c>
      <c r="H113" s="1" t="s">
        <v>32</v>
      </c>
      <c r="I113" s="1" t="e">
        <f ca="1"/>
        <v>#NAME?</v>
      </c>
      <c r="J113" s="1" t="s">
        <v>35</v>
      </c>
      <c r="K113" s="1" t="s">
        <v>99</v>
      </c>
      <c r="L113" s="1" t="s">
        <v>33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>
        <v>102</v>
      </c>
      <c r="C114" s="1">
        <v>58</v>
      </c>
      <c r="D114" s="1">
        <v>64</v>
      </c>
      <c r="E114" s="1">
        <v>4</v>
      </c>
      <c r="F114" s="1">
        <v>1</v>
      </c>
      <c r="G114" s="1">
        <v>90.62</v>
      </c>
      <c r="H114" s="1" t="s">
        <v>32</v>
      </c>
      <c r="I114" s="1" t="e">
        <f ca="1"/>
        <v>#NAME?</v>
      </c>
      <c r="J114" s="1" t="s">
        <v>20</v>
      </c>
      <c r="K114" s="1" t="s">
        <v>84</v>
      </c>
      <c r="L114" s="1" t="s">
        <v>33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>
        <v>103</v>
      </c>
      <c r="C115" s="1">
        <v>43</v>
      </c>
      <c r="D115" s="1">
        <v>34</v>
      </c>
      <c r="E115" s="1">
        <v>4</v>
      </c>
      <c r="F115" s="1">
        <v>1</v>
      </c>
      <c r="G115" s="1">
        <v>126.47</v>
      </c>
      <c r="H115" s="1" t="s">
        <v>24</v>
      </c>
      <c r="I115" s="1" t="e">
        <f ca="1"/>
        <v>#NAME?</v>
      </c>
      <c r="J115" s="1" t="s">
        <v>72</v>
      </c>
      <c r="K115" s="1" t="s">
        <v>99</v>
      </c>
      <c r="L115" s="1" t="s">
        <v>22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>
        <v>104</v>
      </c>
      <c r="C116" s="1">
        <v>11</v>
      </c>
      <c r="D116" s="1">
        <v>21</v>
      </c>
      <c r="E116" s="1">
        <v>0</v>
      </c>
      <c r="F116" s="1">
        <v>1</v>
      </c>
      <c r="G116" s="1">
        <v>52.38</v>
      </c>
      <c r="H116" s="1" t="s">
        <v>24</v>
      </c>
      <c r="I116" s="1" t="e">
        <f ca="1"/>
        <v>#NAME?</v>
      </c>
      <c r="J116" s="1" t="s">
        <v>42</v>
      </c>
      <c r="K116" s="1" t="s">
        <v>78</v>
      </c>
      <c r="L116" s="1" t="s">
        <v>22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>
        <v>105</v>
      </c>
      <c r="C117" s="1">
        <v>2</v>
      </c>
      <c r="D117" s="1">
        <v>5</v>
      </c>
      <c r="E117" s="1">
        <v>0</v>
      </c>
      <c r="F117" s="1">
        <v>0</v>
      </c>
      <c r="G117" s="1">
        <v>40</v>
      </c>
      <c r="H117" s="1" t="s">
        <v>24</v>
      </c>
      <c r="I117" s="1" t="e">
        <f ca="1"/>
        <v>#NAME?</v>
      </c>
      <c r="J117" s="1" t="s">
        <v>20</v>
      </c>
      <c r="K117" s="1" t="s">
        <v>78</v>
      </c>
      <c r="L117" s="1" t="s">
        <v>22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>
        <v>106</v>
      </c>
      <c r="C118" s="1">
        <v>102</v>
      </c>
      <c r="D118" s="1">
        <v>83</v>
      </c>
      <c r="E118" s="1">
        <v>13</v>
      </c>
      <c r="F118" s="1">
        <v>2</v>
      </c>
      <c r="G118" s="1">
        <v>122.89</v>
      </c>
      <c r="H118" s="1" t="s">
        <v>24</v>
      </c>
      <c r="I118" s="1" t="e">
        <f ca="1"/>
        <v>#NAME?</v>
      </c>
      <c r="J118" s="1" t="s">
        <v>42</v>
      </c>
      <c r="K118" s="1" t="s">
        <v>76</v>
      </c>
      <c r="L118" s="1" t="s">
        <v>22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>
        <v>107</v>
      </c>
      <c r="C119" s="1">
        <v>31</v>
      </c>
      <c r="D119" s="1">
        <v>52</v>
      </c>
      <c r="E119" s="1">
        <v>4</v>
      </c>
      <c r="F119" s="1">
        <v>0</v>
      </c>
      <c r="G119" s="1">
        <v>59.61</v>
      </c>
      <c r="H119" s="1" t="s">
        <v>19</v>
      </c>
      <c r="I119" s="1" t="e">
        <f ca="1"/>
        <v>#NAME?</v>
      </c>
      <c r="J119" s="1" t="s">
        <v>20</v>
      </c>
      <c r="K119" s="1" t="s">
        <v>76</v>
      </c>
      <c r="L119" s="1" t="s">
        <v>22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>
        <v>108</v>
      </c>
      <c r="C120" s="1">
        <v>2</v>
      </c>
      <c r="D120" s="1">
        <v>5</v>
      </c>
      <c r="E120" s="1">
        <v>0</v>
      </c>
      <c r="F120" s="1">
        <v>0</v>
      </c>
      <c r="G120" s="1">
        <v>40</v>
      </c>
      <c r="H120" s="1" t="s">
        <v>24</v>
      </c>
      <c r="I120" s="1" t="e">
        <f ca="1"/>
        <v>#NAME?</v>
      </c>
      <c r="J120" s="1" t="s">
        <v>20</v>
      </c>
      <c r="K120" s="1" t="s">
        <v>76</v>
      </c>
      <c r="L120" s="1" t="s">
        <v>22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>
        <v>109</v>
      </c>
      <c r="C121" s="1">
        <v>115</v>
      </c>
      <c r="D121" s="1">
        <v>108</v>
      </c>
      <c r="E121" s="1">
        <v>13</v>
      </c>
      <c r="F121" s="1">
        <v>1</v>
      </c>
      <c r="G121" s="1">
        <v>106.48</v>
      </c>
      <c r="H121" s="1" t="s">
        <v>24</v>
      </c>
      <c r="I121" s="1" t="e">
        <f ca="1"/>
        <v>#NAME?</v>
      </c>
      <c r="J121" s="1" t="s">
        <v>60</v>
      </c>
      <c r="K121" s="1" t="s">
        <v>62</v>
      </c>
      <c r="L121" s="1" t="s">
        <v>22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>
        <v>110</v>
      </c>
      <c r="C122" s="1">
        <v>14</v>
      </c>
      <c r="D122" s="1">
        <v>18</v>
      </c>
      <c r="E122" s="1">
        <v>2</v>
      </c>
      <c r="F122" s="1">
        <v>0</v>
      </c>
      <c r="G122" s="1">
        <v>77.77</v>
      </c>
      <c r="H122" s="1" t="s">
        <v>24</v>
      </c>
      <c r="I122" s="1" t="e">
        <f ca="1"/>
        <v>#NAME?</v>
      </c>
      <c r="J122" s="1" t="s">
        <v>60</v>
      </c>
      <c r="K122" s="1" t="s">
        <v>62</v>
      </c>
      <c r="L122" s="1" t="s">
        <v>22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>
        <v>111</v>
      </c>
      <c r="C123" s="1">
        <v>68</v>
      </c>
      <c r="D123" s="1">
        <v>88</v>
      </c>
      <c r="E123" s="1">
        <v>5</v>
      </c>
      <c r="F123" s="1">
        <v>1</v>
      </c>
      <c r="G123" s="1">
        <v>77.27</v>
      </c>
      <c r="H123" s="1" t="s">
        <v>32</v>
      </c>
      <c r="I123" s="1" t="e">
        <f ca="1"/>
        <v>#NAME?</v>
      </c>
      <c r="J123" s="1" t="s">
        <v>60</v>
      </c>
      <c r="K123" s="1" t="s">
        <v>62</v>
      </c>
      <c r="L123" s="1" t="s">
        <v>33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>
        <v>112</v>
      </c>
      <c r="C124" s="1" t="s">
        <v>57</v>
      </c>
      <c r="D124" s="1" t="s">
        <v>39</v>
      </c>
      <c r="E124" s="1" t="s">
        <v>39</v>
      </c>
      <c r="F124" s="1" t="s">
        <v>39</v>
      </c>
      <c r="G124" s="1" t="s">
        <v>39</v>
      </c>
      <c r="H124" s="1" t="s">
        <v>39</v>
      </c>
      <c r="I124" s="1" t="e">
        <f ca="1"/>
        <v>#NAME?</v>
      </c>
      <c r="J124" s="1" t="s">
        <v>60</v>
      </c>
      <c r="K124" s="1" t="s">
        <v>61</v>
      </c>
      <c r="L124" s="1" t="s">
        <v>39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>
        <v>113</v>
      </c>
      <c r="C125" s="1" t="s">
        <v>57</v>
      </c>
      <c r="D125" s="1" t="s">
        <v>39</v>
      </c>
      <c r="E125" s="1" t="s">
        <v>39</v>
      </c>
      <c r="F125" s="1" t="s">
        <v>39</v>
      </c>
      <c r="G125" s="1" t="s">
        <v>39</v>
      </c>
      <c r="H125" s="1" t="s">
        <v>39</v>
      </c>
      <c r="I125" s="1" t="e">
        <f ca="1"/>
        <v>#NAME?</v>
      </c>
      <c r="J125" s="1" t="s">
        <v>60</v>
      </c>
      <c r="K125" s="1" t="s">
        <v>61</v>
      </c>
      <c r="L125" s="1" t="s">
        <v>39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>
        <v>114</v>
      </c>
      <c r="C126" s="1">
        <v>61</v>
      </c>
      <c r="D126" s="1">
        <v>85</v>
      </c>
      <c r="E126" s="1">
        <v>6</v>
      </c>
      <c r="F126" s="1">
        <v>0</v>
      </c>
      <c r="G126" s="1">
        <v>71.760000000000005</v>
      </c>
      <c r="H126" s="1" t="s">
        <v>19</v>
      </c>
      <c r="I126" s="1" t="e">
        <f ca="1"/>
        <v>#NAME?</v>
      </c>
      <c r="J126" s="1" t="s">
        <v>40</v>
      </c>
      <c r="K126" s="1" t="s">
        <v>100</v>
      </c>
      <c r="L126" s="1" t="s">
        <v>22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>
        <v>115</v>
      </c>
      <c r="C127" s="1">
        <v>100</v>
      </c>
      <c r="D127" s="1">
        <v>52</v>
      </c>
      <c r="E127" s="1">
        <v>8</v>
      </c>
      <c r="F127" s="1">
        <v>7</v>
      </c>
      <c r="G127" s="1">
        <v>192.3</v>
      </c>
      <c r="H127" s="1" t="s">
        <v>32</v>
      </c>
      <c r="I127" s="1" t="e">
        <f ca="1"/>
        <v>#NAME?</v>
      </c>
      <c r="J127" s="1" t="s">
        <v>40</v>
      </c>
      <c r="K127" s="1" t="s">
        <v>56</v>
      </c>
      <c r="L127" s="1" t="s">
        <v>33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>
        <v>116</v>
      </c>
      <c r="C128" s="1">
        <v>68</v>
      </c>
      <c r="D128" s="1">
        <v>73</v>
      </c>
      <c r="E128" s="1">
        <v>9</v>
      </c>
      <c r="F128" s="1">
        <v>0</v>
      </c>
      <c r="G128" s="1">
        <v>93.15</v>
      </c>
      <c r="H128" s="1" t="s">
        <v>24</v>
      </c>
      <c r="I128" s="1" t="e">
        <f ca="1"/>
        <v>#NAME?</v>
      </c>
      <c r="J128" s="1" t="s">
        <v>40</v>
      </c>
      <c r="K128" s="1" t="s">
        <v>46</v>
      </c>
      <c r="L128" s="1" t="s">
        <v>22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>
        <v>117</v>
      </c>
      <c r="C129" s="1" t="s">
        <v>57</v>
      </c>
      <c r="D129" s="1" t="s">
        <v>39</v>
      </c>
      <c r="E129" s="1" t="s">
        <v>39</v>
      </c>
      <c r="F129" s="1" t="s">
        <v>39</v>
      </c>
      <c r="G129" s="1" t="s">
        <v>39</v>
      </c>
      <c r="H129" s="1" t="s">
        <v>39</v>
      </c>
      <c r="I129" s="1" t="e">
        <f ca="1"/>
        <v>#NAME?</v>
      </c>
      <c r="J129" s="1" t="s">
        <v>40</v>
      </c>
      <c r="K129" s="1" t="s">
        <v>97</v>
      </c>
      <c r="L129" s="1" t="s">
        <v>39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>
        <v>118</v>
      </c>
      <c r="C130" s="1">
        <v>115</v>
      </c>
      <c r="D130" s="1">
        <v>66</v>
      </c>
      <c r="E130" s="1">
        <v>18</v>
      </c>
      <c r="F130" s="1">
        <v>1</v>
      </c>
      <c r="G130" s="1">
        <v>174.24</v>
      </c>
      <c r="H130" s="1" t="s">
        <v>32</v>
      </c>
      <c r="I130" s="1" t="e">
        <f ca="1"/>
        <v>#NAME?</v>
      </c>
      <c r="J130" s="1" t="s">
        <v>40</v>
      </c>
      <c r="K130" s="1" t="s">
        <v>50</v>
      </c>
      <c r="L130" s="1" t="s">
        <v>33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>
        <v>119</v>
      </c>
      <c r="C131" s="1">
        <v>0</v>
      </c>
      <c r="D131" s="1">
        <v>3</v>
      </c>
      <c r="E131" s="1">
        <v>0</v>
      </c>
      <c r="F131" s="1">
        <v>0</v>
      </c>
      <c r="G131" s="1">
        <v>0</v>
      </c>
      <c r="H131" s="1" t="s">
        <v>26</v>
      </c>
      <c r="I131" s="1" t="e">
        <f ca="1"/>
        <v>#NAME?</v>
      </c>
      <c r="J131" s="1" t="s">
        <v>40</v>
      </c>
      <c r="K131" s="1" t="s">
        <v>67</v>
      </c>
      <c r="L131" s="1" t="s">
        <v>22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>
        <v>120</v>
      </c>
      <c r="C132" s="1">
        <v>86</v>
      </c>
      <c r="D132" s="1">
        <v>84</v>
      </c>
      <c r="E132" s="1">
        <v>9</v>
      </c>
      <c r="F132" s="1">
        <v>2</v>
      </c>
      <c r="G132" s="1">
        <v>102.38</v>
      </c>
      <c r="H132" s="1" t="s">
        <v>24</v>
      </c>
      <c r="I132" s="1" t="e">
        <f ca="1"/>
        <v>#NAME?</v>
      </c>
      <c r="J132" s="1" t="s">
        <v>42</v>
      </c>
      <c r="K132" s="1" t="s">
        <v>96</v>
      </c>
      <c r="L132" s="1" t="s">
        <v>22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>
        <v>121</v>
      </c>
      <c r="C133" s="1">
        <v>99</v>
      </c>
      <c r="D133" s="1">
        <v>100</v>
      </c>
      <c r="E133" s="1">
        <v>9</v>
      </c>
      <c r="F133" s="1">
        <v>0</v>
      </c>
      <c r="G133" s="1">
        <v>99</v>
      </c>
      <c r="H133" s="1" t="s">
        <v>24</v>
      </c>
      <c r="I133" s="1" t="e">
        <f ca="1"/>
        <v>#NAME?</v>
      </c>
      <c r="J133" s="1" t="s">
        <v>42</v>
      </c>
      <c r="K133" s="1" t="s">
        <v>65</v>
      </c>
      <c r="L133" s="1" t="s">
        <v>22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>
        <v>122</v>
      </c>
      <c r="C134" s="1">
        <v>19</v>
      </c>
      <c r="D134" s="1">
        <v>18</v>
      </c>
      <c r="E134" s="1">
        <v>3</v>
      </c>
      <c r="F134" s="1">
        <v>0</v>
      </c>
      <c r="G134" s="1">
        <v>105.55</v>
      </c>
      <c r="H134" s="1" t="s">
        <v>24</v>
      </c>
      <c r="I134" s="1" t="e">
        <f ca="1"/>
        <v>#NAME?</v>
      </c>
      <c r="J134" s="1" t="s">
        <v>42</v>
      </c>
      <c r="K134" s="1" t="s">
        <v>101</v>
      </c>
      <c r="L134" s="1" t="s">
        <v>22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>
        <v>123</v>
      </c>
      <c r="C135" s="1">
        <v>31</v>
      </c>
      <c r="D135" s="1">
        <v>35</v>
      </c>
      <c r="E135" s="1">
        <v>5</v>
      </c>
      <c r="F135" s="1">
        <v>0</v>
      </c>
      <c r="G135" s="1">
        <v>88.57</v>
      </c>
      <c r="H135" s="1" t="s">
        <v>24</v>
      </c>
      <c r="I135" s="1" t="e">
        <f ca="1"/>
        <v>#NAME?</v>
      </c>
      <c r="J135" s="1" t="s">
        <v>55</v>
      </c>
      <c r="K135" s="1" t="s">
        <v>43</v>
      </c>
      <c r="L135" s="1" t="s">
        <v>22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>
        <v>124</v>
      </c>
      <c r="C136" s="1">
        <v>0</v>
      </c>
      <c r="D136" s="1">
        <v>5</v>
      </c>
      <c r="E136" s="1">
        <v>0</v>
      </c>
      <c r="F136" s="1">
        <v>0</v>
      </c>
      <c r="G136" s="1">
        <v>0</v>
      </c>
      <c r="H136" s="1" t="s">
        <v>24</v>
      </c>
      <c r="I136" s="1" t="e">
        <f ca="1"/>
        <v>#NAME?</v>
      </c>
      <c r="J136" s="1" t="s">
        <v>55</v>
      </c>
      <c r="K136" s="1" t="s">
        <v>69</v>
      </c>
      <c r="L136" s="1" t="s">
        <v>22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>
        <v>125</v>
      </c>
      <c r="C137" s="1" t="s">
        <v>38</v>
      </c>
      <c r="D137" s="1" t="s">
        <v>39</v>
      </c>
      <c r="E137" s="1" t="s">
        <v>39</v>
      </c>
      <c r="F137" s="1" t="s">
        <v>39</v>
      </c>
      <c r="G137" s="1" t="s">
        <v>39</v>
      </c>
      <c r="H137" s="1" t="s">
        <v>39</v>
      </c>
      <c r="I137" s="1" t="e">
        <f ca="1"/>
        <v>#NAME?</v>
      </c>
      <c r="J137" s="1" t="s">
        <v>55</v>
      </c>
      <c r="K137" s="1" t="s">
        <v>36</v>
      </c>
      <c r="L137" s="1" t="s">
        <v>39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>
        <v>126</v>
      </c>
      <c r="C138" s="1">
        <v>123</v>
      </c>
      <c r="D138" s="1">
        <v>111</v>
      </c>
      <c r="E138" s="1">
        <v>11</v>
      </c>
      <c r="F138" s="1">
        <v>2</v>
      </c>
      <c r="G138" s="1">
        <v>110.81</v>
      </c>
      <c r="H138" s="1" t="s">
        <v>24</v>
      </c>
      <c r="I138" s="1" t="e">
        <f ca="1"/>
        <v>#NAME?</v>
      </c>
      <c r="J138" s="1" t="s">
        <v>64</v>
      </c>
      <c r="K138" s="1" t="s">
        <v>102</v>
      </c>
      <c r="L138" s="1" t="s">
        <v>22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>
        <v>127</v>
      </c>
      <c r="C139" s="1">
        <v>78</v>
      </c>
      <c r="D139" s="1">
        <v>65</v>
      </c>
      <c r="E139" s="1">
        <v>7</v>
      </c>
      <c r="F139" s="1">
        <v>2</v>
      </c>
      <c r="G139" s="1">
        <v>120</v>
      </c>
      <c r="H139" s="1" t="s">
        <v>24</v>
      </c>
      <c r="I139" s="1" t="e">
        <f ca="1"/>
        <v>#NAME?</v>
      </c>
      <c r="J139" s="1" t="s">
        <v>64</v>
      </c>
      <c r="K139" s="1" t="s">
        <v>103</v>
      </c>
      <c r="L139" s="1" t="s">
        <v>22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>
        <v>128</v>
      </c>
      <c r="C140" s="1">
        <v>6</v>
      </c>
      <c r="D140" s="1">
        <v>20</v>
      </c>
      <c r="E140" s="1">
        <v>1</v>
      </c>
      <c r="F140" s="1">
        <v>0</v>
      </c>
      <c r="G140" s="1">
        <v>30</v>
      </c>
      <c r="H140" s="1" t="s">
        <v>24</v>
      </c>
      <c r="I140" s="1" t="e">
        <f ca="1"/>
        <v>#NAME?</v>
      </c>
      <c r="J140" s="1" t="s">
        <v>64</v>
      </c>
      <c r="K140" s="1" t="s">
        <v>104</v>
      </c>
      <c r="L140" s="1" t="s">
        <v>22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>
        <v>129</v>
      </c>
      <c r="C141" s="1">
        <v>2</v>
      </c>
      <c r="D141" s="1">
        <v>10</v>
      </c>
      <c r="E141" s="1">
        <v>0</v>
      </c>
      <c r="F141" s="1">
        <v>0</v>
      </c>
      <c r="G141" s="1">
        <v>20</v>
      </c>
      <c r="H141" s="1" t="s">
        <v>24</v>
      </c>
      <c r="I141" s="1" t="e">
        <f ca="1"/>
        <v>#NAME?</v>
      </c>
      <c r="J141" s="1" t="s">
        <v>64</v>
      </c>
      <c r="K141" s="1" t="s">
        <v>103</v>
      </c>
      <c r="L141" s="1" t="s">
        <v>22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>
        <v>130</v>
      </c>
      <c r="C142" s="1">
        <v>82</v>
      </c>
      <c r="D142" s="1">
        <v>78</v>
      </c>
      <c r="E142" s="1">
        <v>7</v>
      </c>
      <c r="F142" s="1">
        <v>3</v>
      </c>
      <c r="G142" s="1">
        <v>105.12</v>
      </c>
      <c r="H142" s="1" t="s">
        <v>24</v>
      </c>
      <c r="I142" s="1" t="e">
        <f ca="1"/>
        <v>#NAME?</v>
      </c>
      <c r="J142" s="1" t="s">
        <v>64</v>
      </c>
      <c r="K142" s="1" t="s">
        <v>105</v>
      </c>
      <c r="L142" s="1" t="s">
        <v>22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>
        <v>131</v>
      </c>
      <c r="C143" s="1">
        <v>136</v>
      </c>
      <c r="D143" s="1">
        <v>122</v>
      </c>
      <c r="E143" s="1">
        <v>16</v>
      </c>
      <c r="F143" s="1">
        <v>2</v>
      </c>
      <c r="G143" s="1">
        <v>111.47</v>
      </c>
      <c r="H143" s="1" t="s">
        <v>29</v>
      </c>
      <c r="I143" s="1" t="e">
        <f ca="1"/>
        <v>#NAME?</v>
      </c>
      <c r="J143" s="1" t="s">
        <v>54</v>
      </c>
      <c r="K143" s="1" t="s">
        <v>106</v>
      </c>
      <c r="L143" s="1" t="s">
        <v>22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>
        <v>132</v>
      </c>
      <c r="C144" s="1">
        <v>48</v>
      </c>
      <c r="D144" s="1">
        <v>51</v>
      </c>
      <c r="E144" s="1">
        <v>4</v>
      </c>
      <c r="F144" s="1">
        <v>1</v>
      </c>
      <c r="G144" s="1">
        <v>94.11</v>
      </c>
      <c r="H144" s="1" t="s">
        <v>29</v>
      </c>
      <c r="I144" s="1" t="e">
        <f ca="1"/>
        <v>#NAME?</v>
      </c>
      <c r="J144" s="1" t="s">
        <v>20</v>
      </c>
      <c r="K144" s="1" t="s">
        <v>106</v>
      </c>
      <c r="L144" s="1" t="s">
        <v>22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>
        <v>133</v>
      </c>
      <c r="C145" s="1">
        <v>5</v>
      </c>
      <c r="D145" s="1">
        <v>11</v>
      </c>
      <c r="E145" s="1">
        <v>0</v>
      </c>
      <c r="F145" s="1">
        <v>0</v>
      </c>
      <c r="G145" s="1">
        <v>45.45</v>
      </c>
      <c r="H145" s="1" t="s">
        <v>24</v>
      </c>
      <c r="I145" s="1" t="e">
        <f ca="1"/>
        <v>#NAME?</v>
      </c>
      <c r="J145" s="1" t="s">
        <v>35</v>
      </c>
      <c r="K145" s="1" t="s">
        <v>53</v>
      </c>
      <c r="L145" s="1" t="s">
        <v>22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>
        <v>134</v>
      </c>
      <c r="C146" s="1" t="s">
        <v>57</v>
      </c>
      <c r="D146" s="1" t="s">
        <v>39</v>
      </c>
      <c r="E146" s="1" t="s">
        <v>39</v>
      </c>
      <c r="F146" s="1" t="s">
        <v>39</v>
      </c>
      <c r="G146" s="1" t="s">
        <v>39</v>
      </c>
      <c r="H146" s="1" t="s">
        <v>39</v>
      </c>
      <c r="I146" s="1" t="e">
        <f ca="1"/>
        <v>#NAME?</v>
      </c>
      <c r="J146" s="1" t="s">
        <v>107</v>
      </c>
      <c r="K146" s="1" t="s">
        <v>53</v>
      </c>
      <c r="L146" s="1" t="s">
        <v>39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>
        <v>135</v>
      </c>
      <c r="C147" s="1">
        <v>0</v>
      </c>
      <c r="D147" s="1">
        <v>3</v>
      </c>
      <c r="E147" s="1">
        <v>0</v>
      </c>
      <c r="F147" s="1">
        <v>0</v>
      </c>
      <c r="G147" s="1">
        <v>0</v>
      </c>
      <c r="H147" s="1" t="s">
        <v>24</v>
      </c>
      <c r="I147" s="1" t="e">
        <f ca="1"/>
        <v>#NAME?</v>
      </c>
      <c r="J147" s="1" t="s">
        <v>72</v>
      </c>
      <c r="K147" s="1" t="s">
        <v>84</v>
      </c>
      <c r="L147" s="1" t="s">
        <v>22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>
        <v>136</v>
      </c>
      <c r="C148" s="1">
        <v>40</v>
      </c>
      <c r="D148" s="1">
        <v>50</v>
      </c>
      <c r="E148" s="1">
        <v>2</v>
      </c>
      <c r="F148" s="1">
        <v>1</v>
      </c>
      <c r="G148" s="1">
        <v>80</v>
      </c>
      <c r="H148" s="1" t="s">
        <v>24</v>
      </c>
      <c r="I148" s="1" t="e">
        <f ca="1"/>
        <v>#NAME?</v>
      </c>
      <c r="J148" s="1" t="s">
        <v>72</v>
      </c>
      <c r="K148" s="1" t="s">
        <v>108</v>
      </c>
      <c r="L148" s="1" t="s">
        <v>22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>
        <v>137</v>
      </c>
      <c r="C149" s="1">
        <v>1</v>
      </c>
      <c r="D149" s="1">
        <v>3</v>
      </c>
      <c r="E149" s="1">
        <v>0</v>
      </c>
      <c r="F149" s="1">
        <v>0</v>
      </c>
      <c r="G149" s="1">
        <v>33.33</v>
      </c>
      <c r="H149" s="1" t="s">
        <v>32</v>
      </c>
      <c r="I149" s="1" t="e">
        <f ca="1"/>
        <v>#NAME?</v>
      </c>
      <c r="J149" s="1" t="s">
        <v>72</v>
      </c>
      <c r="K149" s="1" t="s">
        <v>99</v>
      </c>
      <c r="L149" s="1" t="s">
        <v>33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>
        <v>138</v>
      </c>
      <c r="C150" s="1">
        <v>13</v>
      </c>
      <c r="D150" s="1">
        <v>21</v>
      </c>
      <c r="E150" s="1">
        <v>2</v>
      </c>
      <c r="F150" s="1">
        <v>0</v>
      </c>
      <c r="G150" s="1">
        <v>61.9</v>
      </c>
      <c r="H150" s="1" t="s">
        <v>24</v>
      </c>
      <c r="I150" s="1" t="e">
        <f ca="1"/>
        <v>#NAME?</v>
      </c>
      <c r="J150" s="1" t="s">
        <v>72</v>
      </c>
      <c r="K150" s="1" t="s">
        <v>109</v>
      </c>
      <c r="L150" s="1" t="s">
        <v>22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>
        <v>139</v>
      </c>
      <c r="C151" s="1">
        <v>2</v>
      </c>
      <c r="D151" s="1">
        <v>5</v>
      </c>
      <c r="E151" s="1">
        <v>0</v>
      </c>
      <c r="F151" s="1">
        <v>0</v>
      </c>
      <c r="G151" s="1">
        <v>40</v>
      </c>
      <c r="H151" s="1" t="s">
        <v>24</v>
      </c>
      <c r="I151" s="1" t="e">
        <f ca="1"/>
        <v>#NAME?</v>
      </c>
      <c r="J151" s="1" t="s">
        <v>42</v>
      </c>
      <c r="K151" s="1" t="s">
        <v>96</v>
      </c>
      <c r="L151" s="1" t="s">
        <v>22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>
        <v>140</v>
      </c>
      <c r="C152" s="1">
        <v>62</v>
      </c>
      <c r="D152" s="1">
        <v>78</v>
      </c>
      <c r="E152" s="1">
        <v>5</v>
      </c>
      <c r="F152" s="1">
        <v>0</v>
      </c>
      <c r="G152" s="1">
        <v>79.48</v>
      </c>
      <c r="H152" s="1" t="s">
        <v>24</v>
      </c>
      <c r="I152" s="1" t="e">
        <f ca="1"/>
        <v>#NAME?</v>
      </c>
      <c r="J152" s="1" t="s">
        <v>42</v>
      </c>
      <c r="K152" s="1" t="s">
        <v>52</v>
      </c>
      <c r="L152" s="1" t="s">
        <v>22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>
        <v>141</v>
      </c>
      <c r="C153" s="1">
        <v>127</v>
      </c>
      <c r="D153" s="1">
        <v>114</v>
      </c>
      <c r="E153" s="1">
        <v>13</v>
      </c>
      <c r="F153" s="1">
        <v>3</v>
      </c>
      <c r="G153" s="1">
        <v>111.4</v>
      </c>
      <c r="H153" s="1" t="s">
        <v>26</v>
      </c>
      <c r="I153" s="1" t="e">
        <f ca="1"/>
        <v>#NAME?</v>
      </c>
      <c r="J153" s="1" t="s">
        <v>42</v>
      </c>
      <c r="K153" s="1" t="s">
        <v>98</v>
      </c>
      <c r="L153" s="1" t="s">
        <v>22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>
        <v>142</v>
      </c>
      <c r="C154" s="1">
        <v>22</v>
      </c>
      <c r="D154" s="1">
        <v>21</v>
      </c>
      <c r="E154" s="1">
        <v>2</v>
      </c>
      <c r="F154" s="1">
        <v>0</v>
      </c>
      <c r="G154" s="1">
        <v>104.76</v>
      </c>
      <c r="H154" s="1" t="s">
        <v>24</v>
      </c>
      <c r="I154" s="1" t="e">
        <f ca="1"/>
        <v>#NAME?</v>
      </c>
      <c r="J154" s="1" t="s">
        <v>20</v>
      </c>
      <c r="K154" s="1" t="s">
        <v>86</v>
      </c>
      <c r="L154" s="1" t="s">
        <v>22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>
        <v>143</v>
      </c>
      <c r="C155" s="1">
        <v>49</v>
      </c>
      <c r="D155" s="1">
        <v>44</v>
      </c>
      <c r="E155" s="1">
        <v>2</v>
      </c>
      <c r="F155" s="1">
        <v>2</v>
      </c>
      <c r="G155" s="1">
        <v>111.36</v>
      </c>
      <c r="H155" s="1" t="s">
        <v>24</v>
      </c>
      <c r="I155" s="1" t="e">
        <f ca="1"/>
        <v>#NAME?</v>
      </c>
      <c r="J155" s="1" t="s">
        <v>20</v>
      </c>
      <c r="K155" s="1" t="s">
        <v>59</v>
      </c>
      <c r="L155" s="1" t="s">
        <v>22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>
        <v>144</v>
      </c>
      <c r="C156" s="1">
        <v>53</v>
      </c>
      <c r="D156" s="1">
        <v>61</v>
      </c>
      <c r="E156" s="1">
        <v>4</v>
      </c>
      <c r="F156" s="1">
        <v>1</v>
      </c>
      <c r="G156" s="1">
        <v>86.88</v>
      </c>
      <c r="H156" s="1" t="s">
        <v>24</v>
      </c>
      <c r="I156" s="1" t="e">
        <f ca="1"/>
        <v>#NAME?</v>
      </c>
      <c r="J156" s="1" t="s">
        <v>20</v>
      </c>
      <c r="K156" s="1" t="s">
        <v>85</v>
      </c>
      <c r="L156" s="1" t="s">
        <v>22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>
        <v>145</v>
      </c>
      <c r="C157" s="1">
        <v>66</v>
      </c>
      <c r="D157" s="1">
        <v>64</v>
      </c>
      <c r="E157" s="1">
        <v>6</v>
      </c>
      <c r="F157" s="1">
        <v>0</v>
      </c>
      <c r="G157" s="1">
        <v>103.12</v>
      </c>
      <c r="H157" s="1" t="s">
        <v>26</v>
      </c>
      <c r="I157" s="1" t="e">
        <f ca="1"/>
        <v>#NAME?</v>
      </c>
      <c r="J157" s="1" t="s">
        <v>20</v>
      </c>
      <c r="K157" s="1" t="s">
        <v>51</v>
      </c>
      <c r="L157" s="1" t="s">
        <v>22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>
        <v>146</v>
      </c>
      <c r="C158" s="1">
        <v>139</v>
      </c>
      <c r="D158" s="1">
        <v>126</v>
      </c>
      <c r="E158" s="1">
        <v>12</v>
      </c>
      <c r="F158" s="1">
        <v>3</v>
      </c>
      <c r="G158" s="1">
        <v>110.31</v>
      </c>
      <c r="H158" s="1" t="s">
        <v>32</v>
      </c>
      <c r="I158" s="1" t="e">
        <f ca="1"/>
        <v>#NAME?</v>
      </c>
      <c r="J158" s="1" t="s">
        <v>20</v>
      </c>
      <c r="K158" s="1" t="s">
        <v>97</v>
      </c>
      <c r="L158" s="1" t="s">
        <v>33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>
        <v>147</v>
      </c>
      <c r="C159" s="1">
        <v>9</v>
      </c>
      <c r="D159" s="1">
        <v>16</v>
      </c>
      <c r="E159" s="1">
        <v>0</v>
      </c>
      <c r="F159" s="1">
        <v>0</v>
      </c>
      <c r="G159" s="1">
        <v>56.25</v>
      </c>
      <c r="H159" s="1" t="s">
        <v>24</v>
      </c>
      <c r="I159" s="1" t="e">
        <f ca="1"/>
        <v>#NAME?</v>
      </c>
      <c r="J159" s="1" t="s">
        <v>40</v>
      </c>
      <c r="K159" s="1" t="s">
        <v>88</v>
      </c>
      <c r="L159" s="1" t="s">
        <v>22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>
        <v>148</v>
      </c>
      <c r="C160" s="1">
        <v>4</v>
      </c>
      <c r="D160" s="1">
        <v>8</v>
      </c>
      <c r="E160" s="1">
        <v>0</v>
      </c>
      <c r="F160" s="1">
        <v>0</v>
      </c>
      <c r="G160" s="1">
        <v>50</v>
      </c>
      <c r="H160" s="1" t="s">
        <v>24</v>
      </c>
      <c r="I160" s="1" t="e">
        <f ca="1"/>
        <v>#NAME?</v>
      </c>
      <c r="J160" s="1" t="s">
        <v>72</v>
      </c>
      <c r="K160" s="1" t="s">
        <v>91</v>
      </c>
      <c r="L160" s="1" t="s">
        <v>22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>
        <v>149</v>
      </c>
      <c r="C161" s="1">
        <v>3</v>
      </c>
      <c r="D161" s="1">
        <v>9</v>
      </c>
      <c r="E161" s="1">
        <v>0</v>
      </c>
      <c r="F161" s="1">
        <v>0</v>
      </c>
      <c r="G161" s="1">
        <v>33.33</v>
      </c>
      <c r="H161" s="1" t="s">
        <v>32</v>
      </c>
      <c r="I161" s="1" t="e">
        <f ca="1"/>
        <v>#NAME?</v>
      </c>
      <c r="J161" s="1" t="s">
        <v>40</v>
      </c>
      <c r="K161" s="1" t="s">
        <v>92</v>
      </c>
      <c r="L161" s="1" t="s">
        <v>33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>
        <v>150</v>
      </c>
      <c r="C162" s="1">
        <v>8</v>
      </c>
      <c r="D162" s="1">
        <v>19</v>
      </c>
      <c r="E162" s="1">
        <v>0</v>
      </c>
      <c r="F162" s="1">
        <v>0</v>
      </c>
      <c r="G162" s="1">
        <v>42.1</v>
      </c>
      <c r="H162" s="1" t="s">
        <v>24</v>
      </c>
      <c r="I162" s="1" t="e">
        <f ca="1"/>
        <v>#NAME?</v>
      </c>
      <c r="J162" s="1" t="s">
        <v>72</v>
      </c>
      <c r="K162" s="1" t="s">
        <v>89</v>
      </c>
      <c r="L162" s="1" t="s">
        <v>22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>
        <v>151</v>
      </c>
      <c r="C163" s="1">
        <v>107</v>
      </c>
      <c r="D163" s="1">
        <v>126</v>
      </c>
      <c r="E163" s="1">
        <v>8</v>
      </c>
      <c r="F163" s="1">
        <v>0</v>
      </c>
      <c r="G163" s="1">
        <v>84.92</v>
      </c>
      <c r="H163" s="1" t="s">
        <v>24</v>
      </c>
      <c r="I163" s="1" t="e">
        <f ca="1"/>
        <v>#NAME?</v>
      </c>
      <c r="J163" s="1" t="s">
        <v>35</v>
      </c>
      <c r="K163" s="1" t="s">
        <v>90</v>
      </c>
      <c r="L163" s="1" t="s">
        <v>22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>
        <v>152</v>
      </c>
      <c r="C164" s="1">
        <v>46</v>
      </c>
      <c r="D164" s="1">
        <v>60</v>
      </c>
      <c r="E164" s="1">
        <v>3</v>
      </c>
      <c r="F164" s="1">
        <v>0</v>
      </c>
      <c r="G164" s="1">
        <v>76.66</v>
      </c>
      <c r="H164" s="1" t="s">
        <v>24</v>
      </c>
      <c r="I164" s="1" t="e">
        <f ca="1"/>
        <v>#NAME?</v>
      </c>
      <c r="J164" s="1" t="s">
        <v>55</v>
      </c>
      <c r="K164" s="1" t="s">
        <v>88</v>
      </c>
      <c r="L164" s="1" t="s">
        <v>22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>
        <v>153</v>
      </c>
      <c r="C165" s="1">
        <v>33</v>
      </c>
      <c r="D165" s="1">
        <v>41</v>
      </c>
      <c r="E165" s="1">
        <v>5</v>
      </c>
      <c r="F165" s="1">
        <v>0</v>
      </c>
      <c r="G165" s="1">
        <v>80.48</v>
      </c>
      <c r="H165" s="1" t="s">
        <v>32</v>
      </c>
      <c r="I165" s="1" t="e">
        <f ca="1"/>
        <v>#NAME?</v>
      </c>
      <c r="J165" s="1" t="s">
        <v>110</v>
      </c>
      <c r="K165" s="1" t="s">
        <v>89</v>
      </c>
      <c r="L165" s="1" t="s">
        <v>33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>
        <v>154</v>
      </c>
      <c r="C166" s="1">
        <v>33</v>
      </c>
      <c r="D166" s="1">
        <v>36</v>
      </c>
      <c r="E166" s="1">
        <v>5</v>
      </c>
      <c r="F166" s="1">
        <v>0</v>
      </c>
      <c r="G166" s="1">
        <v>91.66</v>
      </c>
      <c r="H166" s="1" t="s">
        <v>24</v>
      </c>
      <c r="I166" s="1" t="e">
        <f ca="1"/>
        <v>#NAME?</v>
      </c>
      <c r="J166" s="1" t="s">
        <v>42</v>
      </c>
      <c r="K166" s="1" t="s">
        <v>89</v>
      </c>
      <c r="L166" s="1" t="s">
        <v>22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>
        <v>155</v>
      </c>
      <c r="C167" s="1">
        <v>44</v>
      </c>
      <c r="D167" s="1">
        <v>42</v>
      </c>
      <c r="E167" s="1">
        <v>4</v>
      </c>
      <c r="F167" s="1">
        <v>1</v>
      </c>
      <c r="G167" s="1">
        <v>104.76</v>
      </c>
      <c r="H167" s="1" t="s">
        <v>32</v>
      </c>
      <c r="I167" s="1" t="e">
        <f ca="1"/>
        <v>#NAME?</v>
      </c>
      <c r="J167" s="1" t="s">
        <v>73</v>
      </c>
      <c r="K167" s="1" t="s">
        <v>103</v>
      </c>
      <c r="L167" s="1" t="s">
        <v>33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>
        <v>156</v>
      </c>
      <c r="C168" s="1">
        <v>38</v>
      </c>
      <c r="D168" s="1">
        <v>48</v>
      </c>
      <c r="E168" s="1">
        <v>4</v>
      </c>
      <c r="F168" s="1">
        <v>0</v>
      </c>
      <c r="G168" s="1">
        <v>79.16</v>
      </c>
      <c r="H168" s="1" t="s">
        <v>29</v>
      </c>
      <c r="I168" s="1" t="e">
        <f ca="1"/>
        <v>#NAME?</v>
      </c>
      <c r="J168" s="1" t="s">
        <v>60</v>
      </c>
      <c r="K168" s="1" t="s">
        <v>104</v>
      </c>
      <c r="L168" s="1" t="s">
        <v>22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>
        <v>157</v>
      </c>
      <c r="C169" s="1">
        <v>3</v>
      </c>
      <c r="D169" s="1">
        <v>8</v>
      </c>
      <c r="E169" s="1">
        <v>0</v>
      </c>
      <c r="F169" s="1">
        <v>0</v>
      </c>
      <c r="G169" s="1">
        <v>37.5</v>
      </c>
      <c r="H169" s="1" t="s">
        <v>24</v>
      </c>
      <c r="I169" s="1" t="e">
        <f ca="1"/>
        <v>#NAME?</v>
      </c>
      <c r="J169" s="1" t="s">
        <v>54</v>
      </c>
      <c r="K169" s="1" t="s">
        <v>88</v>
      </c>
      <c r="L169" s="1" t="s">
        <v>22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>
        <v>158</v>
      </c>
      <c r="C170" s="1">
        <v>1</v>
      </c>
      <c r="D170" s="1">
        <v>13</v>
      </c>
      <c r="E170" s="1">
        <v>0</v>
      </c>
      <c r="F170" s="1">
        <v>0</v>
      </c>
      <c r="G170" s="1">
        <v>7.69</v>
      </c>
      <c r="H170" s="1" t="s">
        <v>24</v>
      </c>
      <c r="I170" s="1" t="e">
        <f ca="1"/>
        <v>#NAME?</v>
      </c>
      <c r="J170" s="1" t="s">
        <v>40</v>
      </c>
      <c r="K170" s="1" t="s">
        <v>92</v>
      </c>
      <c r="L170" s="1" t="s">
        <v>22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>
        <v>159</v>
      </c>
      <c r="C171" s="1">
        <v>1</v>
      </c>
      <c r="D171" s="1">
        <v>4</v>
      </c>
      <c r="E171" s="1">
        <v>0</v>
      </c>
      <c r="F171" s="1">
        <v>0</v>
      </c>
      <c r="G171" s="1">
        <v>25</v>
      </c>
      <c r="H171" s="1" t="s">
        <v>24</v>
      </c>
      <c r="I171" s="1" t="e">
        <f ca="1"/>
        <v>#NAME?</v>
      </c>
      <c r="J171" s="1" t="s">
        <v>54</v>
      </c>
      <c r="K171" s="1" t="s">
        <v>53</v>
      </c>
      <c r="L171" s="1" t="s">
        <v>22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>
        <v>160</v>
      </c>
      <c r="C172" s="1">
        <v>23</v>
      </c>
      <c r="D172" s="1">
        <v>27</v>
      </c>
      <c r="E172" s="1">
        <v>3</v>
      </c>
      <c r="F172" s="1">
        <v>1</v>
      </c>
      <c r="G172" s="1">
        <v>85.18</v>
      </c>
      <c r="H172" s="1" t="s">
        <v>19</v>
      </c>
      <c r="I172" s="1" t="e">
        <f ca="1"/>
        <v>#NAME?</v>
      </c>
      <c r="J172" s="1" t="s">
        <v>54</v>
      </c>
      <c r="K172" s="1" t="s">
        <v>53</v>
      </c>
      <c r="L172" s="1" t="s">
        <v>22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>
        <v>161</v>
      </c>
      <c r="C173" s="1">
        <v>25</v>
      </c>
      <c r="D173" s="1">
        <v>35</v>
      </c>
      <c r="E173" s="1">
        <v>1</v>
      </c>
      <c r="F173" s="1">
        <v>0</v>
      </c>
      <c r="G173" s="1">
        <v>71.42</v>
      </c>
      <c r="H173" s="1" t="s">
        <v>29</v>
      </c>
      <c r="I173" s="1" t="e">
        <f ca="1"/>
        <v>#NAME?</v>
      </c>
      <c r="J173" s="1" t="s">
        <v>54</v>
      </c>
      <c r="K173" s="1" t="s">
        <v>53</v>
      </c>
      <c r="L173" s="1" t="s">
        <v>22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>
        <v>162</v>
      </c>
      <c r="C174" s="1">
        <v>11</v>
      </c>
      <c r="D174" s="1">
        <v>18</v>
      </c>
      <c r="E174" s="1">
        <v>0</v>
      </c>
      <c r="F174" s="1">
        <v>0</v>
      </c>
      <c r="G174" s="1">
        <v>61.11</v>
      </c>
      <c r="H174" s="1" t="s">
        <v>24</v>
      </c>
      <c r="I174" s="1" t="e">
        <f ca="1"/>
        <v>#NAME?</v>
      </c>
      <c r="J174" s="1" t="s">
        <v>55</v>
      </c>
      <c r="K174" s="1" t="s">
        <v>101</v>
      </c>
      <c r="L174" s="1" t="s">
        <v>22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>
        <v>163</v>
      </c>
      <c r="C175" s="1">
        <v>12</v>
      </c>
      <c r="D175" s="1">
        <v>18</v>
      </c>
      <c r="E175" s="1">
        <v>0</v>
      </c>
      <c r="F175" s="1">
        <v>0</v>
      </c>
      <c r="G175" s="1">
        <v>66.66</v>
      </c>
      <c r="H175" s="1" t="s">
        <v>26</v>
      </c>
      <c r="I175" s="1" t="e">
        <f ca="1"/>
        <v>#NAME?</v>
      </c>
      <c r="J175" s="1" t="s">
        <v>55</v>
      </c>
      <c r="K175" s="1" t="s">
        <v>87</v>
      </c>
      <c r="L175" s="1" t="s">
        <v>22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>
        <v>164</v>
      </c>
      <c r="C176" s="1">
        <v>77</v>
      </c>
      <c r="D176" s="1">
        <v>99</v>
      </c>
      <c r="E176" s="1">
        <v>5</v>
      </c>
      <c r="F176" s="1">
        <v>0</v>
      </c>
      <c r="G176" s="1">
        <v>77.77</v>
      </c>
      <c r="H176" s="1" t="s">
        <v>24</v>
      </c>
      <c r="I176" s="1" t="e">
        <f ca="1"/>
        <v>#NAME?</v>
      </c>
      <c r="J176" s="1" t="s">
        <v>55</v>
      </c>
      <c r="K176" s="1" t="s">
        <v>48</v>
      </c>
      <c r="L176" s="1" t="s">
        <v>22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>
        <v>165</v>
      </c>
      <c r="C177" s="1">
        <v>138</v>
      </c>
      <c r="D177" s="1">
        <v>140</v>
      </c>
      <c r="E177" s="1">
        <v>6</v>
      </c>
      <c r="F177" s="1">
        <v>5</v>
      </c>
      <c r="G177" s="1">
        <v>98.57</v>
      </c>
      <c r="H177" s="1" t="s">
        <v>24</v>
      </c>
      <c r="I177" s="1" t="e">
        <f ca="1"/>
        <v>#NAME?</v>
      </c>
      <c r="J177" s="1" t="s">
        <v>55</v>
      </c>
      <c r="K177" s="1" t="s">
        <v>68</v>
      </c>
      <c r="L177" s="1" t="s">
        <v>22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>
        <v>166</v>
      </c>
      <c r="C178" s="1">
        <v>7</v>
      </c>
      <c r="D178" s="1">
        <v>6</v>
      </c>
      <c r="E178" s="1">
        <v>0</v>
      </c>
      <c r="F178" s="1">
        <v>1</v>
      </c>
      <c r="G178" s="1">
        <v>116.66</v>
      </c>
      <c r="H178" s="1" t="s">
        <v>24</v>
      </c>
      <c r="I178" s="1" t="e">
        <f ca="1"/>
        <v>#NAME?</v>
      </c>
      <c r="J178" s="1" t="s">
        <v>55</v>
      </c>
      <c r="K178" s="1" t="s">
        <v>75</v>
      </c>
      <c r="L178" s="1" t="s">
        <v>22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>
        <v>167</v>
      </c>
      <c r="C179" s="1">
        <v>91</v>
      </c>
      <c r="D179" s="1">
        <v>97</v>
      </c>
      <c r="E179" s="1">
        <v>9</v>
      </c>
      <c r="F179" s="1">
        <v>1</v>
      </c>
      <c r="G179" s="1">
        <v>93.81</v>
      </c>
      <c r="H179" s="1" t="s">
        <v>24</v>
      </c>
      <c r="I179" s="1" t="e">
        <f ca="1"/>
        <v>#NAME?</v>
      </c>
      <c r="J179" s="1" t="s">
        <v>40</v>
      </c>
      <c r="K179" s="1" t="s">
        <v>89</v>
      </c>
      <c r="L179" s="1" t="s">
        <v>22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>
        <v>168</v>
      </c>
      <c r="C180" s="1">
        <v>59</v>
      </c>
      <c r="D180" s="1">
        <v>67</v>
      </c>
      <c r="E180" s="1">
        <v>4</v>
      </c>
      <c r="F180" s="1">
        <v>0</v>
      </c>
      <c r="G180" s="1">
        <v>88.05</v>
      </c>
      <c r="H180" s="1" t="s">
        <v>26</v>
      </c>
      <c r="I180" s="1" t="e">
        <f ca="1"/>
        <v>#NAME?</v>
      </c>
      <c r="J180" s="1" t="s">
        <v>40</v>
      </c>
      <c r="K180" s="1" t="s">
        <v>91</v>
      </c>
      <c r="L180" s="1" t="s">
        <v>22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>
        <v>169</v>
      </c>
      <c r="C181" s="1">
        <v>117</v>
      </c>
      <c r="D181" s="1">
        <v>117</v>
      </c>
      <c r="E181" s="1">
        <v>7</v>
      </c>
      <c r="F181" s="1">
        <v>2</v>
      </c>
      <c r="G181" s="1">
        <v>100</v>
      </c>
      <c r="H181" s="1" t="s">
        <v>24</v>
      </c>
      <c r="I181" s="1" t="e">
        <f ca="1"/>
        <v>#NAME?</v>
      </c>
      <c r="J181" s="1" t="s">
        <v>40</v>
      </c>
      <c r="K181" s="1" t="s">
        <v>88</v>
      </c>
      <c r="L181" s="1" t="s">
        <v>22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>
        <v>170</v>
      </c>
      <c r="C182" s="1">
        <v>106</v>
      </c>
      <c r="D182" s="1">
        <v>92</v>
      </c>
      <c r="E182" s="1">
        <v>11</v>
      </c>
      <c r="F182" s="1">
        <v>1</v>
      </c>
      <c r="G182" s="1">
        <v>115.21</v>
      </c>
      <c r="H182" s="1" t="s">
        <v>24</v>
      </c>
      <c r="I182" s="1" t="e">
        <f ca="1"/>
        <v>#NAME?</v>
      </c>
      <c r="J182" s="1" t="s">
        <v>40</v>
      </c>
      <c r="K182" s="1" t="s">
        <v>111</v>
      </c>
      <c r="L182" s="1" t="s">
        <v>22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>
        <v>171</v>
      </c>
      <c r="C183" s="1">
        <v>8</v>
      </c>
      <c r="D183" s="1">
        <v>11</v>
      </c>
      <c r="E183" s="1">
        <v>1</v>
      </c>
      <c r="F183" s="1">
        <v>0</v>
      </c>
      <c r="G183" s="1">
        <v>72.72</v>
      </c>
      <c r="H183" s="1" t="s">
        <v>24</v>
      </c>
      <c r="I183" s="1" t="e">
        <f ca="1"/>
        <v>#NAME?</v>
      </c>
      <c r="J183" s="1" t="s">
        <v>40</v>
      </c>
      <c r="K183" s="1" t="s">
        <v>92</v>
      </c>
      <c r="L183" s="1" t="s">
        <v>22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>
        <v>172</v>
      </c>
      <c r="C184" s="1">
        <v>85</v>
      </c>
      <c r="D184" s="1">
        <v>81</v>
      </c>
      <c r="E184" s="1">
        <v>9</v>
      </c>
      <c r="F184" s="1">
        <v>1</v>
      </c>
      <c r="G184" s="1">
        <v>104.93</v>
      </c>
      <c r="H184" s="1" t="s">
        <v>32</v>
      </c>
      <c r="I184" s="1" t="e">
        <f ca="1"/>
        <v>#NAME?</v>
      </c>
      <c r="J184" s="1" t="s">
        <v>64</v>
      </c>
      <c r="K184" s="1" t="s">
        <v>98</v>
      </c>
      <c r="L184" s="1" t="s">
        <v>33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>
        <v>173</v>
      </c>
      <c r="C185" s="1">
        <v>9</v>
      </c>
      <c r="D185" s="1">
        <v>13</v>
      </c>
      <c r="E185" s="1">
        <v>1</v>
      </c>
      <c r="F185" s="1">
        <v>0</v>
      </c>
      <c r="G185" s="1">
        <v>69.23</v>
      </c>
      <c r="H185" s="1" t="s">
        <v>24</v>
      </c>
      <c r="I185" s="1" t="e">
        <f ca="1"/>
        <v>#NAME?</v>
      </c>
      <c r="J185" s="1" t="s">
        <v>64</v>
      </c>
      <c r="K185" s="1" t="s">
        <v>52</v>
      </c>
      <c r="L185" s="1" t="s">
        <v>22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>
        <v>174</v>
      </c>
      <c r="C186" s="1">
        <v>154</v>
      </c>
      <c r="D186" s="1">
        <v>134</v>
      </c>
      <c r="E186" s="1">
        <v>16</v>
      </c>
      <c r="F186" s="1">
        <v>1</v>
      </c>
      <c r="G186" s="1">
        <v>114.92</v>
      </c>
      <c r="H186" s="1" t="s">
        <v>32</v>
      </c>
      <c r="I186" s="1" t="e">
        <f ca="1"/>
        <v>#NAME?</v>
      </c>
      <c r="J186" s="1" t="s">
        <v>64</v>
      </c>
      <c r="K186" s="1" t="s">
        <v>46</v>
      </c>
      <c r="L186" s="1" t="s">
        <v>33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>
        <v>175</v>
      </c>
      <c r="C187" s="1">
        <v>45</v>
      </c>
      <c r="D187" s="1">
        <v>51</v>
      </c>
      <c r="E187" s="1">
        <v>2</v>
      </c>
      <c r="F187" s="1">
        <v>1</v>
      </c>
      <c r="G187" s="1">
        <v>88.23</v>
      </c>
      <c r="H187" s="1" t="s">
        <v>24</v>
      </c>
      <c r="I187" s="1" t="e">
        <f ca="1"/>
        <v>#NAME?</v>
      </c>
      <c r="J187" s="1" t="s">
        <v>64</v>
      </c>
      <c r="K187" s="1" t="s">
        <v>97</v>
      </c>
      <c r="L187" s="1" t="s">
        <v>22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>
        <v>176</v>
      </c>
      <c r="C188" s="1">
        <v>65</v>
      </c>
      <c r="D188" s="1">
        <v>76</v>
      </c>
      <c r="E188" s="1">
        <v>2</v>
      </c>
      <c r="F188" s="1">
        <v>1</v>
      </c>
      <c r="G188" s="1">
        <v>85.52</v>
      </c>
      <c r="H188" s="1" t="s">
        <v>24</v>
      </c>
      <c r="I188" s="1" t="e">
        <f ca="1"/>
        <v>#NAME?</v>
      </c>
      <c r="J188" s="1" t="s">
        <v>64</v>
      </c>
      <c r="K188" s="1" t="s">
        <v>65</v>
      </c>
      <c r="L188" s="1" t="s">
        <v>22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>
        <v>177</v>
      </c>
      <c r="C189" s="1">
        <v>122</v>
      </c>
      <c r="D189" s="1">
        <v>105</v>
      </c>
      <c r="E189" s="1">
        <v>8</v>
      </c>
      <c r="F189" s="1">
        <v>5</v>
      </c>
      <c r="G189" s="1">
        <v>116.19</v>
      </c>
      <c r="H189" s="1" t="s">
        <v>24</v>
      </c>
      <c r="I189" s="1" t="e">
        <f ca="1"/>
        <v>#NAME?</v>
      </c>
      <c r="J189" s="1" t="s">
        <v>72</v>
      </c>
      <c r="K189" s="1" t="s">
        <v>100</v>
      </c>
      <c r="L189" s="1" t="s">
        <v>22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>
        <v>178</v>
      </c>
      <c r="C190" s="1">
        <v>8</v>
      </c>
      <c r="D190" s="1">
        <v>5</v>
      </c>
      <c r="E190" s="1">
        <v>2</v>
      </c>
      <c r="F190" s="1">
        <v>0</v>
      </c>
      <c r="G190" s="1">
        <v>160</v>
      </c>
      <c r="H190" s="1" t="s">
        <v>24</v>
      </c>
      <c r="I190" s="1" t="e">
        <f ca="1"/>
        <v>#NAME?</v>
      </c>
      <c r="J190" s="1" t="s">
        <v>72</v>
      </c>
      <c r="K190" s="1" t="s">
        <v>86</v>
      </c>
      <c r="L190" s="1" t="s">
        <v>22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>
        <v>179</v>
      </c>
      <c r="C191" s="1">
        <v>55</v>
      </c>
      <c r="D191" s="1">
        <v>63</v>
      </c>
      <c r="E191" s="1">
        <v>8</v>
      </c>
      <c r="F191" s="1">
        <v>0</v>
      </c>
      <c r="G191" s="1">
        <v>87.3</v>
      </c>
      <c r="H191" s="1" t="s">
        <v>24</v>
      </c>
      <c r="I191" s="1" t="e">
        <f ca="1"/>
        <v>#NAME?</v>
      </c>
      <c r="J191" s="1" t="s">
        <v>72</v>
      </c>
      <c r="K191" s="1" t="s">
        <v>51</v>
      </c>
      <c r="L191" s="1" t="s">
        <v>22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>
        <v>180</v>
      </c>
      <c r="C192" s="1">
        <v>81</v>
      </c>
      <c r="D192" s="1">
        <v>68</v>
      </c>
      <c r="E192" s="1">
        <v>6</v>
      </c>
      <c r="F192" s="1">
        <v>3</v>
      </c>
      <c r="G192" s="1">
        <v>119.11</v>
      </c>
      <c r="H192" s="1" t="s">
        <v>32</v>
      </c>
      <c r="I192" s="1" t="e">
        <f ca="1"/>
        <v>#NAME?</v>
      </c>
      <c r="J192" s="1" t="s">
        <v>35</v>
      </c>
      <c r="K192" s="1" t="s">
        <v>99</v>
      </c>
      <c r="L192" s="1" t="s">
        <v>33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>
        <v>181</v>
      </c>
      <c r="C193" s="1">
        <v>0</v>
      </c>
      <c r="D193" s="1">
        <v>5</v>
      </c>
      <c r="E193" s="1">
        <v>0</v>
      </c>
      <c r="F193" s="1">
        <v>0</v>
      </c>
      <c r="G193" s="1">
        <v>0</v>
      </c>
      <c r="H193" s="1" t="s">
        <v>24</v>
      </c>
      <c r="I193" s="1" t="e">
        <f ca="1"/>
        <v>#NAME?</v>
      </c>
      <c r="J193" s="1" t="s">
        <v>20</v>
      </c>
      <c r="K193" s="1" t="s">
        <v>81</v>
      </c>
      <c r="L193" s="1" t="s">
        <v>22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>
        <v>182</v>
      </c>
      <c r="C194" s="1">
        <v>76</v>
      </c>
      <c r="D194" s="1">
        <v>101</v>
      </c>
      <c r="E194" s="1">
        <v>7</v>
      </c>
      <c r="F194" s="1">
        <v>1</v>
      </c>
      <c r="G194" s="1">
        <v>75.239999999999995</v>
      </c>
      <c r="H194" s="1" t="s">
        <v>32</v>
      </c>
      <c r="I194" s="1" t="e">
        <f ca="1"/>
        <v>#NAME?</v>
      </c>
      <c r="J194" s="1" t="s">
        <v>55</v>
      </c>
      <c r="K194" s="1" t="s">
        <v>81</v>
      </c>
      <c r="L194" s="1" t="s">
        <v>33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>
        <v>183</v>
      </c>
      <c r="C195" s="1">
        <v>96</v>
      </c>
      <c r="D195" s="1">
        <v>78</v>
      </c>
      <c r="E195" s="1">
        <v>13</v>
      </c>
      <c r="F195" s="1">
        <v>0</v>
      </c>
      <c r="G195" s="1">
        <v>123.07</v>
      </c>
      <c r="H195" s="1" t="s">
        <v>32</v>
      </c>
      <c r="I195" s="1" t="e">
        <f ca="1"/>
        <v>#NAME?</v>
      </c>
      <c r="J195" s="1" t="s">
        <v>54</v>
      </c>
      <c r="K195" s="1" t="s">
        <v>99</v>
      </c>
      <c r="L195" s="1" t="s">
        <v>33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>
        <v>184</v>
      </c>
      <c r="C196" s="1">
        <v>5</v>
      </c>
      <c r="D196" s="1">
        <v>9</v>
      </c>
      <c r="E196" s="1">
        <v>0</v>
      </c>
      <c r="F196" s="1">
        <v>0</v>
      </c>
      <c r="G196" s="1">
        <v>55.55</v>
      </c>
      <c r="H196" s="1" t="s">
        <v>24</v>
      </c>
      <c r="I196" s="1" t="e">
        <f ca="1"/>
        <v>#NAME?</v>
      </c>
      <c r="J196" s="1" t="s">
        <v>35</v>
      </c>
      <c r="K196" s="1" t="s">
        <v>81</v>
      </c>
      <c r="L196" s="1" t="s">
        <v>22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>
        <v>185</v>
      </c>
      <c r="C197" s="1">
        <v>32</v>
      </c>
      <c r="D197" s="1">
        <v>47</v>
      </c>
      <c r="E197" s="1">
        <v>1</v>
      </c>
      <c r="F197" s="1">
        <v>0</v>
      </c>
      <c r="G197" s="1">
        <v>68.08</v>
      </c>
      <c r="H197" s="1" t="s">
        <v>32</v>
      </c>
      <c r="I197" s="1" t="e">
        <f ca="1"/>
        <v>#NAME?</v>
      </c>
      <c r="J197" s="1" t="s">
        <v>42</v>
      </c>
      <c r="K197" s="1" t="s">
        <v>76</v>
      </c>
      <c r="L197" s="1" t="s">
        <v>33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>
        <v>186</v>
      </c>
      <c r="C198" s="1">
        <v>87</v>
      </c>
      <c r="D198" s="1">
        <v>66</v>
      </c>
      <c r="E198" s="1">
        <v>4</v>
      </c>
      <c r="F198" s="1">
        <v>4</v>
      </c>
      <c r="G198" s="1">
        <v>131.81</v>
      </c>
      <c r="H198" s="1" t="s">
        <v>24</v>
      </c>
      <c r="I198" s="1" t="e">
        <f ca="1"/>
        <v>#NAME?</v>
      </c>
      <c r="J198" s="1" t="s">
        <v>42</v>
      </c>
      <c r="K198" s="1" t="s">
        <v>76</v>
      </c>
      <c r="L198" s="1" t="s">
        <v>22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>
        <v>187</v>
      </c>
      <c r="C199" s="1">
        <v>11</v>
      </c>
      <c r="D199" s="1">
        <v>22</v>
      </c>
      <c r="E199" s="1">
        <v>2</v>
      </c>
      <c r="F199" s="1">
        <v>0</v>
      </c>
      <c r="G199" s="1">
        <v>50</v>
      </c>
      <c r="H199" s="1" t="s">
        <v>24</v>
      </c>
      <c r="I199" s="1" t="e">
        <f ca="1"/>
        <v>#NAME?</v>
      </c>
      <c r="J199" s="1" t="s">
        <v>42</v>
      </c>
      <c r="K199" s="1" t="s">
        <v>77</v>
      </c>
      <c r="L199" s="1" t="s">
        <v>22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>
        <v>188</v>
      </c>
      <c r="C200" s="1">
        <v>3</v>
      </c>
      <c r="D200" s="1">
        <v>12</v>
      </c>
      <c r="E200" s="1">
        <v>0</v>
      </c>
      <c r="F200" s="1">
        <v>0</v>
      </c>
      <c r="G200" s="1">
        <v>25</v>
      </c>
      <c r="H200" s="1" t="s">
        <v>24</v>
      </c>
      <c r="I200" s="1" t="e">
        <f ca="1"/>
        <v>#NAME?</v>
      </c>
      <c r="J200" s="1" t="s">
        <v>42</v>
      </c>
      <c r="K200" s="1" t="s">
        <v>77</v>
      </c>
      <c r="L200" s="1" t="s">
        <v>22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>
        <v>189</v>
      </c>
      <c r="C201" s="1">
        <v>111</v>
      </c>
      <c r="D201" s="1">
        <v>115</v>
      </c>
      <c r="E201" s="1">
        <v>12</v>
      </c>
      <c r="F201" s="1">
        <v>2</v>
      </c>
      <c r="G201" s="1">
        <v>96.52</v>
      </c>
      <c r="H201" s="1" t="s">
        <v>32</v>
      </c>
      <c r="I201" s="1" t="e">
        <f ca="1"/>
        <v>#NAME?</v>
      </c>
      <c r="J201" s="1" t="s">
        <v>42</v>
      </c>
      <c r="K201" s="1" t="s">
        <v>78</v>
      </c>
      <c r="L201" s="1" t="s">
        <v>33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>
        <v>190</v>
      </c>
      <c r="C202" s="1">
        <v>82</v>
      </c>
      <c r="D202" s="1">
        <v>70</v>
      </c>
      <c r="E202" s="1">
        <v>10</v>
      </c>
      <c r="F202" s="1">
        <v>1</v>
      </c>
      <c r="G202" s="1">
        <v>117.14</v>
      </c>
      <c r="H202" s="1" t="s">
        <v>32</v>
      </c>
      <c r="I202" s="1" t="e">
        <f ca="1"/>
        <v>#NAME?</v>
      </c>
      <c r="J202" s="1" t="s">
        <v>20</v>
      </c>
      <c r="K202" s="1" t="s">
        <v>21</v>
      </c>
      <c r="L202" s="1" t="s">
        <v>33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>
        <v>191</v>
      </c>
      <c r="C203" s="1">
        <v>4</v>
      </c>
      <c r="D203" s="1">
        <v>2</v>
      </c>
      <c r="E203" s="1">
        <v>1</v>
      </c>
      <c r="F203" s="1">
        <v>0</v>
      </c>
      <c r="G203" s="1">
        <v>200</v>
      </c>
      <c r="H203" s="1" t="s">
        <v>29</v>
      </c>
      <c r="I203" s="1" t="e">
        <f ca="1"/>
        <v>#NAME?</v>
      </c>
      <c r="J203" s="1" t="s">
        <v>20</v>
      </c>
      <c r="K203" s="1" t="s">
        <v>95</v>
      </c>
      <c r="L203" s="1" t="s">
        <v>22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>
        <v>192</v>
      </c>
      <c r="C204" s="1">
        <v>3</v>
      </c>
      <c r="D204" s="1">
        <v>11</v>
      </c>
      <c r="E204" s="1">
        <v>0</v>
      </c>
      <c r="F204" s="1">
        <v>0</v>
      </c>
      <c r="G204" s="1">
        <v>27.27</v>
      </c>
      <c r="H204" s="1" t="s">
        <v>24</v>
      </c>
      <c r="I204" s="1" t="e">
        <f ca="1"/>
        <v>#NAME?</v>
      </c>
      <c r="J204" s="1" t="s">
        <v>20</v>
      </c>
      <c r="K204" s="1" t="s">
        <v>95</v>
      </c>
      <c r="L204" s="1" t="s">
        <v>22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>
        <v>193</v>
      </c>
      <c r="C205" s="1">
        <v>131</v>
      </c>
      <c r="D205" s="1">
        <v>96</v>
      </c>
      <c r="E205" s="1">
        <v>17</v>
      </c>
      <c r="F205" s="1">
        <v>2</v>
      </c>
      <c r="G205" s="1">
        <v>136.44999999999999</v>
      </c>
      <c r="H205" s="1" t="s">
        <v>24</v>
      </c>
      <c r="I205" s="1" t="e">
        <f ca="1"/>
        <v>#NAME?</v>
      </c>
      <c r="J205" s="1" t="s">
        <v>20</v>
      </c>
      <c r="K205" s="1" t="s">
        <v>27</v>
      </c>
      <c r="L205" s="1" t="s">
        <v>22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>
        <v>194</v>
      </c>
      <c r="C206" s="1">
        <v>110</v>
      </c>
      <c r="D206" s="1">
        <v>116</v>
      </c>
      <c r="E206" s="1">
        <v>9</v>
      </c>
      <c r="F206" s="1">
        <v>0</v>
      </c>
      <c r="G206" s="1">
        <v>94.82</v>
      </c>
      <c r="H206" s="1" t="s">
        <v>32</v>
      </c>
      <c r="I206" s="1" t="e">
        <f ca="1"/>
        <v>#NAME?</v>
      </c>
      <c r="J206" s="1" t="s">
        <v>20</v>
      </c>
      <c r="K206" s="1" t="s">
        <v>27</v>
      </c>
      <c r="L206" s="1" t="s">
        <v>33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>
        <v>195</v>
      </c>
      <c r="C207" s="1">
        <v>0</v>
      </c>
      <c r="D207" s="1">
        <v>4</v>
      </c>
      <c r="E207" s="1">
        <v>0</v>
      </c>
      <c r="F207" s="1">
        <v>0</v>
      </c>
      <c r="G207" s="1">
        <v>0</v>
      </c>
      <c r="H207" s="1" t="s">
        <v>24</v>
      </c>
      <c r="I207" s="1" t="e">
        <f ca="1"/>
        <v>#NAME?</v>
      </c>
      <c r="J207" s="1" t="s">
        <v>40</v>
      </c>
      <c r="K207" s="1" t="s">
        <v>68</v>
      </c>
      <c r="L207" s="1" t="s">
        <v>22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>
        <v>196</v>
      </c>
      <c r="C208" s="1">
        <v>92</v>
      </c>
      <c r="D208" s="1">
        <v>107</v>
      </c>
      <c r="E208" s="1">
        <v>8</v>
      </c>
      <c r="F208" s="1">
        <v>0</v>
      </c>
      <c r="G208" s="1">
        <v>85.98</v>
      </c>
      <c r="H208" s="1" t="s">
        <v>29</v>
      </c>
      <c r="I208" s="1" t="e">
        <f ca="1"/>
        <v>#NAME?</v>
      </c>
      <c r="J208" s="1" t="s">
        <v>40</v>
      </c>
      <c r="K208" s="1" t="s">
        <v>51</v>
      </c>
      <c r="L208" s="1" t="s">
        <v>22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>
        <v>197</v>
      </c>
      <c r="C209" s="1">
        <v>28</v>
      </c>
      <c r="D209" s="1">
        <v>35</v>
      </c>
      <c r="E209" s="1">
        <v>2</v>
      </c>
      <c r="F209" s="1">
        <v>0</v>
      </c>
      <c r="G209" s="1">
        <v>80</v>
      </c>
      <c r="H209" s="1" t="s">
        <v>24</v>
      </c>
      <c r="I209" s="1" t="e">
        <f ca="1"/>
        <v>#NAME?</v>
      </c>
      <c r="J209" s="1" t="s">
        <v>40</v>
      </c>
      <c r="K209" s="1" t="s">
        <v>87</v>
      </c>
      <c r="L209" s="1" t="s">
        <v>22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>
        <v>198</v>
      </c>
      <c r="C210" s="1">
        <v>21</v>
      </c>
      <c r="D210" s="1">
        <v>21</v>
      </c>
      <c r="E210" s="1">
        <v>3</v>
      </c>
      <c r="F210" s="1">
        <v>0</v>
      </c>
      <c r="G210" s="1">
        <v>100</v>
      </c>
      <c r="H210" s="1" t="s">
        <v>29</v>
      </c>
      <c r="I210" s="1" t="e">
        <f ca="1"/>
        <v>#NAME?</v>
      </c>
      <c r="J210" s="1" t="s">
        <v>40</v>
      </c>
      <c r="K210" s="1" t="s">
        <v>67</v>
      </c>
      <c r="L210" s="1" t="s">
        <v>22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>
        <v>199</v>
      </c>
      <c r="C211" s="1">
        <v>39</v>
      </c>
      <c r="D211" s="1">
        <v>55</v>
      </c>
      <c r="E211" s="1">
        <v>2</v>
      </c>
      <c r="F211" s="1">
        <v>0</v>
      </c>
      <c r="G211" s="1">
        <v>70.900000000000006</v>
      </c>
      <c r="H211" s="1" t="s">
        <v>24</v>
      </c>
      <c r="I211" s="1" t="e">
        <f ca="1"/>
        <v>#NAME?</v>
      </c>
      <c r="J211" s="1" t="s">
        <v>40</v>
      </c>
      <c r="K211" s="1" t="s">
        <v>50</v>
      </c>
      <c r="L211" s="1" t="s">
        <v>22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>
        <v>200</v>
      </c>
      <c r="C212" s="1">
        <v>121</v>
      </c>
      <c r="D212" s="1">
        <v>125</v>
      </c>
      <c r="E212" s="1">
        <v>9</v>
      </c>
      <c r="F212" s="1">
        <v>2</v>
      </c>
      <c r="G212" s="1">
        <v>96.8</v>
      </c>
      <c r="H212" s="1" t="s">
        <v>24</v>
      </c>
      <c r="I212" s="1" t="e">
        <f ca="1"/>
        <v>#NAME?</v>
      </c>
      <c r="J212" s="1" t="s">
        <v>64</v>
      </c>
      <c r="K212" s="1" t="s">
        <v>75</v>
      </c>
      <c r="L212" s="1" t="s">
        <v>22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>
        <v>201</v>
      </c>
      <c r="C213" s="1">
        <v>29</v>
      </c>
      <c r="D213" s="1">
        <v>29</v>
      </c>
      <c r="E213" s="1">
        <v>3</v>
      </c>
      <c r="F213" s="1">
        <v>1</v>
      </c>
      <c r="G213" s="1">
        <v>100</v>
      </c>
      <c r="H213" s="1" t="s">
        <v>24</v>
      </c>
      <c r="I213" s="1" t="e">
        <f ca="1"/>
        <v>#NAME?</v>
      </c>
      <c r="J213" s="1" t="s">
        <v>64</v>
      </c>
      <c r="K213" s="1" t="s">
        <v>100</v>
      </c>
      <c r="L213" s="1" t="s">
        <v>22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>
        <v>202</v>
      </c>
      <c r="C214" s="1">
        <v>113</v>
      </c>
      <c r="D214" s="1">
        <v>106</v>
      </c>
      <c r="E214" s="1">
        <v>9</v>
      </c>
      <c r="F214" s="1">
        <v>1</v>
      </c>
      <c r="G214" s="1">
        <v>106.6</v>
      </c>
      <c r="H214" s="1" t="s">
        <v>24</v>
      </c>
      <c r="I214" s="1" t="e">
        <f ca="1"/>
        <v>#NAME?</v>
      </c>
      <c r="J214" s="1" t="s">
        <v>64</v>
      </c>
      <c r="K214" s="1" t="s">
        <v>101</v>
      </c>
      <c r="L214" s="1" t="s">
        <v>22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>
        <v>203</v>
      </c>
      <c r="C215" s="1">
        <v>112</v>
      </c>
      <c r="D215" s="1">
        <v>119</v>
      </c>
      <c r="E215" s="1">
        <v>10</v>
      </c>
      <c r="F215" s="1">
        <v>0</v>
      </c>
      <c r="G215" s="1">
        <v>94.11</v>
      </c>
      <c r="H215" s="1" t="s">
        <v>24</v>
      </c>
      <c r="I215" s="1" t="e">
        <f ca="1"/>
        <v>#NAME?</v>
      </c>
      <c r="J215" s="1" t="s">
        <v>55</v>
      </c>
      <c r="K215" s="1" t="s">
        <v>69</v>
      </c>
      <c r="L215" s="1" t="s">
        <v>22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>
        <v>204</v>
      </c>
      <c r="C216" s="1">
        <v>46</v>
      </c>
      <c r="D216" s="1">
        <v>50</v>
      </c>
      <c r="E216" s="1">
        <v>4</v>
      </c>
      <c r="F216" s="1">
        <v>1</v>
      </c>
      <c r="G216" s="1">
        <v>92</v>
      </c>
      <c r="H216" s="1" t="s">
        <v>32</v>
      </c>
      <c r="I216" s="1" t="e">
        <f ca="1"/>
        <v>#NAME?</v>
      </c>
      <c r="J216" s="1" t="s">
        <v>55</v>
      </c>
      <c r="K216" s="1" t="s">
        <v>36</v>
      </c>
      <c r="L216" s="1" t="s">
        <v>33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>
        <v>205</v>
      </c>
      <c r="C217" s="1">
        <v>160</v>
      </c>
      <c r="D217" s="1">
        <v>159</v>
      </c>
      <c r="E217" s="1">
        <v>12</v>
      </c>
      <c r="F217" s="1">
        <v>2</v>
      </c>
      <c r="G217" s="1">
        <v>100.62</v>
      </c>
      <c r="H217" s="1" t="s">
        <v>32</v>
      </c>
      <c r="I217" s="1" t="e">
        <f ca="1"/>
        <v>#NAME?</v>
      </c>
      <c r="J217" s="1" t="s">
        <v>55</v>
      </c>
      <c r="K217" s="1" t="s">
        <v>70</v>
      </c>
      <c r="L217" s="1" t="s">
        <v>33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>
        <v>206</v>
      </c>
      <c r="C218" s="1">
        <v>75</v>
      </c>
      <c r="D218" s="1">
        <v>83</v>
      </c>
      <c r="E218" s="1">
        <v>7</v>
      </c>
      <c r="F218" s="1">
        <v>1</v>
      </c>
      <c r="G218" s="1">
        <v>90.36</v>
      </c>
      <c r="H218" s="1" t="s">
        <v>24</v>
      </c>
      <c r="I218" s="1" t="e">
        <f ca="1"/>
        <v>#NAME?</v>
      </c>
      <c r="J218" s="1" t="s">
        <v>55</v>
      </c>
      <c r="K218" s="1" t="s">
        <v>43</v>
      </c>
      <c r="L218" s="1" t="s">
        <v>22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>
        <v>207</v>
      </c>
      <c r="C219" s="1">
        <v>36</v>
      </c>
      <c r="D219" s="1">
        <v>54</v>
      </c>
      <c r="E219" s="1">
        <v>2</v>
      </c>
      <c r="F219" s="1">
        <v>0</v>
      </c>
      <c r="G219" s="1">
        <v>66.66</v>
      </c>
      <c r="H219" s="1" t="s">
        <v>26</v>
      </c>
      <c r="I219" s="1" t="e">
        <f ca="1"/>
        <v>#NAME?</v>
      </c>
      <c r="J219" s="1" t="s">
        <v>55</v>
      </c>
      <c r="K219" s="1" t="s">
        <v>71</v>
      </c>
      <c r="L219" s="1" t="s">
        <v>22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>
        <v>208</v>
      </c>
      <c r="C220" s="1">
        <v>129</v>
      </c>
      <c r="D220" s="1">
        <v>96</v>
      </c>
      <c r="E220" s="1">
        <v>19</v>
      </c>
      <c r="F220" s="1">
        <v>2</v>
      </c>
      <c r="G220" s="1">
        <v>134.37</v>
      </c>
      <c r="H220" s="1" t="s">
        <v>32</v>
      </c>
      <c r="I220" s="1" t="e">
        <f ca="1"/>
        <v>#NAME?</v>
      </c>
      <c r="J220" s="1" t="s">
        <v>55</v>
      </c>
      <c r="K220" s="1" t="s">
        <v>36</v>
      </c>
      <c r="L220" s="1" t="s">
        <v>33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>
        <v>209</v>
      </c>
      <c r="C221" s="1">
        <v>75</v>
      </c>
      <c r="D221" s="1">
        <v>82</v>
      </c>
      <c r="E221" s="1">
        <v>7</v>
      </c>
      <c r="F221" s="1">
        <v>0</v>
      </c>
      <c r="G221" s="1">
        <v>91.46</v>
      </c>
      <c r="H221" s="1" t="s">
        <v>63</v>
      </c>
      <c r="I221" s="1" t="e">
        <f ca="1"/>
        <v>#NAME?</v>
      </c>
      <c r="J221" s="1" t="s">
        <v>72</v>
      </c>
      <c r="K221" s="1" t="s">
        <v>108</v>
      </c>
      <c r="L221" s="1" t="s">
        <v>22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>
        <v>210</v>
      </c>
      <c r="C222" s="1">
        <v>45</v>
      </c>
      <c r="D222" s="1">
        <v>56</v>
      </c>
      <c r="E222" s="1">
        <v>2</v>
      </c>
      <c r="F222" s="1">
        <v>0</v>
      </c>
      <c r="G222" s="1">
        <v>80.349999999999994</v>
      </c>
      <c r="H222" s="1" t="s">
        <v>19</v>
      </c>
      <c r="I222" s="1" t="e">
        <f ca="1"/>
        <v>#NAME?</v>
      </c>
      <c r="J222" s="1" t="s">
        <v>72</v>
      </c>
      <c r="K222" s="1" t="s">
        <v>82</v>
      </c>
      <c r="L222" s="1" t="s">
        <v>22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>
        <v>211</v>
      </c>
      <c r="C223" s="1">
        <v>71</v>
      </c>
      <c r="D223" s="1">
        <v>72</v>
      </c>
      <c r="E223" s="1">
        <v>8</v>
      </c>
      <c r="F223" s="1">
        <v>0</v>
      </c>
      <c r="G223" s="1">
        <v>98.61</v>
      </c>
      <c r="H223" s="1" t="s">
        <v>29</v>
      </c>
      <c r="I223" s="1" t="e">
        <f ca="1"/>
        <v>#NAME?</v>
      </c>
      <c r="J223" s="1" t="s">
        <v>72</v>
      </c>
      <c r="K223" s="1" t="s">
        <v>109</v>
      </c>
      <c r="L223" s="1" t="s">
        <v>22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>
        <v>212</v>
      </c>
      <c r="C224" s="1">
        <v>140</v>
      </c>
      <c r="D224" s="1">
        <v>107</v>
      </c>
      <c r="E224" s="1">
        <v>21</v>
      </c>
      <c r="F224" s="1">
        <v>2</v>
      </c>
      <c r="G224" s="1">
        <v>130.84</v>
      </c>
      <c r="H224" s="1" t="s">
        <v>63</v>
      </c>
      <c r="I224" s="1" t="e">
        <f ca="1"/>
        <v>#NAME?</v>
      </c>
      <c r="J224" s="1" t="s">
        <v>42</v>
      </c>
      <c r="K224" s="1" t="s">
        <v>66</v>
      </c>
      <c r="L224" s="1" t="s">
        <v>22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>
        <v>213</v>
      </c>
      <c r="C225" s="1">
        <v>157</v>
      </c>
      <c r="D225" s="1">
        <v>129</v>
      </c>
      <c r="E225" s="1">
        <v>13</v>
      </c>
      <c r="F225" s="1">
        <v>4</v>
      </c>
      <c r="G225" s="1">
        <v>121.7</v>
      </c>
      <c r="H225" s="1" t="s">
        <v>32</v>
      </c>
      <c r="I225" s="1" t="e">
        <f ca="1"/>
        <v>#NAME?</v>
      </c>
      <c r="J225" s="1" t="s">
        <v>42</v>
      </c>
      <c r="K225" s="1" t="s">
        <v>65</v>
      </c>
      <c r="L225" s="1" t="s">
        <v>33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>
        <v>214</v>
      </c>
      <c r="C226" s="1">
        <v>107</v>
      </c>
      <c r="D226" s="1">
        <v>119</v>
      </c>
      <c r="E226" s="1">
        <v>10</v>
      </c>
      <c r="F226" s="1">
        <v>1</v>
      </c>
      <c r="G226" s="1">
        <v>89.91</v>
      </c>
      <c r="H226" s="1" t="s">
        <v>29</v>
      </c>
      <c r="I226" s="1" t="e">
        <f ca="1"/>
        <v>#NAME?</v>
      </c>
      <c r="J226" s="1" t="s">
        <v>42</v>
      </c>
      <c r="K226" s="1" t="s">
        <v>100</v>
      </c>
      <c r="L226" s="1" t="s">
        <v>22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>
        <v>215</v>
      </c>
      <c r="C227" s="1">
        <v>16</v>
      </c>
      <c r="D227" s="1">
        <v>17</v>
      </c>
      <c r="E227" s="1">
        <v>2</v>
      </c>
      <c r="F227" s="1">
        <v>0</v>
      </c>
      <c r="G227" s="1">
        <v>94.11</v>
      </c>
      <c r="H227" s="1" t="s">
        <v>24</v>
      </c>
      <c r="I227" s="1" t="e">
        <f ca="1"/>
        <v>#NAME?</v>
      </c>
      <c r="J227" s="1" t="s">
        <v>42</v>
      </c>
      <c r="K227" s="1" t="s">
        <v>112</v>
      </c>
      <c r="L227" s="1" t="s">
        <v>22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>
        <v>216</v>
      </c>
      <c r="C228" s="1">
        <v>33</v>
      </c>
      <c r="D228" s="1">
        <v>29</v>
      </c>
      <c r="E228" s="1">
        <v>6</v>
      </c>
      <c r="F228" s="1">
        <v>0</v>
      </c>
      <c r="G228" s="1">
        <v>113.79</v>
      </c>
      <c r="H228" s="1" t="s">
        <v>32</v>
      </c>
      <c r="I228" s="1" t="e">
        <f ca="1"/>
        <v>#NAME?</v>
      </c>
      <c r="J228" s="1" t="s">
        <v>42</v>
      </c>
      <c r="K228" s="1" t="s">
        <v>113</v>
      </c>
      <c r="L228" s="1" t="s">
        <v>33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>
        <v>217</v>
      </c>
      <c r="C229" s="1">
        <v>3</v>
      </c>
      <c r="D229" s="1">
        <v>8</v>
      </c>
      <c r="E229" s="1">
        <v>0</v>
      </c>
      <c r="F229" s="1">
        <v>0</v>
      </c>
      <c r="G229" s="1">
        <v>37.5</v>
      </c>
      <c r="H229" s="1" t="s">
        <v>24</v>
      </c>
      <c r="I229" s="1" t="e">
        <f ca="1"/>
        <v>#NAME?</v>
      </c>
      <c r="J229" s="1" t="s">
        <v>40</v>
      </c>
      <c r="K229" s="1" t="s">
        <v>92</v>
      </c>
      <c r="L229" s="1" t="s">
        <v>22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>
        <v>218</v>
      </c>
      <c r="C230" s="1">
        <v>104</v>
      </c>
      <c r="D230" s="1">
        <v>112</v>
      </c>
      <c r="E230" s="1">
        <v>5</v>
      </c>
      <c r="F230" s="1">
        <v>2</v>
      </c>
      <c r="G230" s="1">
        <v>92.85</v>
      </c>
      <c r="H230" s="1" t="s">
        <v>24</v>
      </c>
      <c r="I230" s="1" t="e">
        <f ca="1"/>
        <v>#NAME?</v>
      </c>
      <c r="J230" s="1" t="s">
        <v>40</v>
      </c>
      <c r="K230" s="1" t="s">
        <v>90</v>
      </c>
      <c r="L230" s="1" t="s">
        <v>22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>
        <v>219</v>
      </c>
      <c r="C231" s="1">
        <v>46</v>
      </c>
      <c r="D231" s="1">
        <v>62</v>
      </c>
      <c r="E231" s="1">
        <v>3</v>
      </c>
      <c r="F231" s="1">
        <v>0</v>
      </c>
      <c r="G231" s="1">
        <v>74.19</v>
      </c>
      <c r="H231" s="1" t="s">
        <v>24</v>
      </c>
      <c r="I231" s="1" t="e">
        <f ca="1"/>
        <v>#NAME?</v>
      </c>
      <c r="J231" s="1" t="s">
        <v>40</v>
      </c>
      <c r="K231" s="1" t="s">
        <v>88</v>
      </c>
      <c r="L231" s="1" t="s">
        <v>22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>
        <v>220</v>
      </c>
      <c r="C232" s="1">
        <v>45</v>
      </c>
      <c r="D232" s="1">
        <v>59</v>
      </c>
      <c r="E232" s="1">
        <v>3</v>
      </c>
      <c r="F232" s="1">
        <v>0</v>
      </c>
      <c r="G232" s="1">
        <v>76.27</v>
      </c>
      <c r="H232" s="1" t="s">
        <v>24</v>
      </c>
      <c r="I232" s="1" t="e">
        <f ca="1"/>
        <v>#NAME?</v>
      </c>
      <c r="J232" s="1" t="s">
        <v>64</v>
      </c>
      <c r="K232" s="1" t="s">
        <v>102</v>
      </c>
      <c r="L232" s="1" t="s">
        <v>22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>
        <v>221</v>
      </c>
      <c r="C233" s="1">
        <v>43</v>
      </c>
      <c r="D233" s="1">
        <v>45</v>
      </c>
      <c r="E233" s="1">
        <v>5</v>
      </c>
      <c r="F233" s="1">
        <v>0</v>
      </c>
      <c r="G233" s="1">
        <v>95.55</v>
      </c>
      <c r="H233" s="1" t="s">
        <v>24</v>
      </c>
      <c r="I233" s="1" t="e">
        <f ca="1"/>
        <v>#NAME?</v>
      </c>
      <c r="J233" s="1" t="s">
        <v>64</v>
      </c>
      <c r="K233" s="1" t="s">
        <v>114</v>
      </c>
      <c r="L233" s="1" t="s">
        <v>22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>
        <v>222</v>
      </c>
      <c r="C234" s="1">
        <v>60</v>
      </c>
      <c r="D234" s="1">
        <v>74</v>
      </c>
      <c r="E234" s="1">
        <v>6</v>
      </c>
      <c r="F234" s="1">
        <v>1</v>
      </c>
      <c r="G234" s="1">
        <v>81.08</v>
      </c>
      <c r="H234" s="1" t="s">
        <v>24</v>
      </c>
      <c r="I234" s="1" t="e">
        <f ca="1"/>
        <v>#NAME?</v>
      </c>
      <c r="J234" s="1" t="s">
        <v>64</v>
      </c>
      <c r="K234" s="1" t="s">
        <v>114</v>
      </c>
      <c r="L234" s="1" t="s">
        <v>22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>
        <v>223</v>
      </c>
      <c r="C235" s="1">
        <v>44</v>
      </c>
      <c r="D235" s="1">
        <v>45</v>
      </c>
      <c r="E235" s="1">
        <v>6</v>
      </c>
      <c r="F235" s="1">
        <v>1</v>
      </c>
      <c r="G235" s="1">
        <v>97.77</v>
      </c>
      <c r="H235" s="1" t="s">
        <v>19</v>
      </c>
      <c r="I235" s="1" t="e">
        <f ca="1"/>
        <v>#NAME?</v>
      </c>
      <c r="J235" s="1" t="s">
        <v>40</v>
      </c>
      <c r="K235" s="1" t="s">
        <v>85</v>
      </c>
      <c r="L235" s="1" t="s">
        <v>22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>
        <v>224</v>
      </c>
      <c r="C236" s="1">
        <v>116</v>
      </c>
      <c r="D236" s="1">
        <v>120</v>
      </c>
      <c r="E236" s="1">
        <v>10</v>
      </c>
      <c r="F236" s="1">
        <v>0</v>
      </c>
      <c r="G236" s="1">
        <v>96.66</v>
      </c>
      <c r="H236" s="1" t="s">
        <v>24</v>
      </c>
      <c r="I236" s="1" t="e">
        <f ca="1"/>
        <v>#NAME?</v>
      </c>
      <c r="J236" s="1" t="s">
        <v>40</v>
      </c>
      <c r="K236" s="1" t="s">
        <v>50</v>
      </c>
      <c r="L236" s="1" t="s">
        <v>22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>
        <v>225</v>
      </c>
      <c r="C237" s="1">
        <v>123</v>
      </c>
      <c r="D237" s="1">
        <v>95</v>
      </c>
      <c r="E237" s="1">
        <v>16</v>
      </c>
      <c r="F237" s="1">
        <v>1</v>
      </c>
      <c r="G237" s="1">
        <v>129.47</v>
      </c>
      <c r="H237" s="1" t="s">
        <v>29</v>
      </c>
      <c r="I237" s="1" t="e">
        <f ca="1"/>
        <v>#NAME?</v>
      </c>
      <c r="J237" s="1" t="s">
        <v>40</v>
      </c>
      <c r="K237" s="1" t="s">
        <v>97</v>
      </c>
      <c r="L237" s="1" t="s">
        <v>22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>
        <v>226</v>
      </c>
      <c r="C238" s="1">
        <v>7</v>
      </c>
      <c r="D238" s="1">
        <v>6</v>
      </c>
      <c r="E238" s="1">
        <v>1</v>
      </c>
      <c r="F238" s="1">
        <v>0</v>
      </c>
      <c r="G238" s="1">
        <v>116.66</v>
      </c>
      <c r="H238" s="1" t="s">
        <v>24</v>
      </c>
      <c r="I238" s="1" t="e">
        <f ca="1"/>
        <v>#NAME?</v>
      </c>
      <c r="J238" s="1" t="s">
        <v>40</v>
      </c>
      <c r="K238" s="1" t="s">
        <v>46</v>
      </c>
      <c r="L238" s="1" t="s">
        <v>22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>
        <v>227</v>
      </c>
      <c r="C239" s="1">
        <v>20</v>
      </c>
      <c r="D239" s="1">
        <v>22</v>
      </c>
      <c r="E239" s="1">
        <v>2</v>
      </c>
      <c r="F239" s="1">
        <v>0</v>
      </c>
      <c r="G239" s="1">
        <v>90.9</v>
      </c>
      <c r="H239" s="1" t="s">
        <v>24</v>
      </c>
      <c r="I239" s="1" t="e">
        <f ca="1"/>
        <v>#NAME?</v>
      </c>
      <c r="J239" s="1" t="s">
        <v>40</v>
      </c>
      <c r="K239" s="1" t="s">
        <v>52</v>
      </c>
      <c r="L239" s="1" t="s">
        <v>22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>
        <v>228</v>
      </c>
      <c r="C240" s="1">
        <v>18</v>
      </c>
      <c r="D240" s="1">
        <v>34</v>
      </c>
      <c r="E240" s="1">
        <v>1</v>
      </c>
      <c r="F240" s="1">
        <v>0</v>
      </c>
      <c r="G240" s="1">
        <v>52.94</v>
      </c>
      <c r="H240" s="1" t="s">
        <v>24</v>
      </c>
      <c r="I240" s="1" t="e">
        <f ca="1"/>
        <v>#NAME?</v>
      </c>
      <c r="J240" s="1" t="s">
        <v>55</v>
      </c>
      <c r="K240" s="1" t="s">
        <v>80</v>
      </c>
      <c r="L240" s="1" t="s">
        <v>22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>
        <v>229</v>
      </c>
      <c r="C241" s="1">
        <v>82</v>
      </c>
      <c r="D241" s="1">
        <v>77</v>
      </c>
      <c r="E241" s="1">
        <v>4</v>
      </c>
      <c r="F241" s="1">
        <v>2</v>
      </c>
      <c r="G241" s="1">
        <v>106.49</v>
      </c>
      <c r="H241" s="1" t="s">
        <v>24</v>
      </c>
      <c r="I241" s="1" t="e">
        <f ca="1"/>
        <v>#NAME?</v>
      </c>
      <c r="J241" s="1" t="s">
        <v>40</v>
      </c>
      <c r="K241" s="1" t="s">
        <v>81</v>
      </c>
      <c r="L241" s="1" t="s">
        <v>22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>
        <v>230</v>
      </c>
      <c r="C242" s="1">
        <v>77</v>
      </c>
      <c r="D242" s="1">
        <v>65</v>
      </c>
      <c r="E242" s="1">
        <v>7</v>
      </c>
      <c r="F242" s="1">
        <v>0</v>
      </c>
      <c r="G242" s="1">
        <v>118.46</v>
      </c>
      <c r="H242" s="1" t="s">
        <v>24</v>
      </c>
      <c r="I242" s="1" t="e">
        <f ca="1"/>
        <v>#NAME?</v>
      </c>
      <c r="J242" s="1" t="s">
        <v>35</v>
      </c>
      <c r="K242" s="1" t="s">
        <v>115</v>
      </c>
      <c r="L242" s="1" t="s">
        <v>22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>
        <v>231</v>
      </c>
      <c r="C243" s="1">
        <v>67</v>
      </c>
      <c r="D243" s="1">
        <v>63</v>
      </c>
      <c r="E243" s="1">
        <v>5</v>
      </c>
      <c r="F243" s="1">
        <v>0</v>
      </c>
      <c r="G243" s="1">
        <v>106.34</v>
      </c>
      <c r="H243" s="1" t="s">
        <v>24</v>
      </c>
      <c r="I243" s="1" t="e">
        <f ca="1"/>
        <v>#NAME?</v>
      </c>
      <c r="J243" s="1" t="s">
        <v>107</v>
      </c>
      <c r="K243" s="1" t="s">
        <v>80</v>
      </c>
      <c r="L243" s="1" t="s">
        <v>22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>
        <v>232</v>
      </c>
      <c r="C244" s="1">
        <v>72</v>
      </c>
      <c r="D244" s="1">
        <v>82</v>
      </c>
      <c r="E244" s="1">
        <v>8</v>
      </c>
      <c r="F244" s="1">
        <v>0</v>
      </c>
      <c r="G244" s="1">
        <v>87.8</v>
      </c>
      <c r="H244" s="1" t="s">
        <v>24</v>
      </c>
      <c r="I244" s="1" t="e">
        <f ca="1"/>
        <v>#NAME?</v>
      </c>
      <c r="J244" s="1" t="s">
        <v>42</v>
      </c>
      <c r="K244" s="1" t="s">
        <v>115</v>
      </c>
      <c r="L244" s="1" t="s">
        <v>22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>
        <v>233</v>
      </c>
      <c r="C245" s="1">
        <v>66</v>
      </c>
      <c r="D245" s="1">
        <v>76</v>
      </c>
      <c r="E245" s="1">
        <v>7</v>
      </c>
      <c r="F245" s="1">
        <v>0</v>
      </c>
      <c r="G245" s="1">
        <v>86.84</v>
      </c>
      <c r="H245" s="1" t="s">
        <v>24</v>
      </c>
      <c r="I245" s="1" t="e">
        <f ca="1"/>
        <v>#NAME?</v>
      </c>
      <c r="J245" s="1" t="s">
        <v>72</v>
      </c>
      <c r="K245" s="1" t="s">
        <v>99</v>
      </c>
      <c r="L245" s="1" t="s">
        <v>22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>
        <v>234</v>
      </c>
      <c r="C246" s="1">
        <v>26</v>
      </c>
      <c r="D246" s="1">
        <v>27</v>
      </c>
      <c r="E246" s="1">
        <v>3</v>
      </c>
      <c r="F246" s="1">
        <v>0</v>
      </c>
      <c r="G246" s="1">
        <v>96.29</v>
      </c>
      <c r="H246" s="1" t="s">
        <v>24</v>
      </c>
      <c r="I246" s="1" t="e">
        <f ca="1"/>
        <v>#NAME?</v>
      </c>
      <c r="J246" s="1" t="s">
        <v>54</v>
      </c>
      <c r="K246" s="1" t="s">
        <v>99</v>
      </c>
      <c r="L246" s="1" t="s">
        <v>22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>
        <v>235</v>
      </c>
      <c r="C247" s="1">
        <v>34</v>
      </c>
      <c r="D247" s="1">
        <v>41</v>
      </c>
      <c r="E247" s="1">
        <v>3</v>
      </c>
      <c r="F247" s="1">
        <v>0</v>
      </c>
      <c r="G247" s="1">
        <v>82.92</v>
      </c>
      <c r="H247" s="1" t="s">
        <v>32</v>
      </c>
      <c r="I247" s="1" t="e">
        <f ca="1"/>
        <v>#NAME?</v>
      </c>
      <c r="J247" s="1" t="s">
        <v>20</v>
      </c>
      <c r="K247" s="1" t="s">
        <v>109</v>
      </c>
      <c r="L247" s="1" t="s">
        <v>33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>
        <v>236</v>
      </c>
      <c r="C248" s="1">
        <v>1</v>
      </c>
      <c r="D248" s="1">
        <v>6</v>
      </c>
      <c r="E248" s="1">
        <v>0</v>
      </c>
      <c r="F248" s="1">
        <v>0</v>
      </c>
      <c r="G248" s="1">
        <v>16.66</v>
      </c>
      <c r="H248" s="1" t="s">
        <v>19</v>
      </c>
      <c r="I248" s="1" t="e">
        <f ca="1"/>
        <v>#NAME?</v>
      </c>
      <c r="J248" s="1" t="s">
        <v>64</v>
      </c>
      <c r="K248" s="1" t="s">
        <v>115</v>
      </c>
      <c r="L248" s="1" t="s">
        <v>22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>
        <v>237</v>
      </c>
      <c r="C249" s="1" t="s">
        <v>38</v>
      </c>
      <c r="D249" s="1" t="s">
        <v>39</v>
      </c>
      <c r="E249" s="1" t="s">
        <v>39</v>
      </c>
      <c r="F249" s="1" t="s">
        <v>39</v>
      </c>
      <c r="G249" s="1" t="s">
        <v>39</v>
      </c>
      <c r="H249" s="1" t="s">
        <v>39</v>
      </c>
      <c r="I249" s="1" t="e">
        <f ca="1"/>
        <v>#NAME?</v>
      </c>
      <c r="J249" s="1" t="s">
        <v>42</v>
      </c>
      <c r="K249" s="1" t="s">
        <v>116</v>
      </c>
      <c r="L249" s="1" t="s">
        <v>39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>
        <v>238</v>
      </c>
      <c r="C250" s="1">
        <v>120</v>
      </c>
      <c r="D250" s="1">
        <v>125</v>
      </c>
      <c r="E250" s="1">
        <v>14</v>
      </c>
      <c r="F250" s="1">
        <v>1</v>
      </c>
      <c r="G250" s="1">
        <v>96</v>
      </c>
      <c r="H250" s="1" t="s">
        <v>24</v>
      </c>
      <c r="I250" s="1" t="e">
        <f ca="1"/>
        <v>#NAME?</v>
      </c>
      <c r="J250" s="1" t="s">
        <v>42</v>
      </c>
      <c r="K250" s="1" t="s">
        <v>76</v>
      </c>
      <c r="L250" s="1" t="s">
        <v>22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>
        <v>239</v>
      </c>
      <c r="C251" s="1">
        <v>114</v>
      </c>
      <c r="D251" s="1">
        <v>99</v>
      </c>
      <c r="E251" s="1">
        <v>14</v>
      </c>
      <c r="F251" s="1">
        <v>0</v>
      </c>
      <c r="G251" s="1">
        <v>115.15</v>
      </c>
      <c r="H251" s="1" t="s">
        <v>32</v>
      </c>
      <c r="I251" s="1" t="e">
        <f ca="1"/>
        <v>#NAME?</v>
      </c>
      <c r="J251" s="1" t="s">
        <v>42</v>
      </c>
      <c r="K251" s="1" t="s">
        <v>76</v>
      </c>
      <c r="L251" s="1" t="s">
        <v>33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>
        <v>240</v>
      </c>
      <c r="C252" s="1">
        <v>4</v>
      </c>
      <c r="D252" s="1">
        <v>4</v>
      </c>
      <c r="E252" s="1">
        <v>1</v>
      </c>
      <c r="F252" s="1">
        <v>0</v>
      </c>
      <c r="G252" s="1">
        <v>100</v>
      </c>
      <c r="H252" s="1" t="s">
        <v>29</v>
      </c>
      <c r="I252" s="1" t="e">
        <f ca="1"/>
        <v>#NAME?</v>
      </c>
      <c r="J252" s="1" t="s">
        <v>42</v>
      </c>
      <c r="K252" s="1" t="s">
        <v>68</v>
      </c>
      <c r="L252" s="1" t="s">
        <v>22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>
        <v>241</v>
      </c>
      <c r="C253" s="1">
        <v>0</v>
      </c>
      <c r="D253" s="1">
        <v>1</v>
      </c>
      <c r="E253" s="1">
        <v>0</v>
      </c>
      <c r="F253" s="1">
        <v>0</v>
      </c>
      <c r="G253" s="1">
        <v>0</v>
      </c>
      <c r="H253" s="1" t="s">
        <v>24</v>
      </c>
      <c r="I253" s="1" t="e">
        <f ca="1"/>
        <v>#NAME?</v>
      </c>
      <c r="J253" s="1" t="s">
        <v>42</v>
      </c>
      <c r="K253" s="1" t="s">
        <v>65</v>
      </c>
      <c r="L253" s="1" t="s">
        <v>22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>
        <v>242</v>
      </c>
      <c r="C254" s="1">
        <v>85</v>
      </c>
      <c r="D254" s="1">
        <v>81</v>
      </c>
      <c r="E254" s="1">
        <v>9</v>
      </c>
      <c r="F254" s="1">
        <v>0</v>
      </c>
      <c r="G254" s="1">
        <v>104.93</v>
      </c>
      <c r="H254" s="1" t="s">
        <v>29</v>
      </c>
      <c r="I254" s="1" t="e">
        <f ca="1"/>
        <v>#NAME?</v>
      </c>
      <c r="J254" s="1" t="s">
        <v>42</v>
      </c>
      <c r="K254" s="1" t="s">
        <v>86</v>
      </c>
      <c r="L254" s="1" t="s">
        <v>22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>
        <v>243</v>
      </c>
      <c r="C255" s="1">
        <v>16</v>
      </c>
      <c r="D255" s="1">
        <v>14</v>
      </c>
      <c r="E255" s="1">
        <v>0</v>
      </c>
      <c r="F255" s="1">
        <v>1</v>
      </c>
      <c r="G255" s="1">
        <v>114.28</v>
      </c>
      <c r="H255" s="1" t="s">
        <v>24</v>
      </c>
      <c r="I255" s="1" t="e">
        <f ca="1"/>
        <v>#NAME?</v>
      </c>
      <c r="J255" s="1" t="s">
        <v>40</v>
      </c>
      <c r="K255" s="1" t="s">
        <v>75</v>
      </c>
      <c r="L255" s="1" t="s">
        <v>22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>
        <v>244</v>
      </c>
      <c r="C256" s="1">
        <v>78</v>
      </c>
      <c r="D256" s="1">
        <v>76</v>
      </c>
      <c r="E256" s="1">
        <v>6</v>
      </c>
      <c r="F256" s="1">
        <v>0</v>
      </c>
      <c r="G256" s="1">
        <v>102.63</v>
      </c>
      <c r="H256" s="1" t="s">
        <v>24</v>
      </c>
      <c r="I256" s="1" t="e">
        <f ca="1"/>
        <v>#NAME?</v>
      </c>
      <c r="J256" s="1" t="s">
        <v>40</v>
      </c>
      <c r="K256" s="1" t="s">
        <v>48</v>
      </c>
      <c r="L256" s="1" t="s">
        <v>22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>
        <v>245</v>
      </c>
      <c r="C257" s="1">
        <v>89</v>
      </c>
      <c r="D257" s="1">
        <v>91</v>
      </c>
      <c r="E257" s="1">
        <v>8</v>
      </c>
      <c r="F257" s="1">
        <v>0</v>
      </c>
      <c r="G257" s="1">
        <v>97.8</v>
      </c>
      <c r="H257" s="1" t="s">
        <v>29</v>
      </c>
      <c r="I257" s="1" t="e">
        <f ca="1"/>
        <v>#NAME?</v>
      </c>
      <c r="J257" s="1" t="s">
        <v>40</v>
      </c>
      <c r="K257" s="1" t="s">
        <v>67</v>
      </c>
      <c r="L257" s="1" t="s">
        <v>22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>
        <v>246</v>
      </c>
      <c r="C258" s="1">
        <v>51</v>
      </c>
      <c r="D258" s="1">
        <v>63</v>
      </c>
      <c r="E258" s="1">
        <v>6</v>
      </c>
      <c r="F258" s="1">
        <v>0</v>
      </c>
      <c r="G258" s="1">
        <v>80.95</v>
      </c>
      <c r="H258" s="1" t="s">
        <v>29</v>
      </c>
      <c r="I258" s="1" t="e">
        <f ca="1"/>
        <v>#NAME?</v>
      </c>
      <c r="J258" s="1" t="s">
        <v>64</v>
      </c>
      <c r="K258" s="1" t="s">
        <v>103</v>
      </c>
      <c r="L258" s="1" t="s">
        <v>22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>
        <v>247</v>
      </c>
      <c r="C259" s="1">
        <v>15</v>
      </c>
      <c r="D259" s="1">
        <v>25</v>
      </c>
      <c r="E259" s="1">
        <v>1</v>
      </c>
      <c r="F259" s="1">
        <v>0</v>
      </c>
      <c r="G259" s="1">
        <v>60</v>
      </c>
      <c r="H259" s="1" t="s">
        <v>29</v>
      </c>
      <c r="I259" s="1" t="e">
        <f ca="1"/>
        <v>#NAME?</v>
      </c>
      <c r="J259" s="1" t="s">
        <v>64</v>
      </c>
      <c r="K259" s="1" t="s">
        <v>104</v>
      </c>
      <c r="L259" s="1" t="s">
        <v>22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>
        <v>248</v>
      </c>
      <c r="C260" s="1">
        <v>9</v>
      </c>
      <c r="D260" s="1">
        <v>12</v>
      </c>
      <c r="E260" s="1">
        <v>0</v>
      </c>
      <c r="F260" s="1">
        <v>1</v>
      </c>
      <c r="G260" s="1">
        <v>75</v>
      </c>
      <c r="H260" s="1" t="s">
        <v>24</v>
      </c>
      <c r="I260" s="1" t="e">
        <f ca="1"/>
        <v>#NAME?</v>
      </c>
      <c r="J260" s="1" t="s">
        <v>64</v>
      </c>
      <c r="K260" s="1" t="s">
        <v>114</v>
      </c>
      <c r="L260" s="1" t="s">
        <v>22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>
        <v>249</v>
      </c>
      <c r="C261" s="1">
        <v>21</v>
      </c>
      <c r="D261" s="1">
        <v>21</v>
      </c>
      <c r="E261" s="1">
        <v>2</v>
      </c>
      <c r="F261" s="1">
        <v>1</v>
      </c>
      <c r="G261" s="1">
        <v>100</v>
      </c>
      <c r="H261" s="1" t="s">
        <v>24</v>
      </c>
      <c r="I261" s="1" t="e">
        <f ca="1"/>
        <v>#NAME?</v>
      </c>
      <c r="J261" s="1" t="s">
        <v>40</v>
      </c>
      <c r="K261" s="1" t="s">
        <v>92</v>
      </c>
      <c r="L261" s="1" t="s">
        <v>22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>
        <v>250</v>
      </c>
      <c r="C262" s="1">
        <v>89</v>
      </c>
      <c r="D262" s="1">
        <v>87</v>
      </c>
      <c r="E262" s="1">
        <v>7</v>
      </c>
      <c r="F262" s="1">
        <v>2</v>
      </c>
      <c r="G262" s="1">
        <v>102.29</v>
      </c>
      <c r="H262" s="1" t="s">
        <v>24</v>
      </c>
      <c r="I262" s="1" t="e">
        <f ca="1"/>
        <v>#NAME?</v>
      </c>
      <c r="J262" s="1" t="s">
        <v>40</v>
      </c>
      <c r="K262" s="1" t="s">
        <v>92</v>
      </c>
      <c r="L262" s="1" t="s">
        <v>22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>
        <v>251</v>
      </c>
      <c r="C263" s="1">
        <v>63</v>
      </c>
      <c r="D263" s="1">
        <v>78</v>
      </c>
      <c r="E263" s="1">
        <v>5</v>
      </c>
      <c r="F263" s="1">
        <v>0</v>
      </c>
      <c r="G263" s="1">
        <v>80.760000000000005</v>
      </c>
      <c r="H263" s="1" t="s">
        <v>24</v>
      </c>
      <c r="I263" s="1" t="e">
        <f ca="1"/>
        <v>#NAME?</v>
      </c>
      <c r="J263" s="1" t="s">
        <v>40</v>
      </c>
      <c r="K263" s="1" t="s">
        <v>111</v>
      </c>
      <c r="L263" s="1" t="s">
        <v>22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>
        <v>252</v>
      </c>
      <c r="C264" s="1">
        <v>56</v>
      </c>
      <c r="D264" s="1">
        <v>60</v>
      </c>
      <c r="E264" s="1">
        <v>6</v>
      </c>
      <c r="F264" s="1">
        <v>0</v>
      </c>
      <c r="G264" s="1">
        <v>93.33</v>
      </c>
      <c r="H264" s="1" t="s">
        <v>24</v>
      </c>
      <c r="I264" s="1" t="e">
        <f ca="1"/>
        <v>#NAME?</v>
      </c>
      <c r="J264" s="1" t="s">
        <v>72</v>
      </c>
      <c r="K264" s="1" t="s">
        <v>100</v>
      </c>
      <c r="L264" s="1" t="s">
        <v>22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>
        <v>253</v>
      </c>
      <c r="C265" s="1">
        <v>66</v>
      </c>
      <c r="D265" s="1">
        <v>79</v>
      </c>
      <c r="E265" s="1">
        <v>3</v>
      </c>
      <c r="F265" s="1">
        <v>1</v>
      </c>
      <c r="G265" s="1">
        <v>83.54</v>
      </c>
      <c r="H265" s="1" t="s">
        <v>24</v>
      </c>
      <c r="I265" s="1" t="e">
        <f ca="1"/>
        <v>#NAME?</v>
      </c>
      <c r="J265" s="1" t="s">
        <v>72</v>
      </c>
      <c r="K265" s="1" t="s">
        <v>100</v>
      </c>
      <c r="L265" s="1" t="s">
        <v>22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>
        <v>254</v>
      </c>
      <c r="C266" s="1">
        <v>7</v>
      </c>
      <c r="D266" s="1">
        <v>10</v>
      </c>
      <c r="E266" s="1">
        <v>1</v>
      </c>
      <c r="F266" s="1">
        <v>0</v>
      </c>
      <c r="G266" s="1">
        <v>70</v>
      </c>
      <c r="H266" s="1" t="s">
        <v>29</v>
      </c>
      <c r="I266" s="1" t="e">
        <f ca="1"/>
        <v>#NAME?</v>
      </c>
      <c r="J266" s="1" t="s">
        <v>72</v>
      </c>
      <c r="K266" s="1" t="s">
        <v>100</v>
      </c>
      <c r="L266" s="1" t="s">
        <v>22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>
        <v>255</v>
      </c>
      <c r="C267" s="1">
        <v>51</v>
      </c>
      <c r="D267" s="1">
        <v>63</v>
      </c>
      <c r="E267" s="1">
        <v>3</v>
      </c>
      <c r="F267" s="1">
        <v>0</v>
      </c>
      <c r="G267" s="1">
        <v>80.95</v>
      </c>
      <c r="H267" s="1" t="s">
        <v>24</v>
      </c>
      <c r="I267" s="1" t="e">
        <f ca="1"/>
        <v>#NAME?</v>
      </c>
      <c r="J267" s="1" t="s">
        <v>55</v>
      </c>
      <c r="K267" s="1" t="s">
        <v>117</v>
      </c>
      <c r="L267" s="1" t="s">
        <v>22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>
        <v>256</v>
      </c>
      <c r="C268" s="1">
        <v>0</v>
      </c>
      <c r="D268" s="1">
        <v>5</v>
      </c>
      <c r="E268" s="1">
        <v>0</v>
      </c>
      <c r="F268" s="1">
        <v>0</v>
      </c>
      <c r="G268" s="1">
        <v>0</v>
      </c>
      <c r="H268" s="1" t="s">
        <v>24</v>
      </c>
      <c r="I268" s="1" t="e">
        <f ca="1"/>
        <v>#NAME?</v>
      </c>
      <c r="J268" s="1" t="s">
        <v>55</v>
      </c>
      <c r="K268" s="1" t="s">
        <v>117</v>
      </c>
      <c r="L268" s="1" t="s">
        <v>22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>
        <v>257</v>
      </c>
      <c r="C269" s="1">
        <v>65</v>
      </c>
      <c r="D269" s="1">
        <v>84</v>
      </c>
      <c r="E269" s="1">
        <v>5</v>
      </c>
      <c r="F269" s="1">
        <v>0</v>
      </c>
      <c r="G269" s="1">
        <v>77.38</v>
      </c>
      <c r="H269" s="1" t="s">
        <v>24</v>
      </c>
      <c r="I269" s="1" t="e">
        <f ca="1"/>
        <v>#NAME?</v>
      </c>
      <c r="J269" s="1" t="s">
        <v>55</v>
      </c>
      <c r="K269" s="1" t="s">
        <v>70</v>
      </c>
      <c r="L269" s="1" t="s">
        <v>22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>
        <v>258</v>
      </c>
      <c r="C270" s="1">
        <v>8</v>
      </c>
      <c r="D270" s="1">
        <v>4</v>
      </c>
      <c r="E270" s="1">
        <v>2</v>
      </c>
      <c r="F270" s="1">
        <v>0</v>
      </c>
      <c r="G270" s="1">
        <v>200</v>
      </c>
      <c r="H270" s="1" t="s">
        <v>24</v>
      </c>
      <c r="I270" s="1" t="e">
        <f ca="1"/>
        <v>#NAME?</v>
      </c>
      <c r="J270" s="1" t="s">
        <v>42</v>
      </c>
      <c r="K270" s="1" t="s">
        <v>59</v>
      </c>
      <c r="L270" s="1" t="s">
        <v>22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>
        <v>259</v>
      </c>
      <c r="C271" s="1">
        <v>18</v>
      </c>
      <c r="D271" s="1">
        <v>30</v>
      </c>
      <c r="E271" s="1">
        <v>3</v>
      </c>
      <c r="F271" s="1">
        <v>0</v>
      </c>
      <c r="G271" s="1">
        <v>60</v>
      </c>
      <c r="H271" s="1" t="s">
        <v>24</v>
      </c>
      <c r="I271" s="1" t="e">
        <f ca="1"/>
        <v>#NAME?</v>
      </c>
      <c r="J271" s="1" t="s">
        <v>42</v>
      </c>
      <c r="K271" s="1" t="s">
        <v>59</v>
      </c>
      <c r="L271" s="1" t="s">
        <v>22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>
        <v>260</v>
      </c>
      <c r="C272" s="1">
        <v>0</v>
      </c>
      <c r="D272" s="1">
        <v>2</v>
      </c>
      <c r="E272" s="1">
        <v>0</v>
      </c>
      <c r="F272" s="1">
        <v>0</v>
      </c>
      <c r="G272" s="1">
        <v>0</v>
      </c>
      <c r="H272" s="1" t="s">
        <v>24</v>
      </c>
      <c r="I272" s="1" t="e">
        <f ca="1"/>
        <v>#NAME?</v>
      </c>
      <c r="J272" s="1" t="s">
        <v>42</v>
      </c>
      <c r="K272" s="1" t="s">
        <v>59</v>
      </c>
      <c r="L272" s="1" t="s">
        <v>22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>
        <v>261</v>
      </c>
      <c r="C273" s="1">
        <v>16</v>
      </c>
      <c r="D273" s="1">
        <v>25</v>
      </c>
      <c r="E273" s="1">
        <v>3</v>
      </c>
      <c r="F273" s="1">
        <v>0</v>
      </c>
      <c r="G273" s="1">
        <v>64</v>
      </c>
      <c r="H273" s="1" t="s">
        <v>24</v>
      </c>
      <c r="I273" s="1" t="e">
        <f ca="1"/>
        <v>#NAME?</v>
      </c>
      <c r="J273" s="1" t="s">
        <v>72</v>
      </c>
      <c r="K273" s="1" t="s">
        <v>82</v>
      </c>
      <c r="L273" s="1" t="s">
        <v>22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>
        <v>262</v>
      </c>
      <c r="C274" s="1">
        <v>17</v>
      </c>
      <c r="D274" s="1">
        <v>22</v>
      </c>
      <c r="E274" s="1">
        <v>3</v>
      </c>
      <c r="F274" s="1">
        <v>0</v>
      </c>
      <c r="G274" s="1">
        <v>77.27</v>
      </c>
      <c r="H274" s="1" t="s">
        <v>24</v>
      </c>
      <c r="I274" s="1" t="e">
        <f ca="1"/>
        <v>#NAME?</v>
      </c>
      <c r="J274" s="1" t="s">
        <v>72</v>
      </c>
      <c r="K274" s="1" t="s">
        <v>115</v>
      </c>
      <c r="L274" s="1" t="s">
        <v>22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>
        <v>263</v>
      </c>
      <c r="C275" s="1">
        <v>9</v>
      </c>
      <c r="D275" s="1">
        <v>15</v>
      </c>
      <c r="E275" s="1">
        <v>1</v>
      </c>
      <c r="F275" s="1">
        <v>0</v>
      </c>
      <c r="G275" s="1">
        <v>60</v>
      </c>
      <c r="H275" s="1" t="s">
        <v>24</v>
      </c>
      <c r="I275" s="1" t="e">
        <f ca="1"/>
        <v>#NAME?</v>
      </c>
      <c r="J275" s="1" t="s">
        <v>54</v>
      </c>
      <c r="K275" s="1" t="s">
        <v>53</v>
      </c>
      <c r="L275" s="1" t="s">
        <v>22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>
        <v>264</v>
      </c>
      <c r="C276" s="1">
        <v>5</v>
      </c>
      <c r="D276" s="1">
        <v>6</v>
      </c>
      <c r="E276" s="1">
        <v>1</v>
      </c>
      <c r="F276" s="1">
        <v>0</v>
      </c>
      <c r="G276" s="1">
        <v>83.33</v>
      </c>
      <c r="H276" s="1" t="s">
        <v>29</v>
      </c>
      <c r="I276" s="1" t="e">
        <f ca="1"/>
        <v>#NAME?</v>
      </c>
      <c r="J276" s="1" t="s">
        <v>54</v>
      </c>
      <c r="K276" s="1" t="s">
        <v>53</v>
      </c>
      <c r="L276" s="1" t="s">
        <v>22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>
        <v>265</v>
      </c>
      <c r="C277" s="1">
        <v>113</v>
      </c>
      <c r="D277" s="1">
        <v>91</v>
      </c>
      <c r="E277" s="1">
        <v>11</v>
      </c>
      <c r="F277" s="1">
        <v>2</v>
      </c>
      <c r="G277" s="1">
        <v>124.17</v>
      </c>
      <c r="H277" s="1" t="s">
        <v>24</v>
      </c>
      <c r="I277" s="1" t="e">
        <f ca="1"/>
        <v>#NAME?</v>
      </c>
      <c r="J277" s="1" t="s">
        <v>54</v>
      </c>
      <c r="K277" s="1" t="s">
        <v>118</v>
      </c>
      <c r="L277" s="1" t="s">
        <v>22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>
        <v>266</v>
      </c>
      <c r="C278" s="1">
        <v>113</v>
      </c>
      <c r="D278" s="1">
        <v>87</v>
      </c>
      <c r="E278" s="1">
        <v>12</v>
      </c>
      <c r="F278" s="1">
        <v>1</v>
      </c>
      <c r="G278" s="1">
        <v>129.88</v>
      </c>
      <c r="H278" s="1" t="s">
        <v>24</v>
      </c>
      <c r="I278" s="1" t="e">
        <f ca="1"/>
        <v>#NAME?</v>
      </c>
      <c r="J278" s="1" t="s">
        <v>20</v>
      </c>
      <c r="K278" s="1" t="s">
        <v>66</v>
      </c>
      <c r="L278" s="1" t="s">
        <v>22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>
        <v>267</v>
      </c>
      <c r="C279" s="1">
        <v>4</v>
      </c>
      <c r="D279" s="1">
        <v>9</v>
      </c>
      <c r="E279" s="1">
        <v>1</v>
      </c>
      <c r="F279" s="1">
        <v>0</v>
      </c>
      <c r="G279" s="1">
        <v>44.44</v>
      </c>
      <c r="H279" s="1" t="s">
        <v>29</v>
      </c>
      <c r="I279" s="1" t="e">
        <f ca="1"/>
        <v>#NAME?</v>
      </c>
      <c r="J279" s="1" t="s">
        <v>20</v>
      </c>
      <c r="K279" s="1" t="s">
        <v>51</v>
      </c>
      <c r="L279" s="1" t="s">
        <v>22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>
        <v>268</v>
      </c>
      <c r="C280" s="1">
        <v>166</v>
      </c>
      <c r="D280" s="1">
        <v>110</v>
      </c>
      <c r="E280" s="1">
        <v>13</v>
      </c>
      <c r="F280" s="1">
        <v>8</v>
      </c>
      <c r="G280" s="1">
        <v>150.9</v>
      </c>
      <c r="H280" s="1" t="s">
        <v>32</v>
      </c>
      <c r="I280" s="1" t="e">
        <f ca="1"/>
        <v>#NAME?</v>
      </c>
      <c r="J280" s="1" t="s">
        <v>20</v>
      </c>
      <c r="K280" s="1" t="s">
        <v>113</v>
      </c>
      <c r="L280" s="1" t="s">
        <v>33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>
        <v>269</v>
      </c>
      <c r="C281" s="1">
        <v>8</v>
      </c>
      <c r="D281" s="1">
        <v>10</v>
      </c>
      <c r="E281" s="1">
        <v>1</v>
      </c>
      <c r="F281" s="1">
        <v>0</v>
      </c>
      <c r="G281" s="1">
        <v>80</v>
      </c>
      <c r="H281" s="1" t="s">
        <v>29</v>
      </c>
      <c r="I281" s="1" t="e">
        <f ca="1"/>
        <v>#NAME?</v>
      </c>
      <c r="J281" s="1" t="s">
        <v>64</v>
      </c>
      <c r="K281" s="1" t="s">
        <v>85</v>
      </c>
      <c r="L281" s="1" t="s">
        <v>22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>
        <v>270</v>
      </c>
      <c r="C282" s="1">
        <v>11</v>
      </c>
      <c r="D282" s="1">
        <v>9</v>
      </c>
      <c r="E282" s="1">
        <v>2</v>
      </c>
      <c r="F282" s="1">
        <v>0</v>
      </c>
      <c r="G282" s="1">
        <v>122.22</v>
      </c>
      <c r="H282" s="1" t="s">
        <v>63</v>
      </c>
      <c r="I282" s="1" t="e">
        <f ca="1"/>
        <v>#NAME?</v>
      </c>
      <c r="J282" s="1" t="s">
        <v>64</v>
      </c>
      <c r="K282" s="1" t="s">
        <v>119</v>
      </c>
      <c r="L282" s="1" t="s">
        <v>22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>
        <v>271</v>
      </c>
      <c r="C283" s="1">
        <v>36</v>
      </c>
      <c r="D283" s="1">
        <v>27</v>
      </c>
      <c r="E283" s="1">
        <v>3</v>
      </c>
      <c r="F283" s="1">
        <v>1</v>
      </c>
      <c r="G283" s="1">
        <v>133.33000000000001</v>
      </c>
      <c r="H283" s="1" t="s">
        <v>24</v>
      </c>
      <c r="I283" s="1" t="e">
        <f ca="1"/>
        <v>#NAME?</v>
      </c>
      <c r="J283" s="1" t="s">
        <v>64</v>
      </c>
      <c r="K283" s="1" t="s">
        <v>87</v>
      </c>
      <c r="L283" s="1" t="s">
        <v>22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>
        <v>272</v>
      </c>
      <c r="C284" s="1">
        <v>4</v>
      </c>
      <c r="D284" s="1">
        <v>9</v>
      </c>
      <c r="E284" s="1">
        <v>1</v>
      </c>
      <c r="F284" s="1">
        <v>0</v>
      </c>
      <c r="G284" s="1">
        <v>44.44</v>
      </c>
      <c r="H284" s="1" t="s">
        <v>19</v>
      </c>
      <c r="I284" s="1" t="e">
        <f ca="1"/>
        <v>#NAME?</v>
      </c>
      <c r="J284" s="1" t="s">
        <v>40</v>
      </c>
      <c r="K284" s="1" t="s">
        <v>75</v>
      </c>
      <c r="L284" s="1" t="s">
        <v>22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>
        <v>273</v>
      </c>
      <c r="C285" s="1">
        <v>31</v>
      </c>
      <c r="D285" s="1">
        <v>35</v>
      </c>
      <c r="E285" s="1">
        <v>4</v>
      </c>
      <c r="F285" s="1">
        <v>0</v>
      </c>
      <c r="G285" s="1">
        <v>88.57</v>
      </c>
      <c r="H285" s="1" t="s">
        <v>19</v>
      </c>
      <c r="I285" s="1" t="e">
        <f ca="1"/>
        <v>#NAME?</v>
      </c>
      <c r="J285" s="1" t="s">
        <v>40</v>
      </c>
      <c r="K285" s="1" t="s">
        <v>65</v>
      </c>
      <c r="L285" s="1" t="s">
        <v>22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>
        <v>274</v>
      </c>
      <c r="C286" s="1">
        <v>54</v>
      </c>
      <c r="D286" s="1">
        <v>72</v>
      </c>
      <c r="E286" s="1">
        <v>2</v>
      </c>
      <c r="F286" s="1">
        <v>1</v>
      </c>
      <c r="G286" s="1">
        <v>75</v>
      </c>
      <c r="H286" s="1" t="s">
        <v>24</v>
      </c>
      <c r="I286" s="1" t="e">
        <f ca="1"/>
        <v>#NAME?</v>
      </c>
      <c r="J286" s="1" t="s">
        <v>40</v>
      </c>
      <c r="K286" s="1" t="s">
        <v>68</v>
      </c>
      <c r="L286" s="1" t="s">
        <v>22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>
        <v>275</v>
      </c>
      <c r="C287" s="1" t="s">
        <v>57</v>
      </c>
      <c r="D287" s="1" t="s">
        <v>39</v>
      </c>
      <c r="E287" s="1" t="s">
        <v>39</v>
      </c>
      <c r="F287" s="1" t="s">
        <v>39</v>
      </c>
      <c r="G287" s="1" t="s">
        <v>39</v>
      </c>
      <c r="H287" s="1" t="s">
        <v>39</v>
      </c>
      <c r="I287" s="1" t="e">
        <f ca="1"/>
        <v>#NAME?</v>
      </c>
      <c r="J287" s="1" t="s">
        <v>42</v>
      </c>
      <c r="K287" s="1" t="s">
        <v>120</v>
      </c>
      <c r="L287" s="1" t="s">
        <v>39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>
        <v>276</v>
      </c>
      <c r="C288" s="1">
        <v>4</v>
      </c>
      <c r="D288" s="1">
        <v>7</v>
      </c>
      <c r="E288" s="1">
        <v>1</v>
      </c>
      <c r="F288" s="1">
        <v>0</v>
      </c>
      <c r="G288" s="1">
        <v>57.14</v>
      </c>
      <c r="H288" s="1" t="s">
        <v>29</v>
      </c>
      <c r="I288" s="1" t="e">
        <f ca="1"/>
        <v>#NAME?</v>
      </c>
      <c r="J288" s="1" t="s">
        <v>35</v>
      </c>
      <c r="K288" s="1" t="s">
        <v>95</v>
      </c>
      <c r="L288" s="1" t="s">
        <v>22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>
        <v>277</v>
      </c>
      <c r="C289" s="1" t="s">
        <v>57</v>
      </c>
      <c r="D289" s="1" t="s">
        <v>39</v>
      </c>
      <c r="E289" s="1" t="s">
        <v>39</v>
      </c>
      <c r="F289" s="1" t="s">
        <v>39</v>
      </c>
      <c r="G289" s="1" t="s">
        <v>39</v>
      </c>
      <c r="H289" s="1" t="s">
        <v>39</v>
      </c>
      <c r="I289" s="1" t="e">
        <f ca="1"/>
        <v>#NAME?</v>
      </c>
      <c r="J289" s="1" t="s">
        <v>121</v>
      </c>
      <c r="K289" s="1" t="s">
        <v>95</v>
      </c>
      <c r="L289" s="1" t="s">
        <v>39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>
        <v>278</v>
      </c>
      <c r="C290" s="1">
        <v>122</v>
      </c>
      <c r="D290" s="1">
        <v>94</v>
      </c>
      <c r="E290" s="1">
        <v>9</v>
      </c>
      <c r="F290" s="1">
        <v>3</v>
      </c>
      <c r="G290" s="1">
        <v>129.78</v>
      </c>
      <c r="H290" s="1" t="s">
        <v>32</v>
      </c>
      <c r="I290" s="1" t="e">
        <f ca="1"/>
        <v>#NAME?</v>
      </c>
      <c r="J290" s="1" t="s">
        <v>35</v>
      </c>
      <c r="K290" s="1" t="s">
        <v>27</v>
      </c>
      <c r="L290" s="1" t="s">
        <v>33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>
        <v>279</v>
      </c>
      <c r="C291" s="1">
        <v>3</v>
      </c>
      <c r="D291" s="1">
        <v>12</v>
      </c>
      <c r="E291" s="1">
        <v>0</v>
      </c>
      <c r="F291" s="1">
        <v>0</v>
      </c>
      <c r="G291" s="1">
        <v>25</v>
      </c>
      <c r="H291" s="1" t="s">
        <v>24</v>
      </c>
      <c r="I291" s="1" t="e">
        <f ca="1"/>
        <v>#NAME?</v>
      </c>
      <c r="J291" s="1" t="s">
        <v>20</v>
      </c>
      <c r="K291" s="1" t="s">
        <v>27</v>
      </c>
      <c r="L291" s="1" t="s">
        <v>22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>
        <v>280</v>
      </c>
      <c r="C292" s="1" t="s">
        <v>57</v>
      </c>
      <c r="D292" s="1" t="s">
        <v>39</v>
      </c>
      <c r="E292" s="1" t="s">
        <v>39</v>
      </c>
      <c r="F292" s="1" t="s">
        <v>39</v>
      </c>
      <c r="G292" s="1" t="s">
        <v>39</v>
      </c>
      <c r="H292" s="1" t="s">
        <v>39</v>
      </c>
      <c r="I292" s="1" t="e">
        <f ca="1"/>
        <v>#NAME?</v>
      </c>
      <c r="J292" s="1" t="s">
        <v>20</v>
      </c>
      <c r="K292" s="1" t="s">
        <v>27</v>
      </c>
      <c r="L292" s="1" t="s">
        <v>39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>
        <v>281</v>
      </c>
      <c r="C293" s="1">
        <v>56</v>
      </c>
      <c r="D293" s="1">
        <v>61</v>
      </c>
      <c r="E293" s="1">
        <v>5</v>
      </c>
      <c r="F293" s="1">
        <v>1</v>
      </c>
      <c r="G293" s="1">
        <v>91.8</v>
      </c>
      <c r="H293" s="1" t="s">
        <v>24</v>
      </c>
      <c r="I293" s="1" t="e">
        <f ca="1"/>
        <v>#NAME?</v>
      </c>
      <c r="J293" s="1" t="s">
        <v>40</v>
      </c>
      <c r="K293" s="1" t="s">
        <v>48</v>
      </c>
      <c r="L293" s="1" t="s">
        <v>22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>
        <v>282</v>
      </c>
      <c r="C294" s="1">
        <v>85</v>
      </c>
      <c r="D294" s="1">
        <v>116</v>
      </c>
      <c r="E294" s="1">
        <v>6</v>
      </c>
      <c r="F294" s="1">
        <v>0</v>
      </c>
      <c r="G294" s="1">
        <v>73.27</v>
      </c>
      <c r="H294" s="1" t="s">
        <v>24</v>
      </c>
      <c r="I294" s="1" t="e">
        <f ca="1"/>
        <v>#NAME?</v>
      </c>
      <c r="J294" s="1" t="s">
        <v>40</v>
      </c>
      <c r="K294" s="1" t="s">
        <v>68</v>
      </c>
      <c r="L294" s="1" t="s">
        <v>22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>
        <v>283</v>
      </c>
      <c r="C295" s="1">
        <v>55</v>
      </c>
      <c r="D295" s="1">
        <v>56</v>
      </c>
      <c r="E295" s="1">
        <v>6</v>
      </c>
      <c r="F295" s="1">
        <v>0</v>
      </c>
      <c r="G295" s="1">
        <v>98.21</v>
      </c>
      <c r="H295" s="1" t="s">
        <v>32</v>
      </c>
      <c r="I295" s="1" t="e">
        <f ca="1"/>
        <v>#NAME?</v>
      </c>
      <c r="J295" s="1" t="s">
        <v>107</v>
      </c>
      <c r="K295" s="1" t="s">
        <v>52</v>
      </c>
      <c r="L295" s="1" t="s">
        <v>33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>
        <v>284</v>
      </c>
      <c r="C296" s="1">
        <v>16</v>
      </c>
      <c r="D296" s="1">
        <v>18</v>
      </c>
      <c r="E296" s="1">
        <v>3</v>
      </c>
      <c r="F296" s="1">
        <v>0</v>
      </c>
      <c r="G296" s="1">
        <v>88.88</v>
      </c>
      <c r="H296" s="1" t="s">
        <v>24</v>
      </c>
      <c r="I296" s="1" t="e">
        <f ca="1"/>
        <v>#NAME?</v>
      </c>
      <c r="J296" s="1" t="s">
        <v>35</v>
      </c>
      <c r="K296" s="1" t="s">
        <v>59</v>
      </c>
      <c r="L296" s="1" t="s">
        <v>22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>
        <v>285</v>
      </c>
      <c r="C297" s="1">
        <v>103</v>
      </c>
      <c r="D297" s="1">
        <v>97</v>
      </c>
      <c r="E297" s="1">
        <v>6</v>
      </c>
      <c r="F297" s="1">
        <v>4</v>
      </c>
      <c r="G297" s="1">
        <v>106.18</v>
      </c>
      <c r="H297" s="1" t="s">
        <v>32</v>
      </c>
      <c r="I297" s="1" t="e">
        <f ca="1"/>
        <v>#NAME?</v>
      </c>
      <c r="J297" s="1" t="s">
        <v>54</v>
      </c>
      <c r="K297" s="1" t="s">
        <v>100</v>
      </c>
      <c r="L297" s="1" t="s">
        <v>33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>
        <v>286</v>
      </c>
      <c r="C298" s="1">
        <v>95</v>
      </c>
      <c r="D298" s="1">
        <v>104</v>
      </c>
      <c r="E298" s="1">
        <v>8</v>
      </c>
      <c r="F298" s="1">
        <v>2</v>
      </c>
      <c r="G298" s="1">
        <v>91.34</v>
      </c>
      <c r="H298" s="1" t="s">
        <v>24</v>
      </c>
      <c r="I298" s="1" t="e">
        <f ca="1"/>
        <v>#NAME?</v>
      </c>
      <c r="J298" s="1" t="s">
        <v>64</v>
      </c>
      <c r="K298" s="1" t="s">
        <v>98</v>
      </c>
      <c r="L298" s="1" t="s">
        <v>22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>
        <v>287</v>
      </c>
      <c r="C299" s="1">
        <v>0</v>
      </c>
      <c r="D299" s="1">
        <v>9</v>
      </c>
      <c r="E299" s="1">
        <v>0</v>
      </c>
      <c r="F299" s="1">
        <v>0</v>
      </c>
      <c r="G299" s="1">
        <v>0</v>
      </c>
      <c r="H299" s="1" t="s">
        <v>24</v>
      </c>
      <c r="I299" s="1" t="e">
        <f ca="1"/>
        <v>#NAME?</v>
      </c>
      <c r="J299" s="1" t="s">
        <v>72</v>
      </c>
      <c r="K299" s="1" t="s">
        <v>122</v>
      </c>
      <c r="L299" s="1" t="s">
        <v>22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>
        <v>288</v>
      </c>
      <c r="C300" s="1">
        <v>88</v>
      </c>
      <c r="D300" s="1">
        <v>94</v>
      </c>
      <c r="E300" s="1">
        <v>11</v>
      </c>
      <c r="F300" s="1">
        <v>0</v>
      </c>
      <c r="G300" s="1">
        <v>93.61</v>
      </c>
      <c r="H300" s="1" t="s">
        <v>24</v>
      </c>
      <c r="I300" s="1" t="e">
        <f ca="1"/>
        <v>#NAME?</v>
      </c>
      <c r="J300" s="1" t="s">
        <v>20</v>
      </c>
      <c r="K300" s="1" t="s">
        <v>75</v>
      </c>
      <c r="L300" s="1" t="s">
        <v>22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>
        <v>289</v>
      </c>
      <c r="C301" s="1">
        <v>101</v>
      </c>
      <c r="D301" s="1">
        <v>121</v>
      </c>
      <c r="E301" s="1">
        <v>10</v>
      </c>
      <c r="F301" s="1">
        <v>0</v>
      </c>
      <c r="G301" s="1">
        <v>83.47</v>
      </c>
      <c r="H301" s="1" t="s">
        <v>32</v>
      </c>
      <c r="I301" s="1" t="e">
        <f ca="1"/>
        <v>#NAME?</v>
      </c>
      <c r="J301" s="1" t="s">
        <v>55</v>
      </c>
      <c r="K301" s="1" t="s">
        <v>51</v>
      </c>
      <c r="L301" s="1" t="s">
        <v>33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>
        <v>290</v>
      </c>
      <c r="C302" s="1">
        <v>51</v>
      </c>
      <c r="D302" s="1">
        <v>56</v>
      </c>
      <c r="E302" s="1">
        <v>5</v>
      </c>
      <c r="F302" s="1">
        <v>1</v>
      </c>
      <c r="G302" s="1">
        <v>91.07</v>
      </c>
      <c r="H302" s="1" t="s">
        <v>29</v>
      </c>
      <c r="I302" s="1" t="e">
        <f ca="1"/>
        <v>#NAME?</v>
      </c>
      <c r="J302" s="1" t="s">
        <v>74</v>
      </c>
      <c r="K302" s="1" t="s">
        <v>67</v>
      </c>
      <c r="L302" s="1" t="s">
        <v>22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>
        <v>291</v>
      </c>
      <c r="C303" s="1">
        <v>117</v>
      </c>
      <c r="D303" s="1">
        <v>113</v>
      </c>
      <c r="E303" s="1">
        <v>9</v>
      </c>
      <c r="F303" s="1">
        <v>2</v>
      </c>
      <c r="G303" s="1">
        <v>103.53</v>
      </c>
      <c r="H303" s="1" t="s">
        <v>24</v>
      </c>
      <c r="I303" s="1" t="e">
        <f ca="1"/>
        <v>#NAME?</v>
      </c>
      <c r="J303" s="1" t="s">
        <v>64</v>
      </c>
      <c r="K303" s="1" t="s">
        <v>75</v>
      </c>
      <c r="L303" s="1" t="s">
        <v>22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>
        <v>292</v>
      </c>
      <c r="C304" s="1">
        <v>54</v>
      </c>
      <c r="D304" s="1">
        <v>63</v>
      </c>
      <c r="E304" s="1">
        <v>4</v>
      </c>
      <c r="F304" s="1">
        <v>0</v>
      </c>
      <c r="G304" s="1">
        <v>85.71</v>
      </c>
      <c r="H304" s="1" t="s">
        <v>29</v>
      </c>
      <c r="I304" s="1" t="e">
        <f ca="1"/>
        <v>#NAME?</v>
      </c>
      <c r="J304" s="1" t="s">
        <v>40</v>
      </c>
      <c r="K304" s="1" t="s">
        <v>59</v>
      </c>
      <c r="L304" s="1" t="s">
        <v>22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>
        <v>293</v>
      </c>
      <c r="C305" s="1">
        <v>24</v>
      </c>
      <c r="D305" s="1">
        <v>32</v>
      </c>
      <c r="E305" s="1">
        <v>2</v>
      </c>
      <c r="F305" s="1">
        <v>0</v>
      </c>
      <c r="G305" s="1">
        <v>75</v>
      </c>
      <c r="H305" s="1" t="s">
        <v>19</v>
      </c>
      <c r="I305" s="1" t="e">
        <f ca="1"/>
        <v>#NAME?</v>
      </c>
      <c r="J305" s="1" t="s">
        <v>20</v>
      </c>
      <c r="K305" s="1" t="s">
        <v>27</v>
      </c>
      <c r="L305" s="1" t="s">
        <v>22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>
        <v>294</v>
      </c>
      <c r="C306" s="1">
        <v>14</v>
      </c>
      <c r="D306" s="1">
        <v>19</v>
      </c>
      <c r="E306" s="1">
        <v>2</v>
      </c>
      <c r="F306" s="1">
        <v>0</v>
      </c>
      <c r="G306" s="1">
        <v>73.680000000000007</v>
      </c>
      <c r="H306" s="1" t="s">
        <v>19</v>
      </c>
      <c r="I306" s="1" t="e">
        <f ca="1"/>
        <v>#NAME?</v>
      </c>
      <c r="J306" s="1" t="s">
        <v>20</v>
      </c>
      <c r="K306" s="1" t="s">
        <v>27</v>
      </c>
      <c r="L306" s="1" t="s">
        <v>22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>
        <v>295</v>
      </c>
      <c r="C307" s="1">
        <v>20</v>
      </c>
      <c r="D307" s="1">
        <v>18</v>
      </c>
      <c r="E307" s="1">
        <v>4</v>
      </c>
      <c r="F307" s="1">
        <v>0</v>
      </c>
      <c r="G307" s="1">
        <v>111.11</v>
      </c>
      <c r="H307" s="1" t="s">
        <v>19</v>
      </c>
      <c r="I307" s="1" t="e">
        <f ca="1"/>
        <v>#NAME?</v>
      </c>
      <c r="J307" s="1" t="s">
        <v>20</v>
      </c>
      <c r="K307" s="1" t="s">
        <v>27</v>
      </c>
      <c r="L307" s="1" t="s">
        <v>22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>
        <v>296</v>
      </c>
      <c r="C308" s="1">
        <v>5</v>
      </c>
      <c r="D308" s="1">
        <v>8</v>
      </c>
      <c r="E308" s="1">
        <v>1</v>
      </c>
      <c r="F308" s="1">
        <v>0</v>
      </c>
      <c r="G308" s="1">
        <v>62.5</v>
      </c>
      <c r="H308" s="1" t="s">
        <v>24</v>
      </c>
      <c r="I308" s="1" t="e">
        <f ca="1"/>
        <v>#NAME?</v>
      </c>
      <c r="J308" s="1" t="s">
        <v>72</v>
      </c>
      <c r="K308" s="1" t="s">
        <v>86</v>
      </c>
      <c r="L308" s="1" t="s">
        <v>22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>
        <v>297</v>
      </c>
      <c r="C309" s="1">
        <v>52</v>
      </c>
      <c r="D309" s="1">
        <v>55</v>
      </c>
      <c r="E309" s="1">
        <v>7</v>
      </c>
      <c r="F309" s="1">
        <v>1</v>
      </c>
      <c r="G309" s="1">
        <v>94.54</v>
      </c>
      <c r="H309" s="1" t="s">
        <v>24</v>
      </c>
      <c r="I309" s="1" t="e">
        <f ca="1"/>
        <v>#NAME?</v>
      </c>
      <c r="J309" s="1" t="s">
        <v>72</v>
      </c>
      <c r="K309" s="1" t="s">
        <v>59</v>
      </c>
      <c r="L309" s="1" t="s">
        <v>22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>
        <v>298</v>
      </c>
      <c r="C310" s="1">
        <v>22</v>
      </c>
      <c r="D310" s="1">
        <v>38</v>
      </c>
      <c r="E310" s="1">
        <v>1</v>
      </c>
      <c r="F310" s="1">
        <v>0</v>
      </c>
      <c r="G310" s="1">
        <v>57.89</v>
      </c>
      <c r="H310" s="1" t="s">
        <v>24</v>
      </c>
      <c r="I310" s="1" t="e">
        <f ca="1"/>
        <v>#NAME?</v>
      </c>
      <c r="J310" s="1" t="s">
        <v>54</v>
      </c>
      <c r="K310" s="1" t="s">
        <v>123</v>
      </c>
      <c r="L310" s="1" t="s">
        <v>22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>
        <v>299</v>
      </c>
      <c r="C311" s="1">
        <v>100</v>
      </c>
      <c r="D311" s="1">
        <v>111</v>
      </c>
      <c r="E311" s="1">
        <v>7</v>
      </c>
      <c r="F311" s="1">
        <v>0</v>
      </c>
      <c r="G311" s="1">
        <v>90.09</v>
      </c>
      <c r="H311" s="1" t="s">
        <v>32</v>
      </c>
      <c r="I311" s="1" t="e">
        <f ca="1"/>
        <v>#NAME?</v>
      </c>
      <c r="J311" s="1" t="s">
        <v>35</v>
      </c>
      <c r="K311" s="1" t="s">
        <v>123</v>
      </c>
      <c r="L311" s="1" t="s">
        <v>33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>
        <v>300</v>
      </c>
      <c r="C312" s="1">
        <v>11</v>
      </c>
      <c r="D312" s="1">
        <v>14</v>
      </c>
      <c r="E312" s="1">
        <v>2</v>
      </c>
      <c r="F312" s="1">
        <v>0</v>
      </c>
      <c r="G312" s="1">
        <v>78.569999999999993</v>
      </c>
      <c r="H312" s="1" t="s">
        <v>24</v>
      </c>
      <c r="I312" s="1" t="e">
        <f ca="1"/>
        <v>#NAME?</v>
      </c>
      <c r="J312" s="1" t="s">
        <v>64</v>
      </c>
      <c r="K312" s="1" t="s">
        <v>123</v>
      </c>
      <c r="L312" s="1" t="s">
        <v>22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>
        <v>301</v>
      </c>
      <c r="C313" s="1">
        <v>84</v>
      </c>
      <c r="D313" s="1">
        <v>98</v>
      </c>
      <c r="E313" s="1">
        <v>5</v>
      </c>
      <c r="F313" s="1">
        <v>0</v>
      </c>
      <c r="G313" s="1">
        <v>85.71</v>
      </c>
      <c r="H313" s="1" t="s">
        <v>24</v>
      </c>
      <c r="I313" s="1" t="e">
        <f ca="1"/>
        <v>#NAME?</v>
      </c>
      <c r="J313" s="1" t="s">
        <v>40</v>
      </c>
      <c r="K313" s="1" t="s">
        <v>123</v>
      </c>
      <c r="L313" s="1" t="s">
        <v>22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>
        <v>302</v>
      </c>
      <c r="C314" s="1">
        <v>1</v>
      </c>
      <c r="D314" s="1">
        <v>2</v>
      </c>
      <c r="E314" s="1">
        <v>0</v>
      </c>
      <c r="F314" s="1">
        <v>0</v>
      </c>
      <c r="G314" s="1">
        <v>50</v>
      </c>
      <c r="H314" s="1" t="s">
        <v>19</v>
      </c>
      <c r="I314" s="1" t="e">
        <f ca="1"/>
        <v>#NAME?</v>
      </c>
      <c r="J314" s="1" t="s">
        <v>64</v>
      </c>
      <c r="K314" s="1" t="s">
        <v>123</v>
      </c>
      <c r="L314" s="1" t="s">
        <v>22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B12:L314" xr:uid="{00000000-0009-0000-0000-000000000000}"/>
  <mergeCells count="3">
    <mergeCell ref="B2:B4"/>
    <mergeCell ref="D3:H3"/>
    <mergeCell ref="N12:O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0"/>
  <sheetViews>
    <sheetView showGridLines="0" workbookViewId="0">
      <selection activeCell="O13" sqref="O13"/>
    </sheetView>
  </sheetViews>
  <sheetFormatPr defaultColWidth="14.44140625" defaultRowHeight="15" customHeight="1"/>
  <cols>
    <col min="1" max="1" width="4" customWidth="1"/>
    <col min="2" max="2" width="14.88671875" customWidth="1"/>
    <col min="3" max="3" width="8.6640625" customWidth="1"/>
    <col min="4" max="4" width="12.5546875" customWidth="1"/>
    <col min="5" max="8" width="8.6640625" customWidth="1"/>
    <col min="9" max="9" width="14.33203125" customWidth="1"/>
    <col min="10" max="10" width="20.33203125" customWidth="1"/>
    <col min="11" max="11" width="10.6640625" customWidth="1"/>
    <col min="12" max="12" width="24.44140625" customWidth="1"/>
    <col min="13" max="13" width="14.109375" customWidth="1"/>
    <col min="14" max="14" width="12.109375" customWidth="1"/>
    <col min="15" max="16" width="7.33203125" customWidth="1"/>
    <col min="17" max="18" width="8.6640625" customWidth="1"/>
    <col min="19" max="19" width="14.109375" customWidth="1"/>
    <col min="20" max="20" width="17" customWidth="1"/>
    <col min="21" max="21" width="12.5546875" customWidth="1"/>
    <col min="22" max="26" width="8.6640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C3" s="1" t="s">
        <v>0</v>
      </c>
      <c r="D3" s="46" t="s">
        <v>124</v>
      </c>
      <c r="E3" s="47"/>
      <c r="F3" s="47"/>
      <c r="G3" s="48"/>
      <c r="H3" s="1"/>
      <c r="J3" s="1"/>
      <c r="K3" s="1"/>
      <c r="L3" s="25" t="s">
        <v>18</v>
      </c>
      <c r="M3" s="24" t="s">
        <v>1325</v>
      </c>
      <c r="N3" s="1"/>
      <c r="O3" s="49" t="s">
        <v>1331</v>
      </c>
      <c r="P3" s="49"/>
      <c r="Q3" s="49"/>
      <c r="R3" s="49"/>
      <c r="S3" s="49"/>
      <c r="T3" s="49"/>
      <c r="U3" s="1"/>
      <c r="V3" s="1"/>
      <c r="W3" s="1"/>
      <c r="X3" s="1"/>
      <c r="Y3" s="1"/>
      <c r="Z3" s="1"/>
    </row>
    <row r="4" spans="1:26" ht="14.25" customHeight="1">
      <c r="A4" s="1"/>
      <c r="C4" s="1"/>
      <c r="D4" s="36"/>
      <c r="E4" s="35"/>
      <c r="F4" s="35"/>
      <c r="G4" s="35"/>
      <c r="H4" s="1"/>
      <c r="J4" s="1"/>
      <c r="K4" s="38"/>
      <c r="L4" s="2" t="s">
        <v>23</v>
      </c>
      <c r="M4" s="10">
        <f>COUNT(B18:B319)</f>
        <v>302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4" t="s">
        <v>2</v>
      </c>
      <c r="C5" s="5">
        <f>SUM(M18:M319)/ COUNTIF(U18:U319,"Yes")</f>
        <v>57.734693877551024</v>
      </c>
      <c r="D5" s="5">
        <f>AVERAGE(N18:N319)</f>
        <v>52.386206896551727</v>
      </c>
      <c r="E5" s="5">
        <f t="shared" ref="E5:F5" si="0">AVERAGE(O18:O319)</f>
        <v>4.568965517241379</v>
      </c>
      <c r="F5" s="5">
        <f t="shared" si="0"/>
        <v>0.52413793103448281</v>
      </c>
      <c r="G5" s="21">
        <f>SUM(M18:M319)/SUM(N18:N319)</f>
        <v>0.93108214849921012</v>
      </c>
      <c r="H5" s="6"/>
      <c r="I5" s="6"/>
      <c r="J5" s="40"/>
      <c r="K5" s="37"/>
      <c r="L5" s="2" t="s">
        <v>25</v>
      </c>
      <c r="M5" s="10">
        <f>MAX(M18:M319)</f>
        <v>183</v>
      </c>
      <c r="N5" s="1"/>
      <c r="O5" s="52"/>
      <c r="P5" s="53"/>
      <c r="Q5" s="57"/>
      <c r="R5" s="57"/>
      <c r="S5" s="57"/>
      <c r="T5" s="57"/>
      <c r="U5" s="55"/>
      <c r="V5" s="55"/>
      <c r="W5" s="55"/>
      <c r="X5" s="55"/>
      <c r="Y5" s="55"/>
      <c r="Z5" s="55"/>
    </row>
    <row r="6" spans="1:26" ht="14.25" customHeight="1">
      <c r="A6" s="1"/>
      <c r="B6" s="8" t="s">
        <v>3</v>
      </c>
      <c r="C6" s="9">
        <f>MEDIAN(M18:M319)</f>
        <v>36</v>
      </c>
      <c r="D6" s="9">
        <f t="shared" ref="D6:G6" si="1">MEDIAN(N18:N319)</f>
        <v>46.5</v>
      </c>
      <c r="E6" s="9">
        <f t="shared" si="1"/>
        <v>3</v>
      </c>
      <c r="F6" s="9">
        <f t="shared" si="1"/>
        <v>0</v>
      </c>
      <c r="G6" s="9">
        <f t="shared" si="1"/>
        <v>82.35</v>
      </c>
      <c r="H6" s="10"/>
      <c r="I6" s="10"/>
      <c r="J6" s="41"/>
      <c r="K6" s="37"/>
      <c r="L6" s="2" t="s">
        <v>28</v>
      </c>
      <c r="M6" s="10">
        <f>COUNTIF(M18:M319,0)</f>
        <v>16</v>
      </c>
      <c r="N6" s="17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4.25" customHeight="1">
      <c r="A7" s="1"/>
      <c r="B7" s="8" t="s">
        <v>4</v>
      </c>
      <c r="C7" s="9"/>
      <c r="D7" s="9"/>
      <c r="E7" s="9"/>
      <c r="F7" s="9"/>
      <c r="G7" s="9"/>
      <c r="H7" s="10"/>
      <c r="I7" s="10"/>
      <c r="J7" s="41"/>
      <c r="K7" s="37"/>
      <c r="L7" s="2" t="s">
        <v>30</v>
      </c>
      <c r="M7" s="10">
        <f>COUNTIF(M18:M319, "&gt;=100")</f>
        <v>51</v>
      </c>
      <c r="N7" s="1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4.25" customHeight="1">
      <c r="A8" s="1"/>
      <c r="B8" s="8" t="s">
        <v>5</v>
      </c>
      <c r="C8" s="9">
        <f>_xlfn.STDEV.S(M18:M319)</f>
        <v>42.995792464722527</v>
      </c>
      <c r="D8" s="9">
        <f t="shared" ref="D8:G8" si="2">_xlfn.STDEV.S(N18:N319)</f>
        <v>39.258822860776064</v>
      </c>
      <c r="E8" s="9">
        <f t="shared" si="2"/>
        <v>4.4748898382586768</v>
      </c>
      <c r="F8" s="9">
        <f t="shared" si="2"/>
        <v>1.0626255830244851</v>
      </c>
      <c r="G8" s="9">
        <f t="shared" si="2"/>
        <v>35.784090725030445</v>
      </c>
      <c r="H8" s="10"/>
      <c r="I8" s="10"/>
      <c r="J8" s="41"/>
      <c r="K8" s="37"/>
      <c r="L8" s="2" t="s">
        <v>31</v>
      </c>
      <c r="M8" s="10">
        <f>COUNTIFS(M18:M319, "&gt;=50", M18:M319, "&lt;=100")</f>
        <v>77</v>
      </c>
      <c r="N8" s="1"/>
      <c r="O8" s="53"/>
      <c r="P8" s="56"/>
      <c r="Q8" s="56"/>
      <c r="R8" s="56"/>
      <c r="S8" s="56"/>
      <c r="T8" s="56"/>
      <c r="U8" s="1"/>
      <c r="V8" s="1"/>
      <c r="W8" s="1"/>
      <c r="X8" s="1"/>
      <c r="Y8" s="1"/>
      <c r="Z8" s="1"/>
    </row>
    <row r="9" spans="1:26" ht="14.25" customHeight="1">
      <c r="A9" s="1"/>
      <c r="B9" s="8" t="s">
        <v>6</v>
      </c>
      <c r="C9" s="9">
        <f>SKEW(M18:M319)</f>
        <v>0.70207764701837516</v>
      </c>
      <c r="D9" s="9">
        <f t="shared" ref="D9:G9" si="3">SKEW(N18:N319)</f>
        <v>0.41582257562076647</v>
      </c>
      <c r="E9" s="9">
        <f t="shared" si="3"/>
        <v>1.1826509242902195</v>
      </c>
      <c r="F9" s="9">
        <f t="shared" si="3"/>
        <v>3.2729179288445893</v>
      </c>
      <c r="G9" s="9">
        <f t="shared" si="3"/>
        <v>5.0981203057668817E-2</v>
      </c>
      <c r="H9" s="10"/>
      <c r="I9" s="10"/>
      <c r="J9" s="41"/>
      <c r="K9" s="37"/>
      <c r="L9" s="2" t="s">
        <v>34</v>
      </c>
      <c r="M9" s="10">
        <f>SUM(O18:O319)*4+SUM(P18:P319)*6</f>
        <v>6212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2" t="s">
        <v>7</v>
      </c>
      <c r="C10" s="13">
        <f>KURT(M18:M319)</f>
        <v>-0.52151935682183792</v>
      </c>
      <c r="D10" s="13">
        <f t="shared" ref="D10:G10" si="4">KURT(N18:N319)</f>
        <v>-1.0036070345663162</v>
      </c>
      <c r="E10" s="13">
        <f t="shared" si="4"/>
        <v>1.1978923835862472</v>
      </c>
      <c r="F10" s="13">
        <f t="shared" si="4"/>
        <v>14.832085479647269</v>
      </c>
      <c r="G10" s="13">
        <f t="shared" si="4"/>
        <v>1.3497745302956612</v>
      </c>
      <c r="H10" s="14"/>
      <c r="I10" s="14"/>
      <c r="J10" s="42"/>
      <c r="K10" s="37"/>
      <c r="L10" s="2" t="s">
        <v>37</v>
      </c>
      <c r="M10" s="18">
        <f>M9/SUM(M18:M319)</f>
        <v>0.43916578296217745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C11" s="1"/>
      <c r="D11" s="1"/>
      <c r="E11" s="1"/>
      <c r="F11" s="1"/>
      <c r="G11" s="1"/>
      <c r="H11" s="1"/>
      <c r="I11" s="1"/>
      <c r="J11" s="1"/>
      <c r="K11" s="39"/>
      <c r="L11" s="2" t="s">
        <v>41</v>
      </c>
      <c r="M11" s="18">
        <f>C8/C5</f>
        <v>0.74471326644446934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C12" s="1"/>
      <c r="D12" s="1"/>
      <c r="E12" s="1"/>
      <c r="F12" s="1"/>
      <c r="G12" s="1"/>
      <c r="H12" s="1"/>
      <c r="I12" s="1"/>
      <c r="J12" s="1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C13" s="1"/>
      <c r="D13" s="1"/>
      <c r="E13" s="1"/>
      <c r="F13" s="1"/>
      <c r="G13" s="1"/>
      <c r="H13" s="1"/>
      <c r="I13" s="1"/>
      <c r="J13" s="1"/>
      <c r="K13" s="3"/>
      <c r="L13" s="2" t="s">
        <v>47</v>
      </c>
      <c r="M13" s="18">
        <f>COUNTIF(R18:R319, "run out")/COUNTIF(U18:U319, "Yes")</f>
        <v>4.8979591836734691E-2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 t="s">
        <v>49</v>
      </c>
      <c r="M14" s="10">
        <f>SUMIFS(P18:P319,S18:S319,"*Sri Lanka")</f>
        <v>26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3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51" t="s">
        <v>125</v>
      </c>
      <c r="C16" s="45"/>
      <c r="D16" s="45"/>
      <c r="E16" s="45"/>
      <c r="F16" s="45"/>
      <c r="G16" s="45"/>
      <c r="H16" s="45"/>
      <c r="I16" s="45"/>
      <c r="J16" s="45"/>
      <c r="K16" s="1"/>
      <c r="L16" s="51" t="s">
        <v>126</v>
      </c>
      <c r="M16" s="45"/>
      <c r="N16" s="45"/>
      <c r="O16" s="45"/>
      <c r="P16" s="45"/>
      <c r="Q16" s="45"/>
      <c r="R16" s="45"/>
      <c r="S16" s="45"/>
      <c r="T16" s="45"/>
      <c r="U16" s="45"/>
      <c r="V16" s="1"/>
      <c r="W16" s="1"/>
      <c r="X16" s="1"/>
      <c r="Y16" s="1"/>
      <c r="Z16" s="1"/>
    </row>
    <row r="17" spans="1:26" ht="14.25" customHeight="1">
      <c r="A17" s="1"/>
      <c r="B17" s="16" t="s">
        <v>127</v>
      </c>
      <c r="C17" s="16" t="s">
        <v>9</v>
      </c>
      <c r="D17" s="16" t="s">
        <v>10</v>
      </c>
      <c r="E17" s="16" t="s">
        <v>11</v>
      </c>
      <c r="F17" s="16" t="s">
        <v>12</v>
      </c>
      <c r="G17" s="16" t="s">
        <v>13</v>
      </c>
      <c r="H17" s="16" t="s">
        <v>14</v>
      </c>
      <c r="I17" s="16" t="s">
        <v>15</v>
      </c>
      <c r="J17" s="16" t="s">
        <v>16</v>
      </c>
      <c r="K17" s="19"/>
      <c r="L17" s="16" t="s">
        <v>57</v>
      </c>
      <c r="M17" s="16" t="s">
        <v>9</v>
      </c>
      <c r="N17" s="16" t="s">
        <v>10</v>
      </c>
      <c r="O17" s="16" t="s">
        <v>11</v>
      </c>
      <c r="P17" s="16" t="s">
        <v>12</v>
      </c>
      <c r="Q17" s="16" t="s">
        <v>13</v>
      </c>
      <c r="R17" s="16" t="s">
        <v>14</v>
      </c>
      <c r="S17" s="16" t="s">
        <v>15</v>
      </c>
      <c r="T17" s="16" t="s">
        <v>16</v>
      </c>
      <c r="U17" s="16" t="s">
        <v>17</v>
      </c>
      <c r="V17" s="1"/>
      <c r="W17" s="1"/>
      <c r="X17" s="1"/>
      <c r="Y17" s="1"/>
      <c r="Z17" s="1"/>
    </row>
    <row r="18" spans="1:26" ht="14.25" customHeight="1">
      <c r="A18" s="1"/>
      <c r="B18" s="1">
        <v>1</v>
      </c>
      <c r="C18" s="1" t="s">
        <v>128</v>
      </c>
      <c r="D18" s="1" t="s">
        <v>129</v>
      </c>
      <c r="E18" s="1" t="s">
        <v>130</v>
      </c>
      <c r="F18" s="1" t="s">
        <v>131</v>
      </c>
      <c r="G18" s="1" t="s">
        <v>132</v>
      </c>
      <c r="H18" s="1" t="s">
        <v>19</v>
      </c>
      <c r="I18" s="1" t="s">
        <v>133</v>
      </c>
      <c r="J18" s="1" t="s">
        <v>21</v>
      </c>
      <c r="K18" s="1"/>
      <c r="L18" s="1" t="str">
        <f t="shared" ref="L18:L81" si="5">IF(OR(C18="DNB",C18="TDNB"),"Yes","No")</f>
        <v>No</v>
      </c>
      <c r="M18" s="1">
        <f>IF(L18="Yes", "NA",SUBSTITUTE(C18,"*","")*1)</f>
        <v>12</v>
      </c>
      <c r="N18" s="1">
        <f t="shared" ref="N18:N81" si="6">IF(D18="-","NA",D18*1)</f>
        <v>22</v>
      </c>
      <c r="O18" s="1">
        <f t="shared" ref="O18:O81" si="7">IF(E18="-","NA",E18*1)</f>
        <v>1</v>
      </c>
      <c r="P18" s="1">
        <f t="shared" ref="P18:P81" si="8">IF(F18="-","NA",F18*1)</f>
        <v>0</v>
      </c>
      <c r="Q18" s="1">
        <f t="shared" ref="Q18:Q81" si="9">IF(G18="-","NA",G18*1)</f>
        <v>54.54</v>
      </c>
      <c r="R18" s="1" t="str">
        <f t="shared" ref="R18:R81" si="10">IF(H18="-","NA",H18)</f>
        <v>lbw</v>
      </c>
      <c r="S18" s="1" t="str">
        <f t="shared" ref="S18:S81" si="11">SUBSTITUTE(I18,"v","")</f>
        <v xml:space="preserve"> Sri Lanka</v>
      </c>
      <c r="T18" s="1" t="str">
        <f t="shared" ref="T18:T81" si="12">J18</f>
        <v>Dambulla</v>
      </c>
      <c r="U18" s="1" t="str">
        <f>IF(L18="Yes","No",IF(R18="not out","No","Yes"))</f>
        <v>Yes</v>
      </c>
      <c r="V18" s="1"/>
      <c r="W18" s="1"/>
      <c r="X18" s="1"/>
      <c r="Y18" s="1"/>
      <c r="Z18" s="1"/>
    </row>
    <row r="19" spans="1:26" ht="14.25" customHeight="1">
      <c r="A19" s="1"/>
      <c r="B19" s="1">
        <v>2</v>
      </c>
      <c r="C19" s="1" t="s">
        <v>134</v>
      </c>
      <c r="D19" s="1" t="s">
        <v>135</v>
      </c>
      <c r="E19" s="1" t="s">
        <v>136</v>
      </c>
      <c r="F19" s="1" t="s">
        <v>131</v>
      </c>
      <c r="G19" s="1" t="s">
        <v>137</v>
      </c>
      <c r="H19" s="1" t="s">
        <v>24</v>
      </c>
      <c r="I19" s="1" t="s">
        <v>133</v>
      </c>
      <c r="J19" s="1" t="s">
        <v>21</v>
      </c>
      <c r="K19" s="1"/>
      <c r="L19" s="1" t="str">
        <f t="shared" si="5"/>
        <v>No</v>
      </c>
      <c r="M19" s="1">
        <f t="shared" ref="M19:M82" si="13">IF(L20="Yes", "NA",SUBSTITUTE(C20,"*","")*1)</f>
        <v>25</v>
      </c>
      <c r="N19" s="1">
        <f t="shared" si="6"/>
        <v>67</v>
      </c>
      <c r="O19" s="1">
        <f t="shared" si="7"/>
        <v>6</v>
      </c>
      <c r="P19" s="1">
        <f t="shared" si="8"/>
        <v>0</v>
      </c>
      <c r="Q19" s="1">
        <f t="shared" si="9"/>
        <v>55.22</v>
      </c>
      <c r="R19" s="1" t="str">
        <f t="shared" si="10"/>
        <v>caught</v>
      </c>
      <c r="S19" s="1" t="str">
        <f t="shared" si="11"/>
        <v xml:space="preserve"> Sri Lanka</v>
      </c>
      <c r="T19" s="1" t="str">
        <f t="shared" si="12"/>
        <v>Dambulla</v>
      </c>
      <c r="U19" s="1" t="str">
        <f t="shared" ref="U19:U82" si="14">IF(L19="Yes","No",IF(R19="not out","No","Yes"))</f>
        <v>Yes</v>
      </c>
      <c r="V19" s="1"/>
      <c r="W19" s="1"/>
      <c r="X19" s="1"/>
      <c r="Y19" s="1"/>
      <c r="Z19" s="1"/>
    </row>
    <row r="20" spans="1:26" ht="14.25" customHeight="1">
      <c r="A20" s="1"/>
      <c r="B20" s="1">
        <v>3</v>
      </c>
      <c r="C20" s="1" t="s">
        <v>138</v>
      </c>
      <c r="D20" s="1" t="s">
        <v>139</v>
      </c>
      <c r="E20" s="1" t="s">
        <v>140</v>
      </c>
      <c r="F20" s="1" t="s">
        <v>131</v>
      </c>
      <c r="G20" s="1" t="s">
        <v>141</v>
      </c>
      <c r="H20" s="1" t="s">
        <v>26</v>
      </c>
      <c r="I20" s="1" t="s">
        <v>133</v>
      </c>
      <c r="J20" s="1" t="s">
        <v>27</v>
      </c>
      <c r="K20" s="1"/>
      <c r="L20" s="1" t="str">
        <f t="shared" si="5"/>
        <v>No</v>
      </c>
      <c r="M20" s="1">
        <f t="shared" si="13"/>
        <v>54</v>
      </c>
      <c r="N20" s="1">
        <f t="shared" si="6"/>
        <v>38</v>
      </c>
      <c r="O20" s="1">
        <f t="shared" si="7"/>
        <v>4</v>
      </c>
      <c r="P20" s="1">
        <f t="shared" si="8"/>
        <v>0</v>
      </c>
      <c r="Q20" s="1">
        <f t="shared" si="9"/>
        <v>65.78</v>
      </c>
      <c r="R20" s="1" t="str">
        <f t="shared" si="10"/>
        <v>run out</v>
      </c>
      <c r="S20" s="1" t="str">
        <f t="shared" si="11"/>
        <v xml:space="preserve"> Sri Lanka</v>
      </c>
      <c r="T20" s="1" t="str">
        <f t="shared" si="12"/>
        <v>Colombo (RPS)</v>
      </c>
      <c r="U20" s="1" t="str">
        <f t="shared" si="14"/>
        <v>Yes</v>
      </c>
      <c r="V20" s="1"/>
      <c r="W20" s="1"/>
      <c r="X20" s="1"/>
      <c r="Y20" s="1"/>
      <c r="Z20" s="1"/>
    </row>
    <row r="21" spans="1:26" ht="14.25" customHeight="1">
      <c r="A21" s="1"/>
      <c r="B21" s="1">
        <v>4</v>
      </c>
      <c r="C21" s="1" t="s">
        <v>142</v>
      </c>
      <c r="D21" s="1" t="s">
        <v>143</v>
      </c>
      <c r="E21" s="1" t="s">
        <v>144</v>
      </c>
      <c r="F21" s="1" t="s">
        <v>131</v>
      </c>
      <c r="G21" s="1" t="s">
        <v>145</v>
      </c>
      <c r="H21" s="1" t="s">
        <v>29</v>
      </c>
      <c r="I21" s="1" t="s">
        <v>133</v>
      </c>
      <c r="J21" s="1" t="s">
        <v>27</v>
      </c>
      <c r="K21" s="1"/>
      <c r="L21" s="1" t="str">
        <f t="shared" si="5"/>
        <v>No</v>
      </c>
      <c r="M21" s="1">
        <f t="shared" si="13"/>
        <v>31</v>
      </c>
      <c r="N21" s="1">
        <f t="shared" si="6"/>
        <v>66</v>
      </c>
      <c r="O21" s="1">
        <f t="shared" si="7"/>
        <v>7</v>
      </c>
      <c r="P21" s="1">
        <f t="shared" si="8"/>
        <v>0</v>
      </c>
      <c r="Q21" s="1">
        <f t="shared" si="9"/>
        <v>81.81</v>
      </c>
      <c r="R21" s="1" t="str">
        <f t="shared" si="10"/>
        <v>bowled</v>
      </c>
      <c r="S21" s="1" t="str">
        <f t="shared" si="11"/>
        <v xml:space="preserve"> Sri Lanka</v>
      </c>
      <c r="T21" s="1" t="str">
        <f t="shared" si="12"/>
        <v>Colombo (RPS)</v>
      </c>
      <c r="U21" s="1" t="str">
        <f t="shared" si="14"/>
        <v>Yes</v>
      </c>
      <c r="V21" s="1"/>
      <c r="W21" s="1"/>
      <c r="X21" s="1"/>
      <c r="Y21" s="1"/>
      <c r="Z21" s="1"/>
    </row>
    <row r="22" spans="1:26" ht="14.25" customHeight="1">
      <c r="A22" s="1"/>
      <c r="B22" s="1">
        <v>5</v>
      </c>
      <c r="C22" s="1" t="s">
        <v>146</v>
      </c>
      <c r="D22" s="1" t="s">
        <v>147</v>
      </c>
      <c r="E22" s="1" t="s">
        <v>148</v>
      </c>
      <c r="F22" s="1" t="s">
        <v>130</v>
      </c>
      <c r="G22" s="1" t="s">
        <v>149</v>
      </c>
      <c r="H22" s="1" t="s">
        <v>19</v>
      </c>
      <c r="I22" s="1" t="s">
        <v>133</v>
      </c>
      <c r="J22" s="1" t="s">
        <v>27</v>
      </c>
      <c r="K22" s="1"/>
      <c r="L22" s="1" t="str">
        <f t="shared" si="5"/>
        <v>No</v>
      </c>
      <c r="M22" s="1">
        <f t="shared" si="13"/>
        <v>2</v>
      </c>
      <c r="N22" s="1">
        <f t="shared" si="6"/>
        <v>46</v>
      </c>
      <c r="O22" s="1">
        <f t="shared" si="7"/>
        <v>3</v>
      </c>
      <c r="P22" s="1">
        <f t="shared" si="8"/>
        <v>1</v>
      </c>
      <c r="Q22" s="1">
        <f t="shared" si="9"/>
        <v>67.39</v>
      </c>
      <c r="R22" s="1" t="str">
        <f t="shared" si="10"/>
        <v>lbw</v>
      </c>
      <c r="S22" s="1" t="str">
        <f t="shared" si="11"/>
        <v xml:space="preserve"> Sri Lanka</v>
      </c>
      <c r="T22" s="1" t="str">
        <f t="shared" si="12"/>
        <v>Colombo (RPS)</v>
      </c>
      <c r="U22" s="1" t="str">
        <f t="shared" si="14"/>
        <v>Yes</v>
      </c>
      <c r="V22" s="1"/>
      <c r="W22" s="1"/>
      <c r="X22" s="1"/>
      <c r="Y22" s="1"/>
      <c r="Z22" s="1"/>
    </row>
    <row r="23" spans="1:26" ht="14.25" customHeight="1">
      <c r="A23" s="1"/>
      <c r="B23" s="1">
        <v>6</v>
      </c>
      <c r="C23" s="1" t="s">
        <v>150</v>
      </c>
      <c r="D23" s="1" t="s">
        <v>151</v>
      </c>
      <c r="E23" s="1" t="s">
        <v>131</v>
      </c>
      <c r="F23" s="1" t="s">
        <v>131</v>
      </c>
      <c r="G23" s="1" t="s">
        <v>152</v>
      </c>
      <c r="H23" s="1" t="s">
        <v>32</v>
      </c>
      <c r="I23" s="1" t="s">
        <v>133</v>
      </c>
      <c r="J23" s="1" t="s">
        <v>27</v>
      </c>
      <c r="K23" s="1"/>
      <c r="L23" s="1" t="str">
        <f t="shared" si="5"/>
        <v>No</v>
      </c>
      <c r="M23" s="1">
        <f t="shared" si="13"/>
        <v>16</v>
      </c>
      <c r="N23" s="1">
        <f t="shared" si="6"/>
        <v>2</v>
      </c>
      <c r="O23" s="1">
        <f t="shared" si="7"/>
        <v>0</v>
      </c>
      <c r="P23" s="1">
        <f t="shared" si="8"/>
        <v>0</v>
      </c>
      <c r="Q23" s="1">
        <f t="shared" si="9"/>
        <v>100</v>
      </c>
      <c r="R23" s="1" t="str">
        <f t="shared" si="10"/>
        <v>not out</v>
      </c>
      <c r="S23" s="1" t="str">
        <f t="shared" si="11"/>
        <v xml:space="preserve"> Sri Lanka</v>
      </c>
      <c r="T23" s="1" t="str">
        <f t="shared" si="12"/>
        <v>Colombo (RPS)</v>
      </c>
      <c r="U23" s="1" t="str">
        <f t="shared" si="14"/>
        <v>No</v>
      </c>
      <c r="V23" s="1"/>
      <c r="W23" s="1"/>
      <c r="X23" s="1"/>
      <c r="Y23" s="1"/>
      <c r="Z23" s="1"/>
    </row>
    <row r="24" spans="1:26" ht="14.25" customHeight="1">
      <c r="A24" s="1"/>
      <c r="B24" s="1">
        <v>7</v>
      </c>
      <c r="C24" s="1" t="s">
        <v>153</v>
      </c>
      <c r="D24" s="1" t="s">
        <v>154</v>
      </c>
      <c r="E24" s="1" t="s">
        <v>130</v>
      </c>
      <c r="F24" s="1" t="s">
        <v>131</v>
      </c>
      <c r="G24" s="1" t="s">
        <v>155</v>
      </c>
      <c r="H24" s="1" t="s">
        <v>24</v>
      </c>
      <c r="I24" s="1" t="s">
        <v>156</v>
      </c>
      <c r="J24" s="1" t="s">
        <v>36</v>
      </c>
      <c r="K24" s="1"/>
      <c r="L24" s="1" t="str">
        <f t="shared" si="5"/>
        <v>No</v>
      </c>
      <c r="M24" s="1" t="str">
        <f t="shared" si="13"/>
        <v>NA</v>
      </c>
      <c r="N24" s="1">
        <f t="shared" si="6"/>
        <v>24</v>
      </c>
      <c r="O24" s="1">
        <f t="shared" si="7"/>
        <v>1</v>
      </c>
      <c r="P24" s="1">
        <f t="shared" si="8"/>
        <v>0</v>
      </c>
      <c r="Q24" s="1">
        <f t="shared" si="9"/>
        <v>66.66</v>
      </c>
      <c r="R24" s="1" t="str">
        <f t="shared" si="10"/>
        <v>caught</v>
      </c>
      <c r="S24" s="1" t="str">
        <f t="shared" si="11"/>
        <v xml:space="preserve"> Pakistan</v>
      </c>
      <c r="T24" s="1" t="str">
        <f t="shared" si="12"/>
        <v>Centurion</v>
      </c>
      <c r="U24" s="1" t="str">
        <f t="shared" si="14"/>
        <v>Yes</v>
      </c>
      <c r="V24" s="1"/>
      <c r="W24" s="1"/>
      <c r="X24" s="1"/>
      <c r="Y24" s="1"/>
      <c r="Z24" s="1"/>
    </row>
    <row r="25" spans="1:26" ht="14.25" customHeight="1">
      <c r="A25" s="1"/>
      <c r="B25" s="1">
        <v>8</v>
      </c>
      <c r="C25" s="1" t="s">
        <v>38</v>
      </c>
      <c r="D25" s="1" t="s">
        <v>157</v>
      </c>
      <c r="E25" s="1" t="s">
        <v>157</v>
      </c>
      <c r="F25" s="1" t="s">
        <v>157</v>
      </c>
      <c r="G25" s="1" t="s">
        <v>157</v>
      </c>
      <c r="H25" s="1" t="s">
        <v>157</v>
      </c>
      <c r="I25" s="1" t="s">
        <v>158</v>
      </c>
      <c r="J25" s="1" t="s">
        <v>36</v>
      </c>
      <c r="K25" s="1"/>
      <c r="L25" s="1" t="str">
        <f t="shared" si="5"/>
        <v>Yes</v>
      </c>
      <c r="M25" s="1">
        <f t="shared" si="13"/>
        <v>79</v>
      </c>
      <c r="N25" s="1" t="str">
        <f t="shared" si="6"/>
        <v>NA</v>
      </c>
      <c r="O25" s="1" t="str">
        <f t="shared" si="7"/>
        <v>NA</v>
      </c>
      <c r="P25" s="1" t="str">
        <f t="shared" si="8"/>
        <v>NA</v>
      </c>
      <c r="Q25" s="1" t="str">
        <f t="shared" si="9"/>
        <v>NA</v>
      </c>
      <c r="R25" s="1" t="str">
        <f t="shared" si="10"/>
        <v>NA</v>
      </c>
      <c r="S25" s="1" t="str">
        <f t="shared" si="11"/>
        <v xml:space="preserve"> Australia</v>
      </c>
      <c r="T25" s="1" t="str">
        <f t="shared" si="12"/>
        <v>Centurion</v>
      </c>
      <c r="U25" s="1" t="str">
        <f t="shared" si="14"/>
        <v>No</v>
      </c>
      <c r="V25" s="1"/>
      <c r="W25" s="1"/>
      <c r="X25" s="1"/>
      <c r="Y25" s="1"/>
      <c r="Z25" s="1"/>
    </row>
    <row r="26" spans="1:26" ht="14.25" customHeight="1">
      <c r="A26" s="1"/>
      <c r="B26" s="1">
        <v>9</v>
      </c>
      <c r="C26" s="1" t="s">
        <v>159</v>
      </c>
      <c r="D26" s="1" t="s">
        <v>160</v>
      </c>
      <c r="E26" s="1" t="s">
        <v>161</v>
      </c>
      <c r="F26" s="1" t="s">
        <v>151</v>
      </c>
      <c r="G26" s="1" t="s">
        <v>162</v>
      </c>
      <c r="H26" s="1" t="s">
        <v>32</v>
      </c>
      <c r="I26" s="1" t="s">
        <v>163</v>
      </c>
      <c r="J26" s="1" t="s">
        <v>43</v>
      </c>
      <c r="K26" s="1"/>
      <c r="L26" s="1" t="str">
        <f t="shared" si="5"/>
        <v>No</v>
      </c>
      <c r="M26" s="1">
        <f t="shared" si="13"/>
        <v>30</v>
      </c>
      <c r="N26" s="1">
        <f t="shared" si="6"/>
        <v>104</v>
      </c>
      <c r="O26" s="1">
        <f t="shared" si="7"/>
        <v>9</v>
      </c>
      <c r="P26" s="1">
        <f t="shared" si="8"/>
        <v>2</v>
      </c>
      <c r="Q26" s="1">
        <f t="shared" si="9"/>
        <v>75.959999999999994</v>
      </c>
      <c r="R26" s="1" t="str">
        <f t="shared" si="10"/>
        <v>not out</v>
      </c>
      <c r="S26" s="1" t="str">
        <f t="shared" si="11"/>
        <v xml:space="preserve"> West Indies</v>
      </c>
      <c r="T26" s="1" t="str">
        <f t="shared" si="12"/>
        <v>Johannesburg</v>
      </c>
      <c r="U26" s="1" t="str">
        <f t="shared" si="14"/>
        <v>No</v>
      </c>
      <c r="V26" s="1"/>
      <c r="W26" s="1"/>
      <c r="X26" s="1"/>
      <c r="Y26" s="1"/>
      <c r="Z26" s="1"/>
    </row>
    <row r="27" spans="1:26" ht="14.25" customHeight="1">
      <c r="A27" s="1"/>
      <c r="B27" s="1">
        <v>10</v>
      </c>
      <c r="C27" s="1" t="s">
        <v>164</v>
      </c>
      <c r="D27" s="1" t="s">
        <v>165</v>
      </c>
      <c r="E27" s="1" t="s">
        <v>148</v>
      </c>
      <c r="F27" s="1" t="s">
        <v>131</v>
      </c>
      <c r="G27" s="1" t="s">
        <v>166</v>
      </c>
      <c r="H27" s="1" t="s">
        <v>24</v>
      </c>
      <c r="I27" s="1" t="s">
        <v>158</v>
      </c>
      <c r="J27" s="1" t="s">
        <v>44</v>
      </c>
      <c r="K27" s="1"/>
      <c r="L27" s="1" t="str">
        <f t="shared" si="5"/>
        <v>No</v>
      </c>
      <c r="M27" s="1">
        <f t="shared" si="13"/>
        <v>10</v>
      </c>
      <c r="N27" s="1">
        <f t="shared" si="6"/>
        <v>41</v>
      </c>
      <c r="O27" s="1">
        <f t="shared" si="7"/>
        <v>3</v>
      </c>
      <c r="P27" s="1">
        <f t="shared" si="8"/>
        <v>0</v>
      </c>
      <c r="Q27" s="1">
        <f t="shared" si="9"/>
        <v>73.17</v>
      </c>
      <c r="R27" s="1" t="str">
        <f t="shared" si="10"/>
        <v>caught</v>
      </c>
      <c r="S27" s="1" t="str">
        <f t="shared" si="11"/>
        <v xml:space="preserve"> Australia</v>
      </c>
      <c r="T27" s="1" t="str">
        <f t="shared" si="12"/>
        <v>Vadodara</v>
      </c>
      <c r="U27" s="1" t="str">
        <f t="shared" si="14"/>
        <v>Yes</v>
      </c>
      <c r="V27" s="1"/>
      <c r="W27" s="1"/>
      <c r="X27" s="1"/>
      <c r="Y27" s="1"/>
      <c r="Z27" s="1"/>
    </row>
    <row r="28" spans="1:26" ht="14.25" customHeight="1">
      <c r="A28" s="1"/>
      <c r="B28" s="1">
        <v>11</v>
      </c>
      <c r="C28" s="1" t="s">
        <v>167</v>
      </c>
      <c r="D28" s="1" t="s">
        <v>153</v>
      </c>
      <c r="E28" s="1" t="s">
        <v>130</v>
      </c>
      <c r="F28" s="1" t="s">
        <v>131</v>
      </c>
      <c r="G28" s="1" t="s">
        <v>168</v>
      </c>
      <c r="H28" s="1" t="s">
        <v>24</v>
      </c>
      <c r="I28" s="1" t="s">
        <v>158</v>
      </c>
      <c r="J28" s="1" t="s">
        <v>46</v>
      </c>
      <c r="K28" s="1"/>
      <c r="L28" s="1" t="str">
        <f t="shared" si="5"/>
        <v>No</v>
      </c>
      <c r="M28" s="1">
        <f t="shared" si="13"/>
        <v>27</v>
      </c>
      <c r="N28" s="1">
        <f t="shared" si="6"/>
        <v>16</v>
      </c>
      <c r="O28" s="1">
        <f t="shared" si="7"/>
        <v>1</v>
      </c>
      <c r="P28" s="1">
        <f t="shared" si="8"/>
        <v>0</v>
      </c>
      <c r="Q28" s="1">
        <f t="shared" si="9"/>
        <v>62.5</v>
      </c>
      <c r="R28" s="1" t="str">
        <f t="shared" si="10"/>
        <v>caught</v>
      </c>
      <c r="S28" s="1" t="str">
        <f t="shared" si="11"/>
        <v xml:space="preserve"> Australia</v>
      </c>
      <c r="T28" s="1" t="str">
        <f t="shared" si="12"/>
        <v>Mohali</v>
      </c>
      <c r="U28" s="1" t="str">
        <f t="shared" si="14"/>
        <v>Yes</v>
      </c>
      <c r="V28" s="1"/>
      <c r="W28" s="1"/>
      <c r="X28" s="1"/>
      <c r="Y28" s="1"/>
      <c r="Z28" s="1"/>
    </row>
    <row r="29" spans="1:26" ht="14.25" customHeight="1">
      <c r="A29" s="1"/>
      <c r="B29" s="1">
        <v>12</v>
      </c>
      <c r="C29" s="1" t="s">
        <v>169</v>
      </c>
      <c r="D29" s="1" t="s">
        <v>170</v>
      </c>
      <c r="E29" s="1" t="s">
        <v>140</v>
      </c>
      <c r="F29" s="1" t="s">
        <v>131</v>
      </c>
      <c r="G29" s="1" t="s">
        <v>171</v>
      </c>
      <c r="H29" s="1" t="s">
        <v>29</v>
      </c>
      <c r="I29" s="1" t="s">
        <v>133</v>
      </c>
      <c r="J29" s="1" t="s">
        <v>48</v>
      </c>
      <c r="K29" s="1"/>
      <c r="L29" s="1" t="str">
        <f t="shared" si="5"/>
        <v>No</v>
      </c>
      <c r="M29" s="1">
        <f t="shared" si="13"/>
        <v>54</v>
      </c>
      <c r="N29" s="1">
        <f t="shared" si="6"/>
        <v>19</v>
      </c>
      <c r="O29" s="1">
        <f t="shared" si="7"/>
        <v>4</v>
      </c>
      <c r="P29" s="1">
        <f t="shared" si="8"/>
        <v>0</v>
      </c>
      <c r="Q29" s="1">
        <f t="shared" si="9"/>
        <v>142.1</v>
      </c>
      <c r="R29" s="1" t="str">
        <f t="shared" si="10"/>
        <v>bowled</v>
      </c>
      <c r="S29" s="1" t="str">
        <f t="shared" si="11"/>
        <v xml:space="preserve"> Sri Lanka</v>
      </c>
      <c r="T29" s="1" t="str">
        <f t="shared" si="12"/>
        <v>Rajkot</v>
      </c>
      <c r="U29" s="1" t="str">
        <f t="shared" si="14"/>
        <v>Yes</v>
      </c>
      <c r="V29" s="1"/>
      <c r="W29" s="1"/>
      <c r="X29" s="1"/>
      <c r="Y29" s="1"/>
      <c r="Z29" s="1"/>
    </row>
    <row r="30" spans="1:26" ht="14.25" customHeight="1">
      <c r="A30" s="1"/>
      <c r="B30" s="1">
        <v>13</v>
      </c>
      <c r="C30" s="1" t="s">
        <v>142</v>
      </c>
      <c r="D30" s="1" t="s">
        <v>172</v>
      </c>
      <c r="E30" s="1" t="s">
        <v>144</v>
      </c>
      <c r="F30" s="1" t="s">
        <v>131</v>
      </c>
      <c r="G30" s="1" t="s">
        <v>173</v>
      </c>
      <c r="H30" s="1" t="s">
        <v>19</v>
      </c>
      <c r="I30" s="1" t="s">
        <v>133</v>
      </c>
      <c r="J30" s="1" t="s">
        <v>50</v>
      </c>
      <c r="K30" s="1"/>
      <c r="L30" s="1" t="str">
        <f t="shared" si="5"/>
        <v>No</v>
      </c>
      <c r="M30" s="1">
        <f t="shared" si="13"/>
        <v>107</v>
      </c>
      <c r="N30" s="1">
        <f t="shared" si="6"/>
        <v>65</v>
      </c>
      <c r="O30" s="1">
        <f t="shared" si="7"/>
        <v>7</v>
      </c>
      <c r="P30" s="1">
        <f t="shared" si="8"/>
        <v>0</v>
      </c>
      <c r="Q30" s="1">
        <f t="shared" si="9"/>
        <v>83.07</v>
      </c>
      <c r="R30" s="1" t="str">
        <f t="shared" si="10"/>
        <v>lbw</v>
      </c>
      <c r="S30" s="1" t="str">
        <f t="shared" si="11"/>
        <v xml:space="preserve"> Sri Lanka</v>
      </c>
      <c r="T30" s="1" t="str">
        <f t="shared" si="12"/>
        <v>Nagpur</v>
      </c>
      <c r="U30" s="1" t="str">
        <f t="shared" si="14"/>
        <v>Yes</v>
      </c>
      <c r="V30" s="1"/>
      <c r="W30" s="1"/>
      <c r="X30" s="1"/>
      <c r="Y30" s="1"/>
      <c r="Z30" s="1"/>
    </row>
    <row r="31" spans="1:26" ht="14.25" customHeight="1">
      <c r="A31" s="1"/>
      <c r="B31" s="1">
        <v>14</v>
      </c>
      <c r="C31" s="1" t="s">
        <v>174</v>
      </c>
      <c r="D31" s="1" t="s">
        <v>175</v>
      </c>
      <c r="E31" s="1" t="s">
        <v>176</v>
      </c>
      <c r="F31" s="1" t="s">
        <v>130</v>
      </c>
      <c r="G31" s="1" t="s">
        <v>177</v>
      </c>
      <c r="H31" s="1" t="s">
        <v>24</v>
      </c>
      <c r="I31" s="1" t="s">
        <v>133</v>
      </c>
      <c r="J31" s="1" t="s">
        <v>51</v>
      </c>
      <c r="K31" s="1"/>
      <c r="L31" s="1" t="str">
        <f t="shared" si="5"/>
        <v>No</v>
      </c>
      <c r="M31" s="1" t="str">
        <f t="shared" si="13"/>
        <v>NA</v>
      </c>
      <c r="N31" s="1">
        <f t="shared" si="6"/>
        <v>114</v>
      </c>
      <c r="O31" s="1">
        <f t="shared" si="7"/>
        <v>11</v>
      </c>
      <c r="P31" s="1">
        <f t="shared" si="8"/>
        <v>1</v>
      </c>
      <c r="Q31" s="1">
        <f t="shared" si="9"/>
        <v>93.85</v>
      </c>
      <c r="R31" s="1" t="str">
        <f t="shared" si="10"/>
        <v>caught</v>
      </c>
      <c r="S31" s="1" t="str">
        <f t="shared" si="11"/>
        <v xml:space="preserve"> Sri Lanka</v>
      </c>
      <c r="T31" s="1" t="str">
        <f t="shared" si="12"/>
        <v>Eden Gardens</v>
      </c>
      <c r="U31" s="1" t="str">
        <f t="shared" si="14"/>
        <v>Yes</v>
      </c>
      <c r="V31" s="1"/>
      <c r="W31" s="1"/>
      <c r="X31" s="1"/>
      <c r="Y31" s="1"/>
      <c r="Z31" s="1"/>
    </row>
    <row r="32" spans="1:26" ht="14.25" customHeight="1">
      <c r="A32" s="1"/>
      <c r="B32" s="1">
        <v>15</v>
      </c>
      <c r="C32" s="1" t="s">
        <v>38</v>
      </c>
      <c r="D32" s="1" t="s">
        <v>157</v>
      </c>
      <c r="E32" s="1" t="s">
        <v>157</v>
      </c>
      <c r="F32" s="1" t="s">
        <v>157</v>
      </c>
      <c r="G32" s="1" t="s">
        <v>157</v>
      </c>
      <c r="H32" s="1" t="s">
        <v>157</v>
      </c>
      <c r="I32" s="1" t="s">
        <v>133</v>
      </c>
      <c r="J32" s="1" t="s">
        <v>52</v>
      </c>
      <c r="K32" s="1"/>
      <c r="L32" s="1" t="str">
        <f t="shared" si="5"/>
        <v>Yes</v>
      </c>
      <c r="M32" s="1">
        <f t="shared" si="13"/>
        <v>9</v>
      </c>
      <c r="N32" s="1" t="str">
        <f t="shared" si="6"/>
        <v>NA</v>
      </c>
      <c r="O32" s="1" t="str">
        <f t="shared" si="7"/>
        <v>NA</v>
      </c>
      <c r="P32" s="1" t="str">
        <f t="shared" si="8"/>
        <v>NA</v>
      </c>
      <c r="Q32" s="1" t="str">
        <f t="shared" si="9"/>
        <v>NA</v>
      </c>
      <c r="R32" s="1" t="str">
        <f t="shared" si="10"/>
        <v>NA</v>
      </c>
      <c r="S32" s="1" t="str">
        <f t="shared" si="11"/>
        <v xml:space="preserve"> Sri Lanka</v>
      </c>
      <c r="T32" s="1" t="str">
        <f t="shared" si="12"/>
        <v>Delhi</v>
      </c>
      <c r="U32" s="1" t="str">
        <f t="shared" si="14"/>
        <v>No</v>
      </c>
      <c r="V32" s="1"/>
      <c r="W32" s="1"/>
      <c r="X32" s="1"/>
      <c r="Y32" s="1"/>
      <c r="Z32" s="1"/>
    </row>
    <row r="33" spans="1:26" ht="14.25" customHeight="1">
      <c r="A33" s="1"/>
      <c r="B33" s="1">
        <v>16</v>
      </c>
      <c r="C33" s="1" t="s">
        <v>161</v>
      </c>
      <c r="D33" s="1" t="s">
        <v>128</v>
      </c>
      <c r="E33" s="1" t="s">
        <v>130</v>
      </c>
      <c r="F33" s="1" t="s">
        <v>131</v>
      </c>
      <c r="G33" s="1" t="s">
        <v>178</v>
      </c>
      <c r="H33" s="1" t="s">
        <v>24</v>
      </c>
      <c r="I33" s="1" t="s">
        <v>133</v>
      </c>
      <c r="J33" s="1" t="s">
        <v>53</v>
      </c>
      <c r="K33" s="1"/>
      <c r="L33" s="1" t="str">
        <f t="shared" si="5"/>
        <v>No</v>
      </c>
      <c r="M33" s="1">
        <f t="shared" si="13"/>
        <v>91</v>
      </c>
      <c r="N33" s="1">
        <f t="shared" si="6"/>
        <v>12</v>
      </c>
      <c r="O33" s="1">
        <f t="shared" si="7"/>
        <v>1</v>
      </c>
      <c r="P33" s="1">
        <f t="shared" si="8"/>
        <v>0</v>
      </c>
      <c r="Q33" s="1">
        <f t="shared" si="9"/>
        <v>75</v>
      </c>
      <c r="R33" s="1" t="str">
        <f t="shared" si="10"/>
        <v>caught</v>
      </c>
      <c r="S33" s="1" t="str">
        <f t="shared" si="11"/>
        <v xml:space="preserve"> Sri Lanka</v>
      </c>
      <c r="T33" s="1" t="str">
        <f t="shared" si="12"/>
        <v>Mirpur</v>
      </c>
      <c r="U33" s="1" t="str">
        <f t="shared" si="14"/>
        <v>Yes</v>
      </c>
      <c r="V33" s="1"/>
      <c r="W33" s="1"/>
      <c r="X33" s="1"/>
      <c r="Y33" s="1"/>
      <c r="Z33" s="1"/>
    </row>
    <row r="34" spans="1:26" ht="14.25" customHeight="1">
      <c r="A34" s="1"/>
      <c r="B34" s="1">
        <v>17</v>
      </c>
      <c r="C34" s="1" t="s">
        <v>179</v>
      </c>
      <c r="D34" s="1" t="s">
        <v>180</v>
      </c>
      <c r="E34" s="1" t="s">
        <v>144</v>
      </c>
      <c r="F34" s="1" t="s">
        <v>131</v>
      </c>
      <c r="G34" s="1" t="s">
        <v>181</v>
      </c>
      <c r="H34" s="1" t="s">
        <v>24</v>
      </c>
      <c r="I34" s="1" t="s">
        <v>182</v>
      </c>
      <c r="J34" s="1" t="s">
        <v>53</v>
      </c>
      <c r="K34" s="1"/>
      <c r="L34" s="1" t="str">
        <f t="shared" si="5"/>
        <v>No</v>
      </c>
      <c r="M34" s="1">
        <f t="shared" si="13"/>
        <v>71</v>
      </c>
      <c r="N34" s="1">
        <f t="shared" si="6"/>
        <v>102</v>
      </c>
      <c r="O34" s="1">
        <f t="shared" si="7"/>
        <v>7</v>
      </c>
      <c r="P34" s="1">
        <f t="shared" si="8"/>
        <v>0</v>
      </c>
      <c r="Q34" s="1">
        <f t="shared" si="9"/>
        <v>89.21</v>
      </c>
      <c r="R34" s="1" t="str">
        <f t="shared" si="10"/>
        <v>caught</v>
      </c>
      <c r="S34" s="1" t="str">
        <f t="shared" si="11"/>
        <v xml:space="preserve"> Bangladesh</v>
      </c>
      <c r="T34" s="1" t="str">
        <f t="shared" si="12"/>
        <v>Mirpur</v>
      </c>
      <c r="U34" s="1" t="str">
        <f t="shared" si="14"/>
        <v>Yes</v>
      </c>
      <c r="V34" s="1"/>
      <c r="W34" s="1"/>
      <c r="X34" s="1"/>
      <c r="Y34" s="1"/>
      <c r="Z34" s="1"/>
    </row>
    <row r="35" spans="1:26" ht="14.25" customHeight="1">
      <c r="A35" s="1"/>
      <c r="B35" s="1">
        <v>18</v>
      </c>
      <c r="C35" s="1" t="s">
        <v>183</v>
      </c>
      <c r="D35" s="1" t="s">
        <v>184</v>
      </c>
      <c r="E35" s="1" t="s">
        <v>161</v>
      </c>
      <c r="F35" s="1" t="s">
        <v>131</v>
      </c>
      <c r="G35" s="1" t="s">
        <v>185</v>
      </c>
      <c r="H35" s="1" t="s">
        <v>32</v>
      </c>
      <c r="I35" s="1" t="s">
        <v>133</v>
      </c>
      <c r="J35" s="1" t="s">
        <v>53</v>
      </c>
      <c r="K35" s="1"/>
      <c r="L35" s="1" t="str">
        <f t="shared" si="5"/>
        <v>No</v>
      </c>
      <c r="M35" s="1">
        <f t="shared" si="13"/>
        <v>102</v>
      </c>
      <c r="N35" s="1">
        <f t="shared" si="6"/>
        <v>68</v>
      </c>
      <c r="O35" s="1">
        <f t="shared" si="7"/>
        <v>9</v>
      </c>
      <c r="P35" s="1">
        <f t="shared" si="8"/>
        <v>0</v>
      </c>
      <c r="Q35" s="1">
        <f t="shared" si="9"/>
        <v>104.41</v>
      </c>
      <c r="R35" s="1" t="str">
        <f t="shared" si="10"/>
        <v>not out</v>
      </c>
      <c r="S35" s="1" t="str">
        <f t="shared" si="11"/>
        <v xml:space="preserve"> Sri Lanka</v>
      </c>
      <c r="T35" s="1" t="str">
        <f t="shared" si="12"/>
        <v>Mirpur</v>
      </c>
      <c r="U35" s="1" t="str">
        <f t="shared" si="14"/>
        <v>No</v>
      </c>
      <c r="V35" s="1"/>
      <c r="W35" s="1"/>
      <c r="X35" s="1"/>
      <c r="Y35" s="1"/>
      <c r="Z35" s="1"/>
    </row>
    <row r="36" spans="1:26" ht="14.25" customHeight="1">
      <c r="A36" s="1"/>
      <c r="B36" s="1">
        <v>19</v>
      </c>
      <c r="C36" s="1" t="s">
        <v>186</v>
      </c>
      <c r="D36" s="1" t="s">
        <v>187</v>
      </c>
      <c r="E36" s="1" t="s">
        <v>176</v>
      </c>
      <c r="F36" s="1" t="s">
        <v>131</v>
      </c>
      <c r="G36" s="1" t="s">
        <v>188</v>
      </c>
      <c r="H36" s="1" t="s">
        <v>32</v>
      </c>
      <c r="I36" s="1" t="s">
        <v>182</v>
      </c>
      <c r="J36" s="1" t="s">
        <v>53</v>
      </c>
      <c r="K36" s="1"/>
      <c r="L36" s="1" t="str">
        <f t="shared" si="5"/>
        <v>No</v>
      </c>
      <c r="M36" s="1">
        <f t="shared" si="13"/>
        <v>2</v>
      </c>
      <c r="N36" s="1">
        <f t="shared" si="6"/>
        <v>95</v>
      </c>
      <c r="O36" s="1">
        <f t="shared" si="7"/>
        <v>11</v>
      </c>
      <c r="P36" s="1">
        <f t="shared" si="8"/>
        <v>0</v>
      </c>
      <c r="Q36" s="1">
        <f t="shared" si="9"/>
        <v>107.36</v>
      </c>
      <c r="R36" s="1" t="str">
        <f t="shared" si="10"/>
        <v>not out</v>
      </c>
      <c r="S36" s="1" t="str">
        <f t="shared" si="11"/>
        <v xml:space="preserve"> Bangladesh</v>
      </c>
      <c r="T36" s="1" t="str">
        <f t="shared" si="12"/>
        <v>Mirpur</v>
      </c>
      <c r="U36" s="1" t="str">
        <f t="shared" si="14"/>
        <v>No</v>
      </c>
      <c r="V36" s="1"/>
      <c r="W36" s="1"/>
      <c r="X36" s="1"/>
      <c r="Y36" s="1"/>
      <c r="Z36" s="1"/>
    </row>
    <row r="37" spans="1:26" ht="14.25" customHeight="1">
      <c r="A37" s="1"/>
      <c r="B37" s="1">
        <v>20</v>
      </c>
      <c r="C37" s="1" t="s">
        <v>151</v>
      </c>
      <c r="D37" s="1" t="s">
        <v>189</v>
      </c>
      <c r="E37" s="1" t="s">
        <v>131</v>
      </c>
      <c r="F37" s="1" t="s">
        <v>131</v>
      </c>
      <c r="G37" s="1" t="s">
        <v>190</v>
      </c>
      <c r="H37" s="1" t="s">
        <v>24</v>
      </c>
      <c r="I37" s="1" t="s">
        <v>133</v>
      </c>
      <c r="J37" s="1" t="s">
        <v>53</v>
      </c>
      <c r="K37" s="1"/>
      <c r="L37" s="1" t="str">
        <f t="shared" si="5"/>
        <v>No</v>
      </c>
      <c r="M37" s="1">
        <f t="shared" si="13"/>
        <v>31</v>
      </c>
      <c r="N37" s="1">
        <f t="shared" si="6"/>
        <v>8</v>
      </c>
      <c r="O37" s="1">
        <f t="shared" si="7"/>
        <v>0</v>
      </c>
      <c r="P37" s="1">
        <f t="shared" si="8"/>
        <v>0</v>
      </c>
      <c r="Q37" s="1">
        <f t="shared" si="9"/>
        <v>25</v>
      </c>
      <c r="R37" s="1" t="str">
        <f t="shared" si="10"/>
        <v>caught</v>
      </c>
      <c r="S37" s="1" t="str">
        <f t="shared" si="11"/>
        <v xml:space="preserve"> Sri Lanka</v>
      </c>
      <c r="T37" s="1" t="str">
        <f t="shared" si="12"/>
        <v>Mirpur</v>
      </c>
      <c r="U37" s="1" t="str">
        <f t="shared" si="14"/>
        <v>Yes</v>
      </c>
      <c r="V37" s="1"/>
      <c r="W37" s="1"/>
      <c r="X37" s="1"/>
      <c r="Y37" s="1"/>
      <c r="Z37" s="1"/>
    </row>
    <row r="38" spans="1:26" ht="14.25" customHeight="1">
      <c r="A38" s="1"/>
      <c r="B38" s="1">
        <v>21</v>
      </c>
      <c r="C38" s="1" t="s">
        <v>146</v>
      </c>
      <c r="D38" s="1" t="s">
        <v>147</v>
      </c>
      <c r="E38" s="1" t="s">
        <v>130</v>
      </c>
      <c r="F38" s="1" t="s">
        <v>131</v>
      </c>
      <c r="G38" s="1" t="s">
        <v>149</v>
      </c>
      <c r="H38" s="1" t="s">
        <v>24</v>
      </c>
      <c r="I38" s="1" t="s">
        <v>191</v>
      </c>
      <c r="J38" s="1" t="s">
        <v>56</v>
      </c>
      <c r="K38" s="1"/>
      <c r="L38" s="1" t="str">
        <f t="shared" si="5"/>
        <v>No</v>
      </c>
      <c r="M38" s="1" t="str">
        <f t="shared" si="13"/>
        <v>NA</v>
      </c>
      <c r="N38" s="1">
        <f t="shared" si="6"/>
        <v>46</v>
      </c>
      <c r="O38" s="1">
        <f t="shared" si="7"/>
        <v>1</v>
      </c>
      <c r="P38" s="1">
        <f t="shared" si="8"/>
        <v>0</v>
      </c>
      <c r="Q38" s="1">
        <f t="shared" si="9"/>
        <v>67.39</v>
      </c>
      <c r="R38" s="1" t="str">
        <f t="shared" si="10"/>
        <v>caught</v>
      </c>
      <c r="S38" s="1" t="str">
        <f t="shared" si="11"/>
        <v xml:space="preserve"> South Africa</v>
      </c>
      <c r="T38" s="1" t="str">
        <f t="shared" si="12"/>
        <v>Jaipur</v>
      </c>
      <c r="U38" s="1" t="str">
        <f t="shared" si="14"/>
        <v>Yes</v>
      </c>
      <c r="V38" s="1"/>
      <c r="W38" s="1"/>
      <c r="X38" s="1"/>
      <c r="Y38" s="1"/>
      <c r="Z38" s="1"/>
    </row>
    <row r="39" spans="1:26" ht="14.25" customHeight="1">
      <c r="A39" s="1"/>
      <c r="B39" s="1">
        <v>22</v>
      </c>
      <c r="C39" s="1" t="s">
        <v>57</v>
      </c>
      <c r="D39" s="1" t="s">
        <v>157</v>
      </c>
      <c r="E39" s="1" t="s">
        <v>157</v>
      </c>
      <c r="F39" s="1" t="s">
        <v>157</v>
      </c>
      <c r="G39" s="1" t="s">
        <v>157</v>
      </c>
      <c r="H39" s="1" t="s">
        <v>157</v>
      </c>
      <c r="I39" s="1" t="s">
        <v>191</v>
      </c>
      <c r="J39" s="1" t="s">
        <v>58</v>
      </c>
      <c r="K39" s="1"/>
      <c r="L39" s="1" t="str">
        <f t="shared" si="5"/>
        <v>Yes</v>
      </c>
      <c r="M39" s="1">
        <f t="shared" si="13"/>
        <v>57</v>
      </c>
      <c r="N39" s="1" t="str">
        <f t="shared" si="6"/>
        <v>NA</v>
      </c>
      <c r="O39" s="1" t="str">
        <f t="shared" si="7"/>
        <v>NA</v>
      </c>
      <c r="P39" s="1" t="str">
        <f t="shared" si="8"/>
        <v>NA</v>
      </c>
      <c r="Q39" s="1" t="str">
        <f t="shared" si="9"/>
        <v>NA</v>
      </c>
      <c r="R39" s="1" t="str">
        <f t="shared" si="10"/>
        <v>NA</v>
      </c>
      <c r="S39" s="1" t="str">
        <f t="shared" si="11"/>
        <v xml:space="preserve"> South Africa</v>
      </c>
      <c r="T39" s="1" t="str">
        <f t="shared" si="12"/>
        <v>Gwalior</v>
      </c>
      <c r="U39" s="1" t="str">
        <f t="shared" si="14"/>
        <v>No</v>
      </c>
      <c r="V39" s="1"/>
      <c r="W39" s="1"/>
      <c r="X39" s="1"/>
      <c r="Y39" s="1"/>
      <c r="Z39" s="1"/>
    </row>
    <row r="40" spans="1:26" ht="14.25" customHeight="1">
      <c r="A40" s="1"/>
      <c r="B40" s="1">
        <v>23</v>
      </c>
      <c r="C40" s="1" t="s">
        <v>192</v>
      </c>
      <c r="D40" s="1" t="s">
        <v>193</v>
      </c>
      <c r="E40" s="1" t="s">
        <v>140</v>
      </c>
      <c r="F40" s="1" t="s">
        <v>130</v>
      </c>
      <c r="G40" s="1" t="s">
        <v>194</v>
      </c>
      <c r="H40" s="1" t="s">
        <v>24</v>
      </c>
      <c r="I40" s="1" t="s">
        <v>191</v>
      </c>
      <c r="J40" s="1" t="s">
        <v>59</v>
      </c>
      <c r="K40" s="1"/>
      <c r="L40" s="1" t="str">
        <f t="shared" si="5"/>
        <v>No</v>
      </c>
      <c r="M40" s="1">
        <f t="shared" si="13"/>
        <v>0</v>
      </c>
      <c r="N40" s="1">
        <f t="shared" si="6"/>
        <v>71</v>
      </c>
      <c r="O40" s="1">
        <f t="shared" si="7"/>
        <v>4</v>
      </c>
      <c r="P40" s="1">
        <f t="shared" si="8"/>
        <v>1</v>
      </c>
      <c r="Q40" s="1">
        <f t="shared" si="9"/>
        <v>80.28</v>
      </c>
      <c r="R40" s="1" t="str">
        <f t="shared" si="10"/>
        <v>caught</v>
      </c>
      <c r="S40" s="1" t="str">
        <f t="shared" si="11"/>
        <v xml:space="preserve"> South Africa</v>
      </c>
      <c r="T40" s="1" t="str">
        <f t="shared" si="12"/>
        <v>Ahmedabad</v>
      </c>
      <c r="U40" s="1" t="str">
        <f t="shared" si="14"/>
        <v>Yes</v>
      </c>
      <c r="V40" s="1"/>
      <c r="W40" s="1"/>
      <c r="X40" s="1"/>
      <c r="Y40" s="1"/>
      <c r="Z40" s="1"/>
    </row>
    <row r="41" spans="1:26" ht="14.25" customHeight="1">
      <c r="A41" s="1"/>
      <c r="B41" s="1">
        <v>24</v>
      </c>
      <c r="C41" s="1" t="s">
        <v>131</v>
      </c>
      <c r="D41" s="1" t="s">
        <v>131</v>
      </c>
      <c r="E41" s="1" t="s">
        <v>131</v>
      </c>
      <c r="F41" s="1" t="s">
        <v>131</v>
      </c>
      <c r="G41" s="1" t="s">
        <v>157</v>
      </c>
      <c r="H41" s="1" t="s">
        <v>26</v>
      </c>
      <c r="I41" s="1" t="s">
        <v>195</v>
      </c>
      <c r="J41" s="1" t="s">
        <v>61</v>
      </c>
      <c r="K41" s="1"/>
      <c r="L41" s="1" t="str">
        <f t="shared" si="5"/>
        <v>No</v>
      </c>
      <c r="M41" s="1">
        <f t="shared" si="13"/>
        <v>82</v>
      </c>
      <c r="N41" s="1">
        <f t="shared" si="6"/>
        <v>0</v>
      </c>
      <c r="O41" s="1">
        <f t="shared" si="7"/>
        <v>0</v>
      </c>
      <c r="P41" s="1">
        <f t="shared" si="8"/>
        <v>0</v>
      </c>
      <c r="Q41" s="1" t="str">
        <f t="shared" si="9"/>
        <v>NA</v>
      </c>
      <c r="R41" s="1" t="str">
        <f t="shared" si="10"/>
        <v>run out</v>
      </c>
      <c r="S41" s="1" t="str">
        <f t="shared" si="11"/>
        <v xml:space="preserve"> Zimbabwe</v>
      </c>
      <c r="T41" s="1" t="str">
        <f t="shared" si="12"/>
        <v>Bulawayo</v>
      </c>
      <c r="U41" s="1" t="str">
        <f t="shared" si="14"/>
        <v>Yes</v>
      </c>
      <c r="V41" s="1"/>
      <c r="W41" s="1"/>
      <c r="X41" s="1"/>
      <c r="Y41" s="1"/>
      <c r="Z41" s="1"/>
    </row>
    <row r="42" spans="1:26" ht="14.25" customHeight="1">
      <c r="A42" s="1"/>
      <c r="B42" s="1">
        <v>25</v>
      </c>
      <c r="C42" s="1" t="s">
        <v>196</v>
      </c>
      <c r="D42" s="1" t="s">
        <v>197</v>
      </c>
      <c r="E42" s="1" t="s">
        <v>140</v>
      </c>
      <c r="F42" s="1" t="s">
        <v>131</v>
      </c>
      <c r="G42" s="1" t="s">
        <v>198</v>
      </c>
      <c r="H42" s="1" t="s">
        <v>24</v>
      </c>
      <c r="I42" s="1" t="s">
        <v>133</v>
      </c>
      <c r="J42" s="1" t="s">
        <v>61</v>
      </c>
      <c r="K42" s="1"/>
      <c r="L42" s="1" t="str">
        <f t="shared" si="5"/>
        <v>No</v>
      </c>
      <c r="M42" s="1">
        <f t="shared" si="13"/>
        <v>18</v>
      </c>
      <c r="N42" s="1">
        <f t="shared" si="6"/>
        <v>92</v>
      </c>
      <c r="O42" s="1">
        <f t="shared" si="7"/>
        <v>4</v>
      </c>
      <c r="P42" s="1">
        <f t="shared" si="8"/>
        <v>0</v>
      </c>
      <c r="Q42" s="1">
        <f t="shared" si="9"/>
        <v>89.13</v>
      </c>
      <c r="R42" s="1" t="str">
        <f t="shared" si="10"/>
        <v>caught</v>
      </c>
      <c r="S42" s="1" t="str">
        <f t="shared" si="11"/>
        <v xml:space="preserve"> Sri Lanka</v>
      </c>
      <c r="T42" s="1" t="str">
        <f t="shared" si="12"/>
        <v>Bulawayo</v>
      </c>
      <c r="U42" s="1" t="str">
        <f t="shared" si="14"/>
        <v>Yes</v>
      </c>
      <c r="V42" s="1"/>
      <c r="W42" s="1"/>
      <c r="X42" s="1"/>
      <c r="Y42" s="1"/>
      <c r="Z42" s="1"/>
    </row>
    <row r="43" spans="1:26" ht="14.25" customHeight="1">
      <c r="A43" s="1"/>
      <c r="B43" s="1">
        <v>26</v>
      </c>
      <c r="C43" s="1" t="s">
        <v>199</v>
      </c>
      <c r="D43" s="1" t="s">
        <v>200</v>
      </c>
      <c r="E43" s="1" t="s">
        <v>130</v>
      </c>
      <c r="F43" s="1" t="s">
        <v>131</v>
      </c>
      <c r="G43" s="1" t="s">
        <v>201</v>
      </c>
      <c r="H43" s="1" t="s">
        <v>24</v>
      </c>
      <c r="I43" s="1" t="s">
        <v>195</v>
      </c>
      <c r="J43" s="1" t="s">
        <v>62</v>
      </c>
      <c r="K43" s="1"/>
      <c r="L43" s="1" t="str">
        <f t="shared" si="5"/>
        <v>No</v>
      </c>
      <c r="M43" s="1">
        <f t="shared" si="13"/>
        <v>68</v>
      </c>
      <c r="N43" s="1">
        <f t="shared" si="6"/>
        <v>29</v>
      </c>
      <c r="O43" s="1">
        <f t="shared" si="7"/>
        <v>1</v>
      </c>
      <c r="P43" s="1">
        <f t="shared" si="8"/>
        <v>0</v>
      </c>
      <c r="Q43" s="1">
        <f t="shared" si="9"/>
        <v>62.06</v>
      </c>
      <c r="R43" s="1" t="str">
        <f t="shared" si="10"/>
        <v>caught</v>
      </c>
      <c r="S43" s="1" t="str">
        <f t="shared" si="11"/>
        <v xml:space="preserve"> Zimbabwe</v>
      </c>
      <c r="T43" s="1" t="str">
        <f t="shared" si="12"/>
        <v>Harare</v>
      </c>
      <c r="U43" s="1" t="str">
        <f t="shared" si="14"/>
        <v>Yes</v>
      </c>
      <c r="V43" s="1"/>
      <c r="W43" s="1"/>
      <c r="X43" s="1"/>
      <c r="Y43" s="1"/>
      <c r="Z43" s="1"/>
    </row>
    <row r="44" spans="1:26" ht="14.25" customHeight="1">
      <c r="A44" s="1"/>
      <c r="B44" s="1">
        <v>27</v>
      </c>
      <c r="C44" s="1" t="s">
        <v>184</v>
      </c>
      <c r="D44" s="1" t="s">
        <v>187</v>
      </c>
      <c r="E44" s="1" t="s">
        <v>202</v>
      </c>
      <c r="F44" s="1" t="s">
        <v>131</v>
      </c>
      <c r="G44" s="1" t="s">
        <v>203</v>
      </c>
      <c r="H44" s="1" t="s">
        <v>24</v>
      </c>
      <c r="I44" s="1" t="s">
        <v>133</v>
      </c>
      <c r="J44" s="1" t="s">
        <v>62</v>
      </c>
      <c r="K44" s="1"/>
      <c r="L44" s="1" t="str">
        <f t="shared" si="5"/>
        <v>No</v>
      </c>
      <c r="M44" s="1">
        <f t="shared" si="13"/>
        <v>11</v>
      </c>
      <c r="N44" s="1">
        <f t="shared" si="6"/>
        <v>95</v>
      </c>
      <c r="O44" s="1">
        <f t="shared" si="7"/>
        <v>5</v>
      </c>
      <c r="P44" s="1">
        <f t="shared" si="8"/>
        <v>0</v>
      </c>
      <c r="Q44" s="1">
        <f t="shared" si="9"/>
        <v>71.569999999999993</v>
      </c>
      <c r="R44" s="1" t="str">
        <f t="shared" si="10"/>
        <v>caught</v>
      </c>
      <c r="S44" s="1" t="str">
        <f t="shared" si="11"/>
        <v xml:space="preserve"> Sri Lanka</v>
      </c>
      <c r="T44" s="1" t="str">
        <f t="shared" si="12"/>
        <v>Harare</v>
      </c>
      <c r="U44" s="1" t="str">
        <f t="shared" si="14"/>
        <v>Yes</v>
      </c>
      <c r="V44" s="1"/>
      <c r="W44" s="1"/>
      <c r="X44" s="1"/>
      <c r="Y44" s="1"/>
      <c r="Z44" s="1"/>
    </row>
    <row r="45" spans="1:26" ht="14.25" customHeight="1">
      <c r="A45" s="1"/>
      <c r="B45" s="1">
        <v>28</v>
      </c>
      <c r="C45" s="1" t="s">
        <v>176</v>
      </c>
      <c r="D45" s="1" t="s">
        <v>129</v>
      </c>
      <c r="E45" s="1" t="s">
        <v>131</v>
      </c>
      <c r="F45" s="1" t="s">
        <v>131</v>
      </c>
      <c r="G45" s="1" t="s">
        <v>204</v>
      </c>
      <c r="H45" s="1" t="s">
        <v>63</v>
      </c>
      <c r="I45" s="1" t="s">
        <v>182</v>
      </c>
      <c r="J45" s="1" t="s">
        <v>21</v>
      </c>
      <c r="K45" s="1"/>
      <c r="L45" s="1" t="str">
        <f t="shared" si="5"/>
        <v>No</v>
      </c>
      <c r="M45" s="1">
        <f t="shared" si="13"/>
        <v>18</v>
      </c>
      <c r="N45" s="1">
        <f t="shared" si="6"/>
        <v>22</v>
      </c>
      <c r="O45" s="1">
        <f t="shared" si="7"/>
        <v>0</v>
      </c>
      <c r="P45" s="1">
        <f t="shared" si="8"/>
        <v>0</v>
      </c>
      <c r="Q45" s="1">
        <f t="shared" si="9"/>
        <v>50</v>
      </c>
      <c r="R45" s="1" t="str">
        <f t="shared" si="10"/>
        <v>stumped</v>
      </c>
      <c r="S45" s="1" t="str">
        <f t="shared" si="11"/>
        <v xml:space="preserve"> Bangladesh</v>
      </c>
      <c r="T45" s="1" t="str">
        <f t="shared" si="12"/>
        <v>Dambulla</v>
      </c>
      <c r="U45" s="1" t="str">
        <f t="shared" si="14"/>
        <v>Yes</v>
      </c>
      <c r="V45" s="1"/>
      <c r="W45" s="1"/>
      <c r="X45" s="1"/>
      <c r="Y45" s="1"/>
      <c r="Z45" s="1"/>
    </row>
    <row r="46" spans="1:26" ht="14.25" customHeight="1">
      <c r="A46" s="1"/>
      <c r="B46" s="1">
        <v>29</v>
      </c>
      <c r="C46" s="1" t="s">
        <v>199</v>
      </c>
      <c r="D46" s="1" t="s">
        <v>169</v>
      </c>
      <c r="E46" s="1" t="s">
        <v>130</v>
      </c>
      <c r="F46" s="1" t="s">
        <v>131</v>
      </c>
      <c r="G46" s="1" t="s">
        <v>155</v>
      </c>
      <c r="H46" s="1" t="s">
        <v>29</v>
      </c>
      <c r="I46" s="1" t="s">
        <v>156</v>
      </c>
      <c r="J46" s="1" t="s">
        <v>21</v>
      </c>
      <c r="K46" s="1"/>
      <c r="L46" s="1" t="str">
        <f t="shared" si="5"/>
        <v>No</v>
      </c>
      <c r="M46" s="1">
        <f t="shared" si="13"/>
        <v>10</v>
      </c>
      <c r="N46" s="1">
        <f t="shared" si="6"/>
        <v>27</v>
      </c>
      <c r="O46" s="1">
        <f t="shared" si="7"/>
        <v>1</v>
      </c>
      <c r="P46" s="1">
        <f t="shared" si="8"/>
        <v>0</v>
      </c>
      <c r="Q46" s="1">
        <f t="shared" si="9"/>
        <v>66.66</v>
      </c>
      <c r="R46" s="1" t="str">
        <f t="shared" si="10"/>
        <v>bowled</v>
      </c>
      <c r="S46" s="1" t="str">
        <f t="shared" si="11"/>
        <v xml:space="preserve"> Pakistan</v>
      </c>
      <c r="T46" s="1" t="str">
        <f t="shared" si="12"/>
        <v>Dambulla</v>
      </c>
      <c r="U46" s="1" t="str">
        <f t="shared" si="14"/>
        <v>Yes</v>
      </c>
      <c r="V46" s="1"/>
      <c r="W46" s="1"/>
      <c r="X46" s="1"/>
      <c r="Y46" s="1"/>
      <c r="Z46" s="1"/>
    </row>
    <row r="47" spans="1:26" ht="14.25" customHeight="1">
      <c r="A47" s="1"/>
      <c r="B47" s="1">
        <v>30</v>
      </c>
      <c r="C47" s="1" t="s">
        <v>167</v>
      </c>
      <c r="D47" s="1" t="s">
        <v>205</v>
      </c>
      <c r="E47" s="1" t="s">
        <v>130</v>
      </c>
      <c r="F47" s="1" t="s">
        <v>131</v>
      </c>
      <c r="G47" s="1" t="s">
        <v>206</v>
      </c>
      <c r="H47" s="1" t="s">
        <v>24</v>
      </c>
      <c r="I47" s="1" t="s">
        <v>133</v>
      </c>
      <c r="J47" s="1" t="s">
        <v>21</v>
      </c>
      <c r="K47" s="1"/>
      <c r="L47" s="1" t="str">
        <f t="shared" si="5"/>
        <v>No</v>
      </c>
      <c r="M47" s="1">
        <f t="shared" si="13"/>
        <v>28</v>
      </c>
      <c r="N47" s="1">
        <f t="shared" si="6"/>
        <v>14</v>
      </c>
      <c r="O47" s="1">
        <f t="shared" si="7"/>
        <v>1</v>
      </c>
      <c r="P47" s="1">
        <f t="shared" si="8"/>
        <v>0</v>
      </c>
      <c r="Q47" s="1">
        <f t="shared" si="9"/>
        <v>71.42</v>
      </c>
      <c r="R47" s="1" t="str">
        <f t="shared" si="10"/>
        <v>caught</v>
      </c>
      <c r="S47" s="1" t="str">
        <f t="shared" si="11"/>
        <v xml:space="preserve"> Sri Lanka</v>
      </c>
      <c r="T47" s="1" t="str">
        <f t="shared" si="12"/>
        <v>Dambulla</v>
      </c>
      <c r="U47" s="1" t="str">
        <f t="shared" si="14"/>
        <v>Yes</v>
      </c>
      <c r="V47" s="1"/>
      <c r="W47" s="1"/>
      <c r="X47" s="1"/>
      <c r="Y47" s="1"/>
      <c r="Z47" s="1"/>
    </row>
    <row r="48" spans="1:26" ht="14.25" customHeight="1">
      <c r="A48" s="1"/>
      <c r="B48" s="1">
        <v>31</v>
      </c>
      <c r="C48" s="1" t="s">
        <v>207</v>
      </c>
      <c r="D48" s="1" t="s">
        <v>208</v>
      </c>
      <c r="E48" s="1" t="s">
        <v>140</v>
      </c>
      <c r="F48" s="1" t="s">
        <v>131</v>
      </c>
      <c r="G48" s="1" t="s">
        <v>209</v>
      </c>
      <c r="H48" s="1" t="s">
        <v>24</v>
      </c>
      <c r="I48" s="1" t="s">
        <v>133</v>
      </c>
      <c r="J48" s="1" t="s">
        <v>21</v>
      </c>
      <c r="K48" s="1"/>
      <c r="L48" s="1" t="str">
        <f t="shared" si="5"/>
        <v>No</v>
      </c>
      <c r="M48" s="1">
        <f t="shared" si="13"/>
        <v>0</v>
      </c>
      <c r="N48" s="1">
        <f t="shared" si="6"/>
        <v>34</v>
      </c>
      <c r="O48" s="1">
        <f t="shared" si="7"/>
        <v>4</v>
      </c>
      <c r="P48" s="1">
        <f t="shared" si="8"/>
        <v>0</v>
      </c>
      <c r="Q48" s="1">
        <f t="shared" si="9"/>
        <v>82.35</v>
      </c>
      <c r="R48" s="1" t="str">
        <f t="shared" si="10"/>
        <v>caught</v>
      </c>
      <c r="S48" s="1" t="str">
        <f t="shared" si="11"/>
        <v xml:space="preserve"> Sri Lanka</v>
      </c>
      <c r="T48" s="1" t="str">
        <f t="shared" si="12"/>
        <v>Dambulla</v>
      </c>
      <c r="U48" s="1" t="str">
        <f t="shared" si="14"/>
        <v>Yes</v>
      </c>
      <c r="V48" s="1"/>
      <c r="W48" s="1"/>
      <c r="X48" s="1"/>
      <c r="Y48" s="1"/>
      <c r="Z48" s="1"/>
    </row>
    <row r="49" spans="1:26" ht="14.25" customHeight="1">
      <c r="A49" s="1"/>
      <c r="B49" s="1">
        <v>32</v>
      </c>
      <c r="C49" s="1" t="s">
        <v>131</v>
      </c>
      <c r="D49" s="1" t="s">
        <v>148</v>
      </c>
      <c r="E49" s="1" t="s">
        <v>131</v>
      </c>
      <c r="F49" s="1" t="s">
        <v>131</v>
      </c>
      <c r="G49" s="1" t="s">
        <v>210</v>
      </c>
      <c r="H49" s="1" t="s">
        <v>24</v>
      </c>
      <c r="I49" s="1" t="s">
        <v>133</v>
      </c>
      <c r="J49" s="1" t="s">
        <v>21</v>
      </c>
      <c r="K49" s="1"/>
      <c r="L49" s="1" t="str">
        <f t="shared" si="5"/>
        <v>No</v>
      </c>
      <c r="M49" s="1">
        <f t="shared" si="13"/>
        <v>8</v>
      </c>
      <c r="N49" s="1">
        <f t="shared" si="6"/>
        <v>3</v>
      </c>
      <c r="O49" s="1">
        <f t="shared" si="7"/>
        <v>0</v>
      </c>
      <c r="P49" s="1">
        <f t="shared" si="8"/>
        <v>0</v>
      </c>
      <c r="Q49" s="1">
        <f t="shared" si="9"/>
        <v>0</v>
      </c>
      <c r="R49" s="1" t="str">
        <f t="shared" si="10"/>
        <v>caught</v>
      </c>
      <c r="S49" s="1" t="str">
        <f t="shared" si="11"/>
        <v xml:space="preserve"> Sri Lanka</v>
      </c>
      <c r="T49" s="1" t="str">
        <f t="shared" si="12"/>
        <v>Dambulla</v>
      </c>
      <c r="U49" s="1" t="str">
        <f t="shared" si="14"/>
        <v>Yes</v>
      </c>
      <c r="V49" s="1"/>
      <c r="W49" s="1"/>
      <c r="X49" s="1"/>
      <c r="Y49" s="1"/>
      <c r="Z49" s="1"/>
    </row>
    <row r="50" spans="1:26" ht="14.25" customHeight="1">
      <c r="A50" s="1"/>
      <c r="B50" s="1">
        <v>33</v>
      </c>
      <c r="C50" s="1" t="s">
        <v>189</v>
      </c>
      <c r="D50" s="1" t="s">
        <v>153</v>
      </c>
      <c r="E50" s="1" t="s">
        <v>130</v>
      </c>
      <c r="F50" s="1" t="s">
        <v>131</v>
      </c>
      <c r="G50" s="1" t="s">
        <v>204</v>
      </c>
      <c r="H50" s="1" t="s">
        <v>24</v>
      </c>
      <c r="I50" s="1" t="s">
        <v>211</v>
      </c>
      <c r="J50" s="1" t="s">
        <v>21</v>
      </c>
      <c r="K50" s="1"/>
      <c r="L50" s="1" t="str">
        <f t="shared" si="5"/>
        <v>No</v>
      </c>
      <c r="M50" s="1">
        <f t="shared" si="13"/>
        <v>37</v>
      </c>
      <c r="N50" s="1">
        <f t="shared" si="6"/>
        <v>16</v>
      </c>
      <c r="O50" s="1">
        <f t="shared" si="7"/>
        <v>1</v>
      </c>
      <c r="P50" s="1">
        <f t="shared" si="8"/>
        <v>0</v>
      </c>
      <c r="Q50" s="1">
        <f t="shared" si="9"/>
        <v>50</v>
      </c>
      <c r="R50" s="1" t="str">
        <f t="shared" si="10"/>
        <v>caught</v>
      </c>
      <c r="S50" s="1" t="str">
        <f t="shared" si="11"/>
        <v xml:space="preserve"> New Zealand</v>
      </c>
      <c r="T50" s="1" t="str">
        <f t="shared" si="12"/>
        <v>Dambulla</v>
      </c>
      <c r="U50" s="1" t="str">
        <f t="shared" si="14"/>
        <v>Yes</v>
      </c>
      <c r="V50" s="1"/>
      <c r="W50" s="1"/>
      <c r="X50" s="1"/>
      <c r="Y50" s="1"/>
      <c r="Z50" s="1"/>
    </row>
    <row r="51" spans="1:26" ht="14.25" customHeight="1">
      <c r="A51" s="1"/>
      <c r="B51" s="1">
        <v>34</v>
      </c>
      <c r="C51" s="1" t="s">
        <v>134</v>
      </c>
      <c r="D51" s="1" t="s">
        <v>192</v>
      </c>
      <c r="E51" s="1" t="s">
        <v>202</v>
      </c>
      <c r="F51" s="1" t="s">
        <v>131</v>
      </c>
      <c r="G51" s="1" t="s">
        <v>212</v>
      </c>
      <c r="H51" s="1" t="s">
        <v>24</v>
      </c>
      <c r="I51" s="1" t="s">
        <v>133</v>
      </c>
      <c r="J51" s="1" t="s">
        <v>21</v>
      </c>
      <c r="K51" s="1"/>
      <c r="L51" s="1" t="str">
        <f t="shared" si="5"/>
        <v>No</v>
      </c>
      <c r="M51" s="1">
        <f t="shared" si="13"/>
        <v>118</v>
      </c>
      <c r="N51" s="1">
        <f t="shared" si="6"/>
        <v>57</v>
      </c>
      <c r="O51" s="1">
        <f t="shared" si="7"/>
        <v>5</v>
      </c>
      <c r="P51" s="1">
        <f t="shared" si="8"/>
        <v>0</v>
      </c>
      <c r="Q51" s="1">
        <f t="shared" si="9"/>
        <v>64.91</v>
      </c>
      <c r="R51" s="1" t="str">
        <f t="shared" si="10"/>
        <v>caught</v>
      </c>
      <c r="S51" s="1" t="str">
        <f t="shared" si="11"/>
        <v xml:space="preserve"> Sri Lanka</v>
      </c>
      <c r="T51" s="1" t="str">
        <f t="shared" si="12"/>
        <v>Dambulla</v>
      </c>
      <c r="U51" s="1" t="str">
        <f t="shared" si="14"/>
        <v>Yes</v>
      </c>
      <c r="V51" s="1"/>
      <c r="W51" s="1"/>
      <c r="X51" s="1"/>
      <c r="Y51" s="1"/>
      <c r="Z51" s="1"/>
    </row>
    <row r="52" spans="1:26" ht="14.25" customHeight="1">
      <c r="A52" s="1"/>
      <c r="B52" s="1">
        <v>35</v>
      </c>
      <c r="C52" s="1" t="s">
        <v>213</v>
      </c>
      <c r="D52" s="1" t="s">
        <v>214</v>
      </c>
      <c r="E52" s="1" t="s">
        <v>176</v>
      </c>
      <c r="F52" s="1" t="s">
        <v>130</v>
      </c>
      <c r="G52" s="1" t="s">
        <v>215</v>
      </c>
      <c r="H52" s="1" t="s">
        <v>24</v>
      </c>
      <c r="I52" s="1" t="s">
        <v>158</v>
      </c>
      <c r="J52" s="1" t="s">
        <v>65</v>
      </c>
      <c r="K52" s="1"/>
      <c r="L52" s="1" t="str">
        <f t="shared" si="5"/>
        <v>No</v>
      </c>
      <c r="M52" s="1">
        <f t="shared" si="13"/>
        <v>105</v>
      </c>
      <c r="N52" s="1">
        <f t="shared" si="6"/>
        <v>121</v>
      </c>
      <c r="O52" s="1">
        <f t="shared" si="7"/>
        <v>11</v>
      </c>
      <c r="P52" s="1">
        <f t="shared" si="8"/>
        <v>1</v>
      </c>
      <c r="Q52" s="1">
        <f t="shared" si="9"/>
        <v>97.52</v>
      </c>
      <c r="R52" s="1" t="str">
        <f t="shared" si="10"/>
        <v>caught</v>
      </c>
      <c r="S52" s="1" t="str">
        <f t="shared" si="11"/>
        <v xml:space="preserve"> Australia</v>
      </c>
      <c r="T52" s="1" t="str">
        <f t="shared" si="12"/>
        <v>Visakhapatnam</v>
      </c>
      <c r="U52" s="1" t="str">
        <f t="shared" si="14"/>
        <v>Yes</v>
      </c>
      <c r="V52" s="1"/>
      <c r="W52" s="1"/>
      <c r="X52" s="1"/>
      <c r="Y52" s="1"/>
      <c r="Z52" s="1"/>
    </row>
    <row r="53" spans="1:26" ht="14.25" customHeight="1">
      <c r="A53" s="1"/>
      <c r="B53" s="1">
        <v>36</v>
      </c>
      <c r="C53" s="1" t="s">
        <v>216</v>
      </c>
      <c r="D53" s="1" t="s">
        <v>160</v>
      </c>
      <c r="E53" s="1" t="s">
        <v>167</v>
      </c>
      <c r="F53" s="1" t="s">
        <v>131</v>
      </c>
      <c r="G53" s="1" t="s">
        <v>217</v>
      </c>
      <c r="H53" s="1" t="s">
        <v>24</v>
      </c>
      <c r="I53" s="1" t="s">
        <v>211</v>
      </c>
      <c r="J53" s="1" t="s">
        <v>66</v>
      </c>
      <c r="K53" s="1"/>
      <c r="L53" s="1" t="str">
        <f t="shared" si="5"/>
        <v>No</v>
      </c>
      <c r="M53" s="1">
        <f t="shared" si="13"/>
        <v>64</v>
      </c>
      <c r="N53" s="1">
        <f t="shared" si="6"/>
        <v>104</v>
      </c>
      <c r="O53" s="1">
        <f t="shared" si="7"/>
        <v>10</v>
      </c>
      <c r="P53" s="1">
        <f t="shared" si="8"/>
        <v>0</v>
      </c>
      <c r="Q53" s="1">
        <f t="shared" si="9"/>
        <v>100.96</v>
      </c>
      <c r="R53" s="1" t="str">
        <f t="shared" si="10"/>
        <v>caught</v>
      </c>
      <c r="S53" s="1" t="str">
        <f t="shared" si="11"/>
        <v xml:space="preserve"> New Zealand</v>
      </c>
      <c r="T53" s="1" t="str">
        <f t="shared" si="12"/>
        <v>Guwahati</v>
      </c>
      <c r="U53" s="1" t="str">
        <f t="shared" si="14"/>
        <v>Yes</v>
      </c>
      <c r="V53" s="1"/>
      <c r="W53" s="1"/>
      <c r="X53" s="1"/>
      <c r="Y53" s="1"/>
      <c r="Z53" s="1"/>
    </row>
    <row r="54" spans="1:26" ht="14.25" customHeight="1">
      <c r="A54" s="1"/>
      <c r="B54" s="1">
        <v>37</v>
      </c>
      <c r="C54" s="1" t="s">
        <v>218</v>
      </c>
      <c r="D54" s="1" t="s">
        <v>219</v>
      </c>
      <c r="E54" s="1" t="s">
        <v>189</v>
      </c>
      <c r="F54" s="1" t="s">
        <v>131</v>
      </c>
      <c r="G54" s="1" t="s">
        <v>220</v>
      </c>
      <c r="H54" s="1" t="s">
        <v>24</v>
      </c>
      <c r="I54" s="1" t="s">
        <v>211</v>
      </c>
      <c r="J54" s="1" t="s">
        <v>56</v>
      </c>
      <c r="K54" s="1"/>
      <c r="L54" s="1" t="str">
        <f t="shared" si="5"/>
        <v>No</v>
      </c>
      <c r="M54" s="1">
        <f t="shared" si="13"/>
        <v>63</v>
      </c>
      <c r="N54" s="1">
        <f t="shared" si="6"/>
        <v>73</v>
      </c>
      <c r="O54" s="1">
        <f t="shared" si="7"/>
        <v>8</v>
      </c>
      <c r="P54" s="1">
        <f t="shared" si="8"/>
        <v>0</v>
      </c>
      <c r="Q54" s="1">
        <f t="shared" si="9"/>
        <v>87.67</v>
      </c>
      <c r="R54" s="1" t="str">
        <f t="shared" si="10"/>
        <v>caught</v>
      </c>
      <c r="S54" s="1" t="str">
        <f t="shared" si="11"/>
        <v xml:space="preserve"> New Zealand</v>
      </c>
      <c r="T54" s="1" t="str">
        <f t="shared" si="12"/>
        <v>Jaipur</v>
      </c>
      <c r="U54" s="1" t="str">
        <f t="shared" si="14"/>
        <v>Yes</v>
      </c>
      <c r="V54" s="1"/>
      <c r="W54" s="1"/>
      <c r="X54" s="1"/>
      <c r="Y54" s="1"/>
      <c r="Z54" s="1"/>
    </row>
    <row r="55" spans="1:26" ht="14.25" customHeight="1">
      <c r="A55" s="1"/>
      <c r="B55" s="1">
        <v>38</v>
      </c>
      <c r="C55" s="1" t="s">
        <v>221</v>
      </c>
      <c r="D55" s="1" t="s">
        <v>222</v>
      </c>
      <c r="E55" s="1" t="s">
        <v>136</v>
      </c>
      <c r="F55" s="1" t="s">
        <v>151</v>
      </c>
      <c r="G55" s="1" t="s">
        <v>223</v>
      </c>
      <c r="H55" s="1" t="s">
        <v>32</v>
      </c>
      <c r="I55" s="1" t="s">
        <v>211</v>
      </c>
      <c r="J55" s="1" t="s">
        <v>44</v>
      </c>
      <c r="K55" s="1"/>
      <c r="L55" s="1" t="str">
        <f t="shared" si="5"/>
        <v>No</v>
      </c>
      <c r="M55" s="1">
        <f t="shared" si="13"/>
        <v>0</v>
      </c>
      <c r="N55" s="1">
        <f t="shared" si="6"/>
        <v>70</v>
      </c>
      <c r="O55" s="1">
        <f t="shared" si="7"/>
        <v>6</v>
      </c>
      <c r="P55" s="1">
        <f t="shared" si="8"/>
        <v>2</v>
      </c>
      <c r="Q55" s="1">
        <f t="shared" si="9"/>
        <v>90</v>
      </c>
      <c r="R55" s="1" t="str">
        <f t="shared" si="10"/>
        <v>not out</v>
      </c>
      <c r="S55" s="1" t="str">
        <f t="shared" si="11"/>
        <v xml:space="preserve"> New Zealand</v>
      </c>
      <c r="T55" s="1" t="str">
        <f t="shared" si="12"/>
        <v>Vadodara</v>
      </c>
      <c r="U55" s="1" t="str">
        <f t="shared" si="14"/>
        <v>No</v>
      </c>
      <c r="V55" s="1"/>
      <c r="W55" s="1"/>
      <c r="X55" s="1"/>
      <c r="Y55" s="1"/>
      <c r="Z55" s="1"/>
    </row>
    <row r="56" spans="1:26" ht="14.25" customHeight="1">
      <c r="A56" s="1"/>
      <c r="B56" s="1">
        <v>39</v>
      </c>
      <c r="C56" s="1" t="s">
        <v>131</v>
      </c>
      <c r="D56" s="1" t="s">
        <v>151</v>
      </c>
      <c r="E56" s="1" t="s">
        <v>131</v>
      </c>
      <c r="F56" s="1" t="s">
        <v>131</v>
      </c>
      <c r="G56" s="1" t="s">
        <v>210</v>
      </c>
      <c r="H56" s="1" t="s">
        <v>24</v>
      </c>
      <c r="I56" s="1" t="s">
        <v>211</v>
      </c>
      <c r="J56" s="1" t="s">
        <v>67</v>
      </c>
      <c r="K56" s="1"/>
      <c r="L56" s="1" t="str">
        <f t="shared" si="5"/>
        <v>No</v>
      </c>
      <c r="M56" s="1">
        <f t="shared" si="13"/>
        <v>2</v>
      </c>
      <c r="N56" s="1">
        <f t="shared" si="6"/>
        <v>2</v>
      </c>
      <c r="O56" s="1">
        <f t="shared" si="7"/>
        <v>0</v>
      </c>
      <c r="P56" s="1">
        <f t="shared" si="8"/>
        <v>0</v>
      </c>
      <c r="Q56" s="1">
        <f t="shared" si="9"/>
        <v>0</v>
      </c>
      <c r="R56" s="1" t="str">
        <f t="shared" si="10"/>
        <v>caught</v>
      </c>
      <c r="S56" s="1" t="str">
        <f t="shared" si="11"/>
        <v xml:space="preserve"> New Zealand</v>
      </c>
      <c r="T56" s="1" t="str">
        <f t="shared" si="12"/>
        <v>Bengaluru</v>
      </c>
      <c r="U56" s="1" t="str">
        <f t="shared" si="14"/>
        <v>Yes</v>
      </c>
      <c r="V56" s="1"/>
      <c r="W56" s="1"/>
      <c r="X56" s="1"/>
      <c r="Y56" s="1"/>
      <c r="Z56" s="1"/>
    </row>
    <row r="57" spans="1:26" ht="14.25" customHeight="1">
      <c r="A57" s="1"/>
      <c r="B57" s="1">
        <v>40</v>
      </c>
      <c r="C57" s="1" t="s">
        <v>151</v>
      </c>
      <c r="D57" s="1" t="s">
        <v>189</v>
      </c>
      <c r="E57" s="1" t="s">
        <v>131</v>
      </c>
      <c r="F57" s="1" t="s">
        <v>131</v>
      </c>
      <c r="G57" s="1" t="s">
        <v>190</v>
      </c>
      <c r="H57" s="1" t="s">
        <v>24</v>
      </c>
      <c r="I57" s="1" t="s">
        <v>211</v>
      </c>
      <c r="J57" s="1" t="s">
        <v>68</v>
      </c>
      <c r="K57" s="1"/>
      <c r="L57" s="1" t="str">
        <f t="shared" si="5"/>
        <v>No</v>
      </c>
      <c r="M57" s="1">
        <f t="shared" si="13"/>
        <v>54</v>
      </c>
      <c r="N57" s="1">
        <f t="shared" si="6"/>
        <v>8</v>
      </c>
      <c r="O57" s="1">
        <f t="shared" si="7"/>
        <v>0</v>
      </c>
      <c r="P57" s="1">
        <f t="shared" si="8"/>
        <v>0</v>
      </c>
      <c r="Q57" s="1">
        <f t="shared" si="9"/>
        <v>25</v>
      </c>
      <c r="R57" s="1" t="str">
        <f t="shared" si="10"/>
        <v>caught</v>
      </c>
      <c r="S57" s="1" t="str">
        <f t="shared" si="11"/>
        <v xml:space="preserve"> New Zealand</v>
      </c>
      <c r="T57" s="1" t="str">
        <f t="shared" si="12"/>
        <v>Chennai</v>
      </c>
      <c r="U57" s="1" t="str">
        <f t="shared" si="14"/>
        <v>Yes</v>
      </c>
      <c r="V57" s="1"/>
      <c r="W57" s="1"/>
      <c r="X57" s="1"/>
      <c r="Y57" s="1"/>
      <c r="Z57" s="1"/>
    </row>
    <row r="58" spans="1:26" ht="14.25" customHeight="1">
      <c r="A58" s="1"/>
      <c r="B58" s="1">
        <v>41</v>
      </c>
      <c r="C58" s="1" t="s">
        <v>142</v>
      </c>
      <c r="D58" s="1" t="s">
        <v>222</v>
      </c>
      <c r="E58" s="1" t="s">
        <v>151</v>
      </c>
      <c r="F58" s="1" t="s">
        <v>130</v>
      </c>
      <c r="G58" s="1" t="s">
        <v>224</v>
      </c>
      <c r="H58" s="1" t="s">
        <v>24</v>
      </c>
      <c r="I58" s="1" t="s">
        <v>191</v>
      </c>
      <c r="J58" s="1" t="s">
        <v>69</v>
      </c>
      <c r="K58" s="1"/>
      <c r="L58" s="1" t="str">
        <f t="shared" si="5"/>
        <v>No</v>
      </c>
      <c r="M58" s="1">
        <f t="shared" si="13"/>
        <v>22</v>
      </c>
      <c r="N58" s="1">
        <f t="shared" si="6"/>
        <v>70</v>
      </c>
      <c r="O58" s="1">
        <f t="shared" si="7"/>
        <v>2</v>
      </c>
      <c r="P58" s="1">
        <f t="shared" si="8"/>
        <v>1</v>
      </c>
      <c r="Q58" s="1">
        <f t="shared" si="9"/>
        <v>77.14</v>
      </c>
      <c r="R58" s="1" t="str">
        <f t="shared" si="10"/>
        <v>caught</v>
      </c>
      <c r="S58" s="1" t="str">
        <f t="shared" si="11"/>
        <v xml:space="preserve"> South Africa</v>
      </c>
      <c r="T58" s="1" t="str">
        <f t="shared" si="12"/>
        <v>Durban</v>
      </c>
      <c r="U58" s="1" t="str">
        <f t="shared" si="14"/>
        <v>Yes</v>
      </c>
      <c r="V58" s="1"/>
      <c r="W58" s="1"/>
      <c r="X58" s="1"/>
      <c r="Y58" s="1"/>
      <c r="Z58" s="1"/>
    </row>
    <row r="59" spans="1:26" ht="14.25" customHeight="1">
      <c r="A59" s="1"/>
      <c r="B59" s="1">
        <v>42</v>
      </c>
      <c r="C59" s="1" t="s">
        <v>129</v>
      </c>
      <c r="D59" s="1" t="s">
        <v>208</v>
      </c>
      <c r="E59" s="1" t="s">
        <v>130</v>
      </c>
      <c r="F59" s="1" t="s">
        <v>131</v>
      </c>
      <c r="G59" s="1" t="s">
        <v>225</v>
      </c>
      <c r="H59" s="1" t="s">
        <v>26</v>
      </c>
      <c r="I59" s="1" t="s">
        <v>191</v>
      </c>
      <c r="J59" s="1" t="s">
        <v>43</v>
      </c>
      <c r="K59" s="1"/>
      <c r="L59" s="1" t="str">
        <f t="shared" si="5"/>
        <v>No</v>
      </c>
      <c r="M59" s="1">
        <f t="shared" si="13"/>
        <v>28</v>
      </c>
      <c r="N59" s="1">
        <f t="shared" si="6"/>
        <v>34</v>
      </c>
      <c r="O59" s="1">
        <f t="shared" si="7"/>
        <v>1</v>
      </c>
      <c r="P59" s="1">
        <f t="shared" si="8"/>
        <v>0</v>
      </c>
      <c r="Q59" s="1">
        <f t="shared" si="9"/>
        <v>64.7</v>
      </c>
      <c r="R59" s="1" t="str">
        <f t="shared" si="10"/>
        <v>run out</v>
      </c>
      <c r="S59" s="1" t="str">
        <f t="shared" si="11"/>
        <v xml:space="preserve"> South Africa</v>
      </c>
      <c r="T59" s="1" t="str">
        <f t="shared" si="12"/>
        <v>Johannesburg</v>
      </c>
      <c r="U59" s="1" t="str">
        <f t="shared" si="14"/>
        <v>Yes</v>
      </c>
      <c r="V59" s="1"/>
      <c r="W59" s="1"/>
      <c r="X59" s="1"/>
      <c r="Y59" s="1"/>
      <c r="Z59" s="1"/>
    </row>
    <row r="60" spans="1:26" ht="14.25" customHeight="1">
      <c r="A60" s="1"/>
      <c r="B60" s="1">
        <v>43</v>
      </c>
      <c r="C60" s="1" t="s">
        <v>207</v>
      </c>
      <c r="D60" s="1" t="s">
        <v>165</v>
      </c>
      <c r="E60" s="1" t="s">
        <v>202</v>
      </c>
      <c r="F60" s="1" t="s">
        <v>131</v>
      </c>
      <c r="G60" s="1" t="s">
        <v>226</v>
      </c>
      <c r="H60" s="1" t="s">
        <v>24</v>
      </c>
      <c r="I60" s="1" t="s">
        <v>191</v>
      </c>
      <c r="J60" s="1" t="s">
        <v>70</v>
      </c>
      <c r="K60" s="1"/>
      <c r="L60" s="1" t="str">
        <f t="shared" si="5"/>
        <v>No</v>
      </c>
      <c r="M60" s="1">
        <f t="shared" si="13"/>
        <v>87</v>
      </c>
      <c r="N60" s="1">
        <f t="shared" si="6"/>
        <v>41</v>
      </c>
      <c r="O60" s="1">
        <f t="shared" si="7"/>
        <v>5</v>
      </c>
      <c r="P60" s="1">
        <f t="shared" si="8"/>
        <v>0</v>
      </c>
      <c r="Q60" s="1">
        <f t="shared" si="9"/>
        <v>68.290000000000006</v>
      </c>
      <c r="R60" s="1" t="str">
        <f t="shared" si="10"/>
        <v>caught</v>
      </c>
      <c r="S60" s="1" t="str">
        <f t="shared" si="11"/>
        <v xml:space="preserve"> South Africa</v>
      </c>
      <c r="T60" s="1" t="str">
        <f t="shared" si="12"/>
        <v>Cape Town</v>
      </c>
      <c r="U60" s="1" t="str">
        <f t="shared" si="14"/>
        <v>Yes</v>
      </c>
      <c r="V60" s="1"/>
      <c r="W60" s="1"/>
      <c r="X60" s="1"/>
      <c r="Y60" s="1"/>
      <c r="Z60" s="1"/>
    </row>
    <row r="61" spans="1:26" ht="14.25" customHeight="1">
      <c r="A61" s="1"/>
      <c r="B61" s="1">
        <v>44</v>
      </c>
      <c r="C61" s="1" t="s">
        <v>227</v>
      </c>
      <c r="D61" s="1" t="s">
        <v>197</v>
      </c>
      <c r="E61" s="1" t="s">
        <v>144</v>
      </c>
      <c r="F61" s="1" t="s">
        <v>151</v>
      </c>
      <c r="G61" s="1" t="s">
        <v>228</v>
      </c>
      <c r="H61" s="1" t="s">
        <v>32</v>
      </c>
      <c r="I61" s="1" t="s">
        <v>191</v>
      </c>
      <c r="J61" s="1" t="s">
        <v>71</v>
      </c>
      <c r="K61" s="1"/>
      <c r="L61" s="1" t="str">
        <f t="shared" si="5"/>
        <v>No</v>
      </c>
      <c r="M61" s="1">
        <f t="shared" si="13"/>
        <v>2</v>
      </c>
      <c r="N61" s="1">
        <f t="shared" si="6"/>
        <v>92</v>
      </c>
      <c r="O61" s="1">
        <f t="shared" si="7"/>
        <v>7</v>
      </c>
      <c r="P61" s="1">
        <f t="shared" si="8"/>
        <v>2</v>
      </c>
      <c r="Q61" s="1">
        <f t="shared" si="9"/>
        <v>94.56</v>
      </c>
      <c r="R61" s="1" t="str">
        <f t="shared" si="10"/>
        <v>not out</v>
      </c>
      <c r="S61" s="1" t="str">
        <f t="shared" si="11"/>
        <v xml:space="preserve"> South Africa</v>
      </c>
      <c r="T61" s="1" t="str">
        <f t="shared" si="12"/>
        <v>Gqeberha</v>
      </c>
      <c r="U61" s="1" t="str">
        <f t="shared" si="14"/>
        <v>No</v>
      </c>
      <c r="V61" s="1"/>
      <c r="W61" s="1"/>
      <c r="X61" s="1"/>
      <c r="Y61" s="1"/>
      <c r="Z61" s="1"/>
    </row>
    <row r="62" spans="1:26" ht="14.25" customHeight="1">
      <c r="A62" s="1"/>
      <c r="B62" s="1">
        <v>45</v>
      </c>
      <c r="C62" s="1" t="s">
        <v>151</v>
      </c>
      <c r="D62" s="1" t="s">
        <v>136</v>
      </c>
      <c r="E62" s="1" t="s">
        <v>131</v>
      </c>
      <c r="F62" s="1" t="s">
        <v>131</v>
      </c>
      <c r="G62" s="1" t="s">
        <v>229</v>
      </c>
      <c r="H62" s="1" t="s">
        <v>24</v>
      </c>
      <c r="I62" s="1" t="s">
        <v>191</v>
      </c>
      <c r="J62" s="1" t="s">
        <v>36</v>
      </c>
      <c r="K62" s="1"/>
      <c r="L62" s="1" t="str">
        <f t="shared" si="5"/>
        <v>No</v>
      </c>
      <c r="M62" s="1">
        <f t="shared" si="13"/>
        <v>100</v>
      </c>
      <c r="N62" s="1">
        <f t="shared" si="6"/>
        <v>6</v>
      </c>
      <c r="O62" s="1">
        <f t="shared" si="7"/>
        <v>0</v>
      </c>
      <c r="P62" s="1">
        <f t="shared" si="8"/>
        <v>0</v>
      </c>
      <c r="Q62" s="1">
        <f t="shared" si="9"/>
        <v>33.33</v>
      </c>
      <c r="R62" s="1" t="str">
        <f t="shared" si="10"/>
        <v>caught</v>
      </c>
      <c r="S62" s="1" t="str">
        <f t="shared" si="11"/>
        <v xml:space="preserve"> South Africa</v>
      </c>
      <c r="T62" s="1" t="str">
        <f t="shared" si="12"/>
        <v>Centurion</v>
      </c>
      <c r="U62" s="1" t="str">
        <f t="shared" si="14"/>
        <v>Yes</v>
      </c>
      <c r="V62" s="1"/>
      <c r="W62" s="1"/>
      <c r="X62" s="1"/>
      <c r="Y62" s="1"/>
      <c r="Z62" s="1"/>
    </row>
    <row r="63" spans="1:26" ht="14.25" customHeight="1">
      <c r="A63" s="1"/>
      <c r="B63" s="1">
        <v>46</v>
      </c>
      <c r="C63" s="1" t="s">
        <v>230</v>
      </c>
      <c r="D63" s="1" t="s">
        <v>231</v>
      </c>
      <c r="E63" s="1" t="s">
        <v>189</v>
      </c>
      <c r="F63" s="1" t="s">
        <v>151</v>
      </c>
      <c r="G63" s="1" t="s">
        <v>232</v>
      </c>
      <c r="H63" s="1" t="s">
        <v>32</v>
      </c>
      <c r="I63" s="1" t="s">
        <v>182</v>
      </c>
      <c r="J63" s="1" t="s">
        <v>53</v>
      </c>
      <c r="K63" s="1"/>
      <c r="L63" s="1" t="str">
        <f t="shared" si="5"/>
        <v>No</v>
      </c>
      <c r="M63" s="1">
        <f t="shared" si="13"/>
        <v>8</v>
      </c>
      <c r="N63" s="1">
        <f t="shared" si="6"/>
        <v>83</v>
      </c>
      <c r="O63" s="1">
        <f t="shared" si="7"/>
        <v>8</v>
      </c>
      <c r="P63" s="1">
        <f t="shared" si="8"/>
        <v>2</v>
      </c>
      <c r="Q63" s="1">
        <f t="shared" si="9"/>
        <v>120.48</v>
      </c>
      <c r="R63" s="1" t="str">
        <f t="shared" si="10"/>
        <v>not out</v>
      </c>
      <c r="S63" s="1" t="str">
        <f t="shared" si="11"/>
        <v xml:space="preserve"> Bangladesh</v>
      </c>
      <c r="T63" s="1" t="str">
        <f t="shared" si="12"/>
        <v>Mirpur</v>
      </c>
      <c r="U63" s="1" t="str">
        <f t="shared" si="14"/>
        <v>No</v>
      </c>
      <c r="V63" s="1"/>
      <c r="W63" s="1"/>
      <c r="X63" s="1"/>
      <c r="Y63" s="1"/>
      <c r="Z63" s="1"/>
    </row>
    <row r="64" spans="1:26" ht="14.25" customHeight="1">
      <c r="A64" s="1"/>
      <c r="B64" s="1">
        <v>47</v>
      </c>
      <c r="C64" s="1" t="s">
        <v>189</v>
      </c>
      <c r="D64" s="1" t="s">
        <v>202</v>
      </c>
      <c r="E64" s="1" t="s">
        <v>130</v>
      </c>
      <c r="F64" s="1" t="s">
        <v>131</v>
      </c>
      <c r="G64" s="1" t="s">
        <v>233</v>
      </c>
      <c r="H64" s="1" t="s">
        <v>29</v>
      </c>
      <c r="I64" s="1" t="s">
        <v>234</v>
      </c>
      <c r="J64" s="1" t="s">
        <v>67</v>
      </c>
      <c r="K64" s="1"/>
      <c r="L64" s="1" t="str">
        <f t="shared" si="5"/>
        <v>No</v>
      </c>
      <c r="M64" s="1">
        <f t="shared" si="13"/>
        <v>34</v>
      </c>
      <c r="N64" s="1">
        <f t="shared" si="6"/>
        <v>5</v>
      </c>
      <c r="O64" s="1">
        <f t="shared" si="7"/>
        <v>1</v>
      </c>
      <c r="P64" s="1">
        <f t="shared" si="8"/>
        <v>0</v>
      </c>
      <c r="Q64" s="1">
        <f t="shared" si="9"/>
        <v>160</v>
      </c>
      <c r="R64" s="1" t="str">
        <f t="shared" si="10"/>
        <v>bowled</v>
      </c>
      <c r="S64" s="1" t="str">
        <f t="shared" si="11"/>
        <v xml:space="preserve"> England</v>
      </c>
      <c r="T64" s="1" t="str">
        <f t="shared" si="12"/>
        <v>Bengaluru</v>
      </c>
      <c r="U64" s="1" t="str">
        <f t="shared" si="14"/>
        <v>Yes</v>
      </c>
      <c r="V64" s="1"/>
      <c r="W64" s="1"/>
      <c r="X64" s="1"/>
      <c r="Y64" s="1"/>
      <c r="Z64" s="1"/>
    </row>
    <row r="65" spans="1:26" ht="14.25" customHeight="1">
      <c r="A65" s="1"/>
      <c r="B65" s="1">
        <v>48</v>
      </c>
      <c r="C65" s="1" t="s">
        <v>208</v>
      </c>
      <c r="D65" s="1" t="s">
        <v>235</v>
      </c>
      <c r="E65" s="1" t="s">
        <v>148</v>
      </c>
      <c r="F65" s="1" t="s">
        <v>131</v>
      </c>
      <c r="G65" s="1" t="s">
        <v>236</v>
      </c>
      <c r="H65" s="1" t="s">
        <v>26</v>
      </c>
      <c r="I65" s="1" t="s">
        <v>237</v>
      </c>
      <c r="J65" s="1" t="s">
        <v>67</v>
      </c>
      <c r="K65" s="1"/>
      <c r="L65" s="1" t="str">
        <f t="shared" si="5"/>
        <v>No</v>
      </c>
      <c r="M65" s="1">
        <f t="shared" si="13"/>
        <v>12</v>
      </c>
      <c r="N65" s="1">
        <f t="shared" si="6"/>
        <v>53</v>
      </c>
      <c r="O65" s="1">
        <f t="shared" si="7"/>
        <v>3</v>
      </c>
      <c r="P65" s="1">
        <f t="shared" si="8"/>
        <v>0</v>
      </c>
      <c r="Q65" s="1">
        <f t="shared" si="9"/>
        <v>64.150000000000006</v>
      </c>
      <c r="R65" s="1" t="str">
        <f t="shared" si="10"/>
        <v>run out</v>
      </c>
      <c r="S65" s="1" t="str">
        <f t="shared" si="11"/>
        <v xml:space="preserve"> Ireland</v>
      </c>
      <c r="T65" s="1" t="str">
        <f t="shared" si="12"/>
        <v>Bengaluru</v>
      </c>
      <c r="U65" s="1" t="str">
        <f t="shared" si="14"/>
        <v>Yes</v>
      </c>
      <c r="V65" s="1"/>
      <c r="W65" s="1"/>
      <c r="X65" s="1"/>
      <c r="Y65" s="1"/>
      <c r="Z65" s="1"/>
    </row>
    <row r="66" spans="1:26" ht="14.25" customHeight="1">
      <c r="A66" s="1"/>
      <c r="B66" s="1">
        <v>49</v>
      </c>
      <c r="C66" s="1" t="s">
        <v>128</v>
      </c>
      <c r="D66" s="1" t="s">
        <v>238</v>
      </c>
      <c r="E66" s="1" t="s">
        <v>151</v>
      </c>
      <c r="F66" s="1" t="s">
        <v>131</v>
      </c>
      <c r="G66" s="1" t="s">
        <v>239</v>
      </c>
      <c r="H66" s="1" t="s">
        <v>29</v>
      </c>
      <c r="I66" s="1" t="s">
        <v>240</v>
      </c>
      <c r="J66" s="1" t="s">
        <v>52</v>
      </c>
      <c r="K66" s="1"/>
      <c r="L66" s="1" t="str">
        <f t="shared" si="5"/>
        <v>No</v>
      </c>
      <c r="M66" s="1">
        <f t="shared" si="13"/>
        <v>1</v>
      </c>
      <c r="N66" s="1">
        <f t="shared" si="6"/>
        <v>20</v>
      </c>
      <c r="O66" s="1">
        <f t="shared" si="7"/>
        <v>2</v>
      </c>
      <c r="P66" s="1">
        <f t="shared" si="8"/>
        <v>0</v>
      </c>
      <c r="Q66" s="1">
        <f t="shared" si="9"/>
        <v>60</v>
      </c>
      <c r="R66" s="1" t="str">
        <f t="shared" si="10"/>
        <v>bowled</v>
      </c>
      <c r="S66" s="1" t="str">
        <f t="shared" si="11"/>
        <v xml:space="preserve"> Netherlands</v>
      </c>
      <c r="T66" s="1" t="str">
        <f t="shared" si="12"/>
        <v>Delhi</v>
      </c>
      <c r="U66" s="1" t="str">
        <f t="shared" si="14"/>
        <v>Yes</v>
      </c>
      <c r="V66" s="1"/>
      <c r="W66" s="1"/>
      <c r="X66" s="1"/>
      <c r="Y66" s="1"/>
      <c r="Z66" s="1"/>
    </row>
    <row r="67" spans="1:26" ht="14.25" customHeight="1">
      <c r="A67" s="1"/>
      <c r="B67" s="1">
        <v>50</v>
      </c>
      <c r="C67" s="1" t="s">
        <v>130</v>
      </c>
      <c r="D67" s="1" t="s">
        <v>148</v>
      </c>
      <c r="E67" s="1" t="s">
        <v>131</v>
      </c>
      <c r="F67" s="1" t="s">
        <v>131</v>
      </c>
      <c r="G67" s="1" t="s">
        <v>229</v>
      </c>
      <c r="H67" s="1" t="s">
        <v>24</v>
      </c>
      <c r="I67" s="1" t="s">
        <v>191</v>
      </c>
      <c r="J67" s="1" t="s">
        <v>50</v>
      </c>
      <c r="K67" s="1"/>
      <c r="L67" s="1" t="str">
        <f t="shared" si="5"/>
        <v>No</v>
      </c>
      <c r="M67" s="1">
        <f t="shared" si="13"/>
        <v>59</v>
      </c>
      <c r="N67" s="1">
        <f t="shared" si="6"/>
        <v>3</v>
      </c>
      <c r="O67" s="1">
        <f t="shared" si="7"/>
        <v>0</v>
      </c>
      <c r="P67" s="1">
        <f t="shared" si="8"/>
        <v>0</v>
      </c>
      <c r="Q67" s="1">
        <f t="shared" si="9"/>
        <v>33.33</v>
      </c>
      <c r="R67" s="1" t="str">
        <f t="shared" si="10"/>
        <v>caught</v>
      </c>
      <c r="S67" s="1" t="str">
        <f t="shared" si="11"/>
        <v xml:space="preserve"> South Africa</v>
      </c>
      <c r="T67" s="1" t="str">
        <f t="shared" si="12"/>
        <v>Nagpur</v>
      </c>
      <c r="U67" s="1" t="str">
        <f t="shared" si="14"/>
        <v>Yes</v>
      </c>
      <c r="V67" s="1"/>
      <c r="W67" s="1"/>
      <c r="X67" s="1"/>
      <c r="Y67" s="1"/>
      <c r="Z67" s="1"/>
    </row>
    <row r="68" spans="1:26" ht="14.25" customHeight="1">
      <c r="A68" s="1"/>
      <c r="B68" s="1">
        <v>51</v>
      </c>
      <c r="C68" s="1" t="s">
        <v>241</v>
      </c>
      <c r="D68" s="1" t="s">
        <v>242</v>
      </c>
      <c r="E68" s="1" t="s">
        <v>202</v>
      </c>
      <c r="F68" s="1" t="s">
        <v>131</v>
      </c>
      <c r="G68" s="1" t="s">
        <v>243</v>
      </c>
      <c r="H68" s="1" t="s">
        <v>29</v>
      </c>
      <c r="I68" s="1" t="s">
        <v>163</v>
      </c>
      <c r="J68" s="1" t="s">
        <v>68</v>
      </c>
      <c r="K68" s="1"/>
      <c r="L68" s="1" t="str">
        <f t="shared" si="5"/>
        <v>No</v>
      </c>
      <c r="M68" s="1">
        <f t="shared" si="13"/>
        <v>24</v>
      </c>
      <c r="N68" s="1">
        <f t="shared" si="6"/>
        <v>76</v>
      </c>
      <c r="O68" s="1">
        <f t="shared" si="7"/>
        <v>5</v>
      </c>
      <c r="P68" s="1">
        <f t="shared" si="8"/>
        <v>0</v>
      </c>
      <c r="Q68" s="1">
        <f t="shared" si="9"/>
        <v>77.63</v>
      </c>
      <c r="R68" s="1" t="str">
        <f t="shared" si="10"/>
        <v>bowled</v>
      </c>
      <c r="S68" s="1" t="str">
        <f t="shared" si="11"/>
        <v xml:space="preserve"> West Indies</v>
      </c>
      <c r="T68" s="1" t="str">
        <f t="shared" si="12"/>
        <v>Chennai</v>
      </c>
      <c r="U68" s="1" t="str">
        <f t="shared" si="14"/>
        <v>Yes</v>
      </c>
      <c r="V68" s="1"/>
      <c r="W68" s="1"/>
      <c r="X68" s="1"/>
      <c r="Y68" s="1"/>
      <c r="Z68" s="1"/>
    </row>
    <row r="69" spans="1:26" ht="14.25" customHeight="1">
      <c r="A69" s="1"/>
      <c r="B69" s="1">
        <v>52</v>
      </c>
      <c r="C69" s="1" t="s">
        <v>154</v>
      </c>
      <c r="D69" s="1" t="s">
        <v>244</v>
      </c>
      <c r="E69" s="1" t="s">
        <v>130</v>
      </c>
      <c r="F69" s="1" t="s">
        <v>131</v>
      </c>
      <c r="G69" s="1" t="s">
        <v>245</v>
      </c>
      <c r="H69" s="1" t="s">
        <v>24</v>
      </c>
      <c r="I69" s="1" t="s">
        <v>158</v>
      </c>
      <c r="J69" s="1" t="s">
        <v>59</v>
      </c>
      <c r="K69" s="1"/>
      <c r="L69" s="1" t="str">
        <f t="shared" si="5"/>
        <v>No</v>
      </c>
      <c r="M69" s="1">
        <f t="shared" si="13"/>
        <v>9</v>
      </c>
      <c r="N69" s="1">
        <f t="shared" si="6"/>
        <v>33</v>
      </c>
      <c r="O69" s="1">
        <f t="shared" si="7"/>
        <v>1</v>
      </c>
      <c r="P69" s="1">
        <f t="shared" si="8"/>
        <v>0</v>
      </c>
      <c r="Q69" s="1">
        <f t="shared" si="9"/>
        <v>72.72</v>
      </c>
      <c r="R69" s="1" t="str">
        <f t="shared" si="10"/>
        <v>caught</v>
      </c>
      <c r="S69" s="1" t="str">
        <f t="shared" si="11"/>
        <v xml:space="preserve"> Australia</v>
      </c>
      <c r="T69" s="1" t="str">
        <f t="shared" si="12"/>
        <v>Ahmedabad</v>
      </c>
      <c r="U69" s="1" t="str">
        <f t="shared" si="14"/>
        <v>Yes</v>
      </c>
      <c r="V69" s="1"/>
      <c r="W69" s="1"/>
      <c r="X69" s="1"/>
      <c r="Y69" s="1"/>
      <c r="Z69" s="1"/>
    </row>
    <row r="70" spans="1:26" ht="14.25" customHeight="1">
      <c r="A70" s="1"/>
      <c r="B70" s="1">
        <v>53</v>
      </c>
      <c r="C70" s="1" t="s">
        <v>161</v>
      </c>
      <c r="D70" s="1" t="s">
        <v>246</v>
      </c>
      <c r="E70" s="1" t="s">
        <v>131</v>
      </c>
      <c r="F70" s="1" t="s">
        <v>131</v>
      </c>
      <c r="G70" s="1" t="s">
        <v>247</v>
      </c>
      <c r="H70" s="1" t="s">
        <v>24</v>
      </c>
      <c r="I70" s="1" t="s">
        <v>156</v>
      </c>
      <c r="J70" s="1" t="s">
        <v>46</v>
      </c>
      <c r="K70" s="1"/>
      <c r="L70" s="1" t="str">
        <f t="shared" si="5"/>
        <v>No</v>
      </c>
      <c r="M70" s="1">
        <f t="shared" si="13"/>
        <v>35</v>
      </c>
      <c r="N70" s="1">
        <f t="shared" si="6"/>
        <v>21</v>
      </c>
      <c r="O70" s="1">
        <f t="shared" si="7"/>
        <v>0</v>
      </c>
      <c r="P70" s="1">
        <f t="shared" si="8"/>
        <v>0</v>
      </c>
      <c r="Q70" s="1">
        <f t="shared" si="9"/>
        <v>42.85</v>
      </c>
      <c r="R70" s="1" t="str">
        <f t="shared" si="10"/>
        <v>caught</v>
      </c>
      <c r="S70" s="1" t="str">
        <f t="shared" si="11"/>
        <v xml:space="preserve"> Pakistan</v>
      </c>
      <c r="T70" s="1" t="str">
        <f t="shared" si="12"/>
        <v>Mohali</v>
      </c>
      <c r="U70" s="1" t="str">
        <f t="shared" si="14"/>
        <v>Yes</v>
      </c>
      <c r="V70" s="1"/>
      <c r="W70" s="1"/>
      <c r="X70" s="1"/>
      <c r="Y70" s="1"/>
      <c r="Z70" s="1"/>
    </row>
    <row r="71" spans="1:26" ht="14.25" customHeight="1">
      <c r="A71" s="1"/>
      <c r="B71" s="1">
        <v>54</v>
      </c>
      <c r="C71" s="1" t="s">
        <v>248</v>
      </c>
      <c r="D71" s="1" t="s">
        <v>249</v>
      </c>
      <c r="E71" s="1" t="s">
        <v>140</v>
      </c>
      <c r="F71" s="1" t="s">
        <v>131</v>
      </c>
      <c r="G71" s="1" t="s">
        <v>206</v>
      </c>
      <c r="H71" s="1" t="s">
        <v>24</v>
      </c>
      <c r="I71" s="1" t="s">
        <v>133</v>
      </c>
      <c r="J71" s="1" t="s">
        <v>75</v>
      </c>
      <c r="K71" s="1"/>
      <c r="L71" s="1" t="str">
        <f t="shared" si="5"/>
        <v>No</v>
      </c>
      <c r="M71" s="1">
        <f t="shared" si="13"/>
        <v>2</v>
      </c>
      <c r="N71" s="1">
        <f t="shared" si="6"/>
        <v>49</v>
      </c>
      <c r="O71" s="1">
        <f t="shared" si="7"/>
        <v>4</v>
      </c>
      <c r="P71" s="1">
        <f t="shared" si="8"/>
        <v>0</v>
      </c>
      <c r="Q71" s="1">
        <f t="shared" si="9"/>
        <v>71.42</v>
      </c>
      <c r="R71" s="1" t="str">
        <f t="shared" si="10"/>
        <v>caught</v>
      </c>
      <c r="S71" s="1" t="str">
        <f t="shared" si="11"/>
        <v xml:space="preserve"> Sri Lanka</v>
      </c>
      <c r="T71" s="1" t="str">
        <f t="shared" si="12"/>
        <v>Wankhede</v>
      </c>
      <c r="U71" s="1" t="str">
        <f t="shared" si="14"/>
        <v>Yes</v>
      </c>
      <c r="V71" s="1"/>
      <c r="W71" s="1"/>
      <c r="X71" s="1"/>
      <c r="Y71" s="1"/>
      <c r="Z71" s="1"/>
    </row>
    <row r="72" spans="1:26" ht="14.25" customHeight="1">
      <c r="A72" s="1"/>
      <c r="B72" s="1">
        <v>55</v>
      </c>
      <c r="C72" s="1" t="s">
        <v>151</v>
      </c>
      <c r="D72" s="1" t="s">
        <v>189</v>
      </c>
      <c r="E72" s="1" t="s">
        <v>131</v>
      </c>
      <c r="F72" s="1" t="s">
        <v>131</v>
      </c>
      <c r="G72" s="1" t="s">
        <v>190</v>
      </c>
      <c r="H72" s="1" t="s">
        <v>24</v>
      </c>
      <c r="I72" s="1" t="s">
        <v>163</v>
      </c>
      <c r="J72" s="1" t="s">
        <v>76</v>
      </c>
      <c r="K72" s="1"/>
      <c r="L72" s="1" t="str">
        <f t="shared" si="5"/>
        <v>No</v>
      </c>
      <c r="M72" s="1">
        <f t="shared" si="13"/>
        <v>81</v>
      </c>
      <c r="N72" s="1">
        <f t="shared" si="6"/>
        <v>8</v>
      </c>
      <c r="O72" s="1">
        <f t="shared" si="7"/>
        <v>0</v>
      </c>
      <c r="P72" s="1">
        <f t="shared" si="8"/>
        <v>0</v>
      </c>
      <c r="Q72" s="1">
        <f t="shared" si="9"/>
        <v>25</v>
      </c>
      <c r="R72" s="1" t="str">
        <f t="shared" si="10"/>
        <v>caught</v>
      </c>
      <c r="S72" s="1" t="str">
        <f t="shared" si="11"/>
        <v xml:space="preserve"> West Indies</v>
      </c>
      <c r="T72" s="1" t="str">
        <f t="shared" si="12"/>
        <v>Port of Spain</v>
      </c>
      <c r="U72" s="1" t="str">
        <f t="shared" si="14"/>
        <v>Yes</v>
      </c>
      <c r="V72" s="1"/>
      <c r="W72" s="1"/>
      <c r="X72" s="1"/>
      <c r="Y72" s="1"/>
      <c r="Z72" s="1"/>
    </row>
    <row r="73" spans="1:26" ht="14.25" customHeight="1">
      <c r="A73" s="1"/>
      <c r="B73" s="1">
        <v>56</v>
      </c>
      <c r="C73" s="1" t="s">
        <v>250</v>
      </c>
      <c r="D73" s="1" t="s">
        <v>251</v>
      </c>
      <c r="E73" s="1" t="s">
        <v>136</v>
      </c>
      <c r="F73" s="1" t="s">
        <v>130</v>
      </c>
      <c r="G73" s="1" t="s">
        <v>252</v>
      </c>
      <c r="H73" s="1" t="s">
        <v>24</v>
      </c>
      <c r="I73" s="1" t="s">
        <v>163</v>
      </c>
      <c r="J73" s="1" t="s">
        <v>76</v>
      </c>
      <c r="K73" s="1"/>
      <c r="L73" s="1" t="str">
        <f t="shared" si="5"/>
        <v>No</v>
      </c>
      <c r="M73" s="1">
        <f t="shared" si="13"/>
        <v>0</v>
      </c>
      <c r="N73" s="1">
        <f t="shared" si="6"/>
        <v>103</v>
      </c>
      <c r="O73" s="1">
        <f t="shared" si="7"/>
        <v>6</v>
      </c>
      <c r="P73" s="1">
        <f t="shared" si="8"/>
        <v>1</v>
      </c>
      <c r="Q73" s="1">
        <f t="shared" si="9"/>
        <v>78.64</v>
      </c>
      <c r="R73" s="1" t="str">
        <f t="shared" si="10"/>
        <v>caught</v>
      </c>
      <c r="S73" s="1" t="str">
        <f t="shared" si="11"/>
        <v xml:space="preserve"> West Indies</v>
      </c>
      <c r="T73" s="1" t="str">
        <f t="shared" si="12"/>
        <v>Port of Spain</v>
      </c>
      <c r="U73" s="1" t="str">
        <f t="shared" si="14"/>
        <v>Yes</v>
      </c>
      <c r="V73" s="1"/>
      <c r="W73" s="1"/>
      <c r="X73" s="1"/>
      <c r="Y73" s="1"/>
      <c r="Z73" s="1"/>
    </row>
    <row r="74" spans="1:26" ht="14.25" customHeight="1">
      <c r="A74" s="1"/>
      <c r="B74" s="1">
        <v>57</v>
      </c>
      <c r="C74" s="1" t="s">
        <v>131</v>
      </c>
      <c r="D74" s="1" t="s">
        <v>130</v>
      </c>
      <c r="E74" s="1" t="s">
        <v>131</v>
      </c>
      <c r="F74" s="1" t="s">
        <v>131</v>
      </c>
      <c r="G74" s="1" t="s">
        <v>210</v>
      </c>
      <c r="H74" s="1" t="s">
        <v>19</v>
      </c>
      <c r="I74" s="1" t="s">
        <v>163</v>
      </c>
      <c r="J74" s="1" t="s">
        <v>77</v>
      </c>
      <c r="K74" s="1"/>
      <c r="L74" s="1" t="str">
        <f t="shared" si="5"/>
        <v>No</v>
      </c>
      <c r="M74" s="1">
        <f t="shared" si="13"/>
        <v>22</v>
      </c>
      <c r="N74" s="1">
        <f t="shared" si="6"/>
        <v>1</v>
      </c>
      <c r="O74" s="1">
        <f t="shared" si="7"/>
        <v>0</v>
      </c>
      <c r="P74" s="1">
        <f t="shared" si="8"/>
        <v>0</v>
      </c>
      <c r="Q74" s="1">
        <f t="shared" si="9"/>
        <v>0</v>
      </c>
      <c r="R74" s="1" t="str">
        <f t="shared" si="10"/>
        <v>lbw</v>
      </c>
      <c r="S74" s="1" t="str">
        <f t="shared" si="11"/>
        <v xml:space="preserve"> West Indies</v>
      </c>
      <c r="T74" s="1" t="str">
        <f t="shared" si="12"/>
        <v>North Sound</v>
      </c>
      <c r="U74" s="1" t="str">
        <f t="shared" si="14"/>
        <v>Yes</v>
      </c>
      <c r="V74" s="1"/>
      <c r="W74" s="1"/>
      <c r="X74" s="1"/>
      <c r="Y74" s="1"/>
      <c r="Z74" s="1"/>
    </row>
    <row r="75" spans="1:26" ht="14.25" customHeight="1">
      <c r="A75" s="1"/>
      <c r="B75" s="1">
        <v>58</v>
      </c>
      <c r="C75" s="1" t="s">
        <v>129</v>
      </c>
      <c r="D75" s="1" t="s">
        <v>244</v>
      </c>
      <c r="E75" s="1" t="s">
        <v>130</v>
      </c>
      <c r="F75" s="1" t="s">
        <v>131</v>
      </c>
      <c r="G75" s="1" t="s">
        <v>155</v>
      </c>
      <c r="H75" s="1" t="s">
        <v>63</v>
      </c>
      <c r="I75" s="1" t="s">
        <v>163</v>
      </c>
      <c r="J75" s="1" t="s">
        <v>77</v>
      </c>
      <c r="K75" s="1"/>
      <c r="L75" s="1" t="str">
        <f t="shared" si="5"/>
        <v>No</v>
      </c>
      <c r="M75" s="1">
        <f t="shared" si="13"/>
        <v>94</v>
      </c>
      <c r="N75" s="1">
        <f t="shared" si="6"/>
        <v>33</v>
      </c>
      <c r="O75" s="1">
        <f t="shared" si="7"/>
        <v>1</v>
      </c>
      <c r="P75" s="1">
        <f t="shared" si="8"/>
        <v>0</v>
      </c>
      <c r="Q75" s="1">
        <f t="shared" si="9"/>
        <v>66.66</v>
      </c>
      <c r="R75" s="1" t="str">
        <f t="shared" si="10"/>
        <v>stumped</v>
      </c>
      <c r="S75" s="1" t="str">
        <f t="shared" si="11"/>
        <v xml:space="preserve"> West Indies</v>
      </c>
      <c r="T75" s="1" t="str">
        <f t="shared" si="12"/>
        <v>North Sound</v>
      </c>
      <c r="U75" s="1" t="str">
        <f t="shared" si="14"/>
        <v>Yes</v>
      </c>
      <c r="V75" s="1"/>
      <c r="W75" s="1"/>
      <c r="X75" s="1"/>
      <c r="Y75" s="1"/>
      <c r="Z75" s="1"/>
    </row>
    <row r="76" spans="1:26" ht="14.25" customHeight="1">
      <c r="A76" s="1"/>
      <c r="B76" s="1">
        <v>59</v>
      </c>
      <c r="C76" s="1" t="s">
        <v>253</v>
      </c>
      <c r="D76" s="1" t="s">
        <v>160</v>
      </c>
      <c r="E76" s="1" t="s">
        <v>167</v>
      </c>
      <c r="F76" s="1" t="s">
        <v>131</v>
      </c>
      <c r="G76" s="1" t="s">
        <v>254</v>
      </c>
      <c r="H76" s="1" t="s">
        <v>26</v>
      </c>
      <c r="I76" s="1" t="s">
        <v>163</v>
      </c>
      <c r="J76" s="1" t="s">
        <v>78</v>
      </c>
      <c r="K76" s="1"/>
      <c r="L76" s="1" t="str">
        <f t="shared" si="5"/>
        <v>No</v>
      </c>
      <c r="M76" s="1">
        <f t="shared" si="13"/>
        <v>55</v>
      </c>
      <c r="N76" s="1">
        <f t="shared" si="6"/>
        <v>104</v>
      </c>
      <c r="O76" s="1">
        <f t="shared" si="7"/>
        <v>10</v>
      </c>
      <c r="P76" s="1">
        <f t="shared" si="8"/>
        <v>0</v>
      </c>
      <c r="Q76" s="1">
        <f t="shared" si="9"/>
        <v>90.38</v>
      </c>
      <c r="R76" s="1" t="str">
        <f t="shared" si="10"/>
        <v>run out</v>
      </c>
      <c r="S76" s="1" t="str">
        <f t="shared" si="11"/>
        <v xml:space="preserve"> West Indies</v>
      </c>
      <c r="T76" s="1" t="str">
        <f t="shared" si="12"/>
        <v>Kingston</v>
      </c>
      <c r="U76" s="1" t="str">
        <f t="shared" si="14"/>
        <v>Yes</v>
      </c>
      <c r="V76" s="1"/>
      <c r="W76" s="1"/>
      <c r="X76" s="1"/>
      <c r="Y76" s="1"/>
      <c r="Z76" s="1"/>
    </row>
    <row r="77" spans="1:26" ht="14.25" customHeight="1">
      <c r="A77" s="1"/>
      <c r="B77" s="1">
        <v>60</v>
      </c>
      <c r="C77" s="1" t="s">
        <v>255</v>
      </c>
      <c r="D77" s="1" t="s">
        <v>219</v>
      </c>
      <c r="E77" s="1" t="s">
        <v>140</v>
      </c>
      <c r="F77" s="1" t="s">
        <v>131</v>
      </c>
      <c r="G77" s="1" t="s">
        <v>256</v>
      </c>
      <c r="H77" s="1" t="s">
        <v>29</v>
      </c>
      <c r="I77" s="1" t="s">
        <v>234</v>
      </c>
      <c r="J77" s="1" t="s">
        <v>79</v>
      </c>
      <c r="K77" s="1"/>
      <c r="L77" s="1" t="str">
        <f t="shared" si="5"/>
        <v>No</v>
      </c>
      <c r="M77" s="1">
        <f t="shared" si="13"/>
        <v>9</v>
      </c>
      <c r="N77" s="1">
        <f t="shared" si="6"/>
        <v>73</v>
      </c>
      <c r="O77" s="1">
        <f t="shared" si="7"/>
        <v>4</v>
      </c>
      <c r="P77" s="1">
        <f t="shared" si="8"/>
        <v>0</v>
      </c>
      <c r="Q77" s="1">
        <f t="shared" si="9"/>
        <v>75.34</v>
      </c>
      <c r="R77" s="1" t="str">
        <f t="shared" si="10"/>
        <v>bowled</v>
      </c>
      <c r="S77" s="1" t="str">
        <f t="shared" si="11"/>
        <v xml:space="preserve"> England</v>
      </c>
      <c r="T77" s="1" t="str">
        <f t="shared" si="12"/>
        <v>Chester-le-Street</v>
      </c>
      <c r="U77" s="1" t="str">
        <f t="shared" si="14"/>
        <v>Yes</v>
      </c>
      <c r="V77" s="1"/>
      <c r="W77" s="1"/>
      <c r="X77" s="1"/>
      <c r="Y77" s="1"/>
      <c r="Z77" s="1"/>
    </row>
    <row r="78" spans="1:26" ht="14.25" customHeight="1">
      <c r="A78" s="1"/>
      <c r="B78" s="1">
        <v>61</v>
      </c>
      <c r="C78" s="1" t="s">
        <v>161</v>
      </c>
      <c r="D78" s="1" t="s">
        <v>161</v>
      </c>
      <c r="E78" s="1" t="s">
        <v>131</v>
      </c>
      <c r="F78" s="1" t="s">
        <v>131</v>
      </c>
      <c r="G78" s="1" t="s">
        <v>152</v>
      </c>
      <c r="H78" s="1" t="s">
        <v>24</v>
      </c>
      <c r="I78" s="1" t="s">
        <v>234</v>
      </c>
      <c r="J78" s="1" t="s">
        <v>80</v>
      </c>
      <c r="K78" s="1"/>
      <c r="L78" s="1" t="str">
        <f t="shared" si="5"/>
        <v>No</v>
      </c>
      <c r="M78" s="1">
        <f t="shared" si="13"/>
        <v>7</v>
      </c>
      <c r="N78" s="1">
        <f t="shared" si="6"/>
        <v>9</v>
      </c>
      <c r="O78" s="1">
        <f t="shared" si="7"/>
        <v>0</v>
      </c>
      <c r="P78" s="1">
        <f t="shared" si="8"/>
        <v>0</v>
      </c>
      <c r="Q78" s="1">
        <f t="shared" si="9"/>
        <v>100</v>
      </c>
      <c r="R78" s="1" t="str">
        <f t="shared" si="10"/>
        <v>caught</v>
      </c>
      <c r="S78" s="1" t="str">
        <f t="shared" si="11"/>
        <v xml:space="preserve"> England</v>
      </c>
      <c r="T78" s="1" t="str">
        <f t="shared" si="12"/>
        <v>Southampton</v>
      </c>
      <c r="U78" s="1" t="str">
        <f t="shared" si="14"/>
        <v>Yes</v>
      </c>
      <c r="V78" s="1"/>
      <c r="W78" s="1"/>
      <c r="X78" s="1"/>
      <c r="Y78" s="1"/>
      <c r="Z78" s="1"/>
    </row>
    <row r="79" spans="1:26" ht="14.25" customHeight="1">
      <c r="A79" s="1"/>
      <c r="B79" s="1">
        <v>62</v>
      </c>
      <c r="C79" s="1" t="s">
        <v>144</v>
      </c>
      <c r="D79" s="1" t="s">
        <v>199</v>
      </c>
      <c r="E79" s="1" t="s">
        <v>131</v>
      </c>
      <c r="F79" s="1" t="s">
        <v>131</v>
      </c>
      <c r="G79" s="1" t="s">
        <v>257</v>
      </c>
      <c r="H79" s="1" t="s">
        <v>24</v>
      </c>
      <c r="I79" s="1" t="s">
        <v>234</v>
      </c>
      <c r="J79" s="1" t="s">
        <v>81</v>
      </c>
      <c r="K79" s="1"/>
      <c r="L79" s="1" t="str">
        <f t="shared" si="5"/>
        <v>No</v>
      </c>
      <c r="M79" s="1">
        <f t="shared" si="13"/>
        <v>16</v>
      </c>
      <c r="N79" s="1">
        <f t="shared" si="6"/>
        <v>18</v>
      </c>
      <c r="O79" s="1">
        <f t="shared" si="7"/>
        <v>0</v>
      </c>
      <c r="P79" s="1">
        <f t="shared" si="8"/>
        <v>0</v>
      </c>
      <c r="Q79" s="1">
        <f t="shared" si="9"/>
        <v>38.880000000000003</v>
      </c>
      <c r="R79" s="1" t="str">
        <f t="shared" si="10"/>
        <v>caught</v>
      </c>
      <c r="S79" s="1" t="str">
        <f t="shared" si="11"/>
        <v xml:space="preserve"> England</v>
      </c>
      <c r="T79" s="1" t="str">
        <f t="shared" si="12"/>
        <v>The Oval</v>
      </c>
      <c r="U79" s="1" t="str">
        <f t="shared" si="14"/>
        <v>Yes</v>
      </c>
      <c r="V79" s="1"/>
      <c r="W79" s="1"/>
      <c r="X79" s="1"/>
      <c r="Y79" s="1"/>
      <c r="Z79" s="1"/>
    </row>
    <row r="80" spans="1:26" ht="14.25" customHeight="1">
      <c r="A80" s="1"/>
      <c r="B80" s="1">
        <v>63</v>
      </c>
      <c r="C80" s="1" t="s">
        <v>153</v>
      </c>
      <c r="D80" s="1" t="s">
        <v>258</v>
      </c>
      <c r="E80" s="1" t="s">
        <v>130</v>
      </c>
      <c r="F80" s="1" t="s">
        <v>131</v>
      </c>
      <c r="G80" s="1" t="s">
        <v>259</v>
      </c>
      <c r="H80" s="1" t="s">
        <v>24</v>
      </c>
      <c r="I80" s="1" t="s">
        <v>234</v>
      </c>
      <c r="J80" s="1" t="s">
        <v>82</v>
      </c>
      <c r="K80" s="1"/>
      <c r="L80" s="1" t="str">
        <f t="shared" si="5"/>
        <v>No</v>
      </c>
      <c r="M80" s="1">
        <f t="shared" si="13"/>
        <v>107</v>
      </c>
      <c r="N80" s="1">
        <f t="shared" si="6"/>
        <v>36</v>
      </c>
      <c r="O80" s="1">
        <f t="shared" si="7"/>
        <v>1</v>
      </c>
      <c r="P80" s="1">
        <f t="shared" si="8"/>
        <v>0</v>
      </c>
      <c r="Q80" s="1">
        <f t="shared" si="9"/>
        <v>44.44</v>
      </c>
      <c r="R80" s="1" t="str">
        <f t="shared" si="10"/>
        <v>caught</v>
      </c>
      <c r="S80" s="1" t="str">
        <f t="shared" si="11"/>
        <v xml:space="preserve"> England</v>
      </c>
      <c r="T80" s="1" t="str">
        <f t="shared" si="12"/>
        <v>Lord's</v>
      </c>
      <c r="U80" s="1" t="str">
        <f t="shared" si="14"/>
        <v>Yes</v>
      </c>
      <c r="V80" s="1"/>
      <c r="W80" s="1"/>
      <c r="X80" s="1"/>
      <c r="Y80" s="1"/>
      <c r="Z80" s="1"/>
    </row>
    <row r="81" spans="1:26" ht="14.25" customHeight="1">
      <c r="A81" s="1"/>
      <c r="B81" s="1">
        <v>64</v>
      </c>
      <c r="C81" s="1" t="s">
        <v>174</v>
      </c>
      <c r="D81" s="1" t="s">
        <v>260</v>
      </c>
      <c r="E81" s="1" t="s">
        <v>161</v>
      </c>
      <c r="F81" s="1" t="s">
        <v>130</v>
      </c>
      <c r="G81" s="1" t="s">
        <v>261</v>
      </c>
      <c r="H81" s="1" t="s">
        <v>83</v>
      </c>
      <c r="I81" s="1" t="s">
        <v>234</v>
      </c>
      <c r="J81" s="1" t="s">
        <v>84</v>
      </c>
      <c r="K81" s="1"/>
      <c r="L81" s="1" t="str">
        <f t="shared" si="5"/>
        <v>No</v>
      </c>
      <c r="M81" s="1">
        <f t="shared" si="13"/>
        <v>37</v>
      </c>
      <c r="N81" s="1">
        <f t="shared" si="6"/>
        <v>93</v>
      </c>
      <c r="O81" s="1">
        <f t="shared" si="7"/>
        <v>9</v>
      </c>
      <c r="P81" s="1">
        <f t="shared" si="8"/>
        <v>1</v>
      </c>
      <c r="Q81" s="1">
        <f t="shared" si="9"/>
        <v>115.05</v>
      </c>
      <c r="R81" s="1" t="str">
        <f t="shared" si="10"/>
        <v>hit wicket</v>
      </c>
      <c r="S81" s="1" t="str">
        <f t="shared" si="11"/>
        <v xml:space="preserve"> England</v>
      </c>
      <c r="T81" s="1" t="str">
        <f t="shared" si="12"/>
        <v>Cardiff</v>
      </c>
      <c r="U81" s="1" t="str">
        <f t="shared" si="14"/>
        <v>Yes</v>
      </c>
      <c r="V81" s="1"/>
      <c r="W81" s="1"/>
      <c r="X81" s="1"/>
      <c r="Y81" s="1"/>
      <c r="Z81" s="1"/>
    </row>
    <row r="82" spans="1:26" ht="14.25" customHeight="1">
      <c r="A82" s="1"/>
      <c r="B82" s="1">
        <v>65</v>
      </c>
      <c r="C82" s="1" t="s">
        <v>134</v>
      </c>
      <c r="D82" s="1" t="s">
        <v>262</v>
      </c>
      <c r="E82" s="1" t="s">
        <v>131</v>
      </c>
      <c r="F82" s="1" t="s">
        <v>131</v>
      </c>
      <c r="G82" s="1" t="s">
        <v>263</v>
      </c>
      <c r="H82" s="1" t="s">
        <v>24</v>
      </c>
      <c r="I82" s="1" t="s">
        <v>234</v>
      </c>
      <c r="J82" s="1" t="s">
        <v>85</v>
      </c>
      <c r="K82" s="1"/>
      <c r="L82" s="1" t="str">
        <f t="shared" ref="L82:L145" si="15">IF(OR(C82="DNB",C82="TDNB"),"Yes","No")</f>
        <v>No</v>
      </c>
      <c r="M82" s="1">
        <f t="shared" si="13"/>
        <v>112</v>
      </c>
      <c r="N82" s="1">
        <f t="shared" ref="N82:N145" si="16">IF(D82="-","NA",D82*1)</f>
        <v>63</v>
      </c>
      <c r="O82" s="1">
        <f t="shared" ref="O82:O145" si="17">IF(E82="-","NA",E82*1)</f>
        <v>0</v>
      </c>
      <c r="P82" s="1">
        <f t="shared" ref="P82:P145" si="18">IF(F82="-","NA",F82*1)</f>
        <v>0</v>
      </c>
      <c r="Q82" s="1">
        <f t="shared" ref="Q82:Q145" si="19">IF(G82="-","NA",G82*1)</f>
        <v>58.73</v>
      </c>
      <c r="R82" s="1" t="str">
        <f t="shared" ref="R82:R145" si="20">IF(H82="-","NA",H82)</f>
        <v>caught</v>
      </c>
      <c r="S82" s="1" t="str">
        <f t="shared" ref="S82:S145" si="21">SUBSTITUTE(I82,"v","")</f>
        <v xml:space="preserve"> England</v>
      </c>
      <c r="T82" s="1" t="str">
        <f t="shared" ref="T82:T145" si="22">J82</f>
        <v>Hyderabad</v>
      </c>
      <c r="U82" s="1" t="str">
        <f t="shared" si="14"/>
        <v>Yes</v>
      </c>
      <c r="V82" s="1"/>
      <c r="W82" s="1"/>
      <c r="X82" s="1"/>
      <c r="Y82" s="1"/>
      <c r="Z82" s="1"/>
    </row>
    <row r="83" spans="1:26" ht="14.25" customHeight="1">
      <c r="A83" s="1"/>
      <c r="B83" s="1">
        <v>66</v>
      </c>
      <c r="C83" s="1" t="s">
        <v>264</v>
      </c>
      <c r="D83" s="1" t="s">
        <v>265</v>
      </c>
      <c r="E83" s="1" t="s">
        <v>153</v>
      </c>
      <c r="F83" s="1" t="s">
        <v>131</v>
      </c>
      <c r="G83" s="1" t="s">
        <v>266</v>
      </c>
      <c r="H83" s="1" t="s">
        <v>32</v>
      </c>
      <c r="I83" s="1" t="s">
        <v>234</v>
      </c>
      <c r="J83" s="1" t="s">
        <v>52</v>
      </c>
      <c r="K83" s="1"/>
      <c r="L83" s="1" t="str">
        <f t="shared" si="15"/>
        <v>No</v>
      </c>
      <c r="M83" s="1">
        <f t="shared" ref="M83:M146" si="23">IF(L84="Yes", "NA",SUBSTITUTE(C84,"*","")*1)</f>
        <v>35</v>
      </c>
      <c r="N83" s="1">
        <f t="shared" si="16"/>
        <v>98</v>
      </c>
      <c r="O83" s="1">
        <f t="shared" si="17"/>
        <v>16</v>
      </c>
      <c r="P83" s="1">
        <f t="shared" si="18"/>
        <v>0</v>
      </c>
      <c r="Q83" s="1">
        <f t="shared" si="19"/>
        <v>114.28</v>
      </c>
      <c r="R83" s="1" t="str">
        <f t="shared" si="20"/>
        <v>not out</v>
      </c>
      <c r="S83" s="1" t="str">
        <f t="shared" si="21"/>
        <v xml:space="preserve"> England</v>
      </c>
      <c r="T83" s="1" t="str">
        <f t="shared" si="22"/>
        <v>Delhi</v>
      </c>
      <c r="U83" s="1" t="str">
        <f t="shared" ref="U83:U146" si="24">IF(L83="Yes","No",IF(R83="not out","No","Yes"))</f>
        <v>No</v>
      </c>
      <c r="V83" s="1"/>
      <c r="W83" s="1"/>
      <c r="X83" s="1"/>
      <c r="Y83" s="1"/>
      <c r="Z83" s="1"/>
    </row>
    <row r="84" spans="1:26" ht="14.25" customHeight="1">
      <c r="A84" s="1"/>
      <c r="B84" s="1">
        <v>67</v>
      </c>
      <c r="C84" s="1" t="s">
        <v>248</v>
      </c>
      <c r="D84" s="1" t="s">
        <v>164</v>
      </c>
      <c r="E84" s="1" t="s">
        <v>202</v>
      </c>
      <c r="F84" s="1" t="s">
        <v>131</v>
      </c>
      <c r="G84" s="1" t="s">
        <v>267</v>
      </c>
      <c r="H84" s="1" t="s">
        <v>19</v>
      </c>
      <c r="I84" s="1" t="s">
        <v>234</v>
      </c>
      <c r="J84" s="1" t="s">
        <v>46</v>
      </c>
      <c r="K84" s="1"/>
      <c r="L84" s="1" t="str">
        <f t="shared" si="15"/>
        <v>No</v>
      </c>
      <c r="M84" s="1">
        <f t="shared" si="23"/>
        <v>86</v>
      </c>
      <c r="N84" s="1">
        <f t="shared" si="16"/>
        <v>30</v>
      </c>
      <c r="O84" s="1">
        <f t="shared" si="17"/>
        <v>5</v>
      </c>
      <c r="P84" s="1">
        <f t="shared" si="18"/>
        <v>0</v>
      </c>
      <c r="Q84" s="1">
        <f t="shared" si="19"/>
        <v>116.66</v>
      </c>
      <c r="R84" s="1" t="str">
        <f t="shared" si="20"/>
        <v>lbw</v>
      </c>
      <c r="S84" s="1" t="str">
        <f t="shared" si="21"/>
        <v xml:space="preserve"> England</v>
      </c>
      <c r="T84" s="1" t="str">
        <f t="shared" si="22"/>
        <v>Mohali</v>
      </c>
      <c r="U84" s="1" t="str">
        <f t="shared" si="24"/>
        <v>Yes</v>
      </c>
      <c r="V84" s="1"/>
      <c r="W84" s="1"/>
      <c r="X84" s="1"/>
      <c r="Y84" s="1"/>
      <c r="Z84" s="1"/>
    </row>
    <row r="85" spans="1:26" ht="14.25" customHeight="1">
      <c r="A85" s="1"/>
      <c r="B85" s="1">
        <v>68</v>
      </c>
      <c r="C85" s="1" t="s">
        <v>268</v>
      </c>
      <c r="D85" s="1" t="s">
        <v>269</v>
      </c>
      <c r="E85" s="1" t="s">
        <v>176</v>
      </c>
      <c r="F85" s="1" t="s">
        <v>131</v>
      </c>
      <c r="G85" s="1" t="s">
        <v>270</v>
      </c>
      <c r="H85" s="1" t="s">
        <v>32</v>
      </c>
      <c r="I85" s="1" t="s">
        <v>234</v>
      </c>
      <c r="J85" s="1" t="s">
        <v>75</v>
      </c>
      <c r="K85" s="1"/>
      <c r="L85" s="1" t="str">
        <f t="shared" si="15"/>
        <v>No</v>
      </c>
      <c r="M85" s="1">
        <f t="shared" si="23"/>
        <v>0</v>
      </c>
      <c r="N85" s="1">
        <f t="shared" si="16"/>
        <v>99</v>
      </c>
      <c r="O85" s="1">
        <f t="shared" si="17"/>
        <v>11</v>
      </c>
      <c r="P85" s="1">
        <f t="shared" si="18"/>
        <v>0</v>
      </c>
      <c r="Q85" s="1">
        <f t="shared" si="19"/>
        <v>86.86</v>
      </c>
      <c r="R85" s="1" t="str">
        <f t="shared" si="20"/>
        <v>not out</v>
      </c>
      <c r="S85" s="1" t="str">
        <f t="shared" si="21"/>
        <v xml:space="preserve"> England</v>
      </c>
      <c r="T85" s="1" t="str">
        <f t="shared" si="22"/>
        <v>Wankhede</v>
      </c>
      <c r="U85" s="1" t="str">
        <f t="shared" si="24"/>
        <v>No</v>
      </c>
      <c r="V85" s="1"/>
      <c r="W85" s="1"/>
      <c r="X85" s="1"/>
      <c r="Y85" s="1"/>
      <c r="Z85" s="1"/>
    </row>
    <row r="86" spans="1:26" ht="14.25" customHeight="1">
      <c r="A86" s="1"/>
      <c r="B86" s="1">
        <v>69</v>
      </c>
      <c r="C86" s="1" t="s">
        <v>131</v>
      </c>
      <c r="D86" s="1" t="s">
        <v>202</v>
      </c>
      <c r="E86" s="1" t="s">
        <v>131</v>
      </c>
      <c r="F86" s="1" t="s">
        <v>131</v>
      </c>
      <c r="G86" s="1" t="s">
        <v>210</v>
      </c>
      <c r="H86" s="1" t="s">
        <v>29</v>
      </c>
      <c r="I86" s="1" t="s">
        <v>234</v>
      </c>
      <c r="J86" s="1" t="s">
        <v>51</v>
      </c>
      <c r="K86" s="1"/>
      <c r="L86" s="1" t="str">
        <f t="shared" si="15"/>
        <v>No</v>
      </c>
      <c r="M86" s="1">
        <f t="shared" si="23"/>
        <v>3</v>
      </c>
      <c r="N86" s="1">
        <f t="shared" si="16"/>
        <v>5</v>
      </c>
      <c r="O86" s="1">
        <f t="shared" si="17"/>
        <v>0</v>
      </c>
      <c r="P86" s="1">
        <f t="shared" si="18"/>
        <v>0</v>
      </c>
      <c r="Q86" s="1">
        <f t="shared" si="19"/>
        <v>0</v>
      </c>
      <c r="R86" s="1" t="str">
        <f t="shared" si="20"/>
        <v>bowled</v>
      </c>
      <c r="S86" s="1" t="str">
        <f t="shared" si="21"/>
        <v xml:space="preserve"> England</v>
      </c>
      <c r="T86" s="1" t="str">
        <f t="shared" si="22"/>
        <v>Eden Gardens</v>
      </c>
      <c r="U86" s="1" t="str">
        <f t="shared" si="24"/>
        <v>Yes</v>
      </c>
      <c r="V86" s="1"/>
      <c r="W86" s="1"/>
      <c r="X86" s="1"/>
      <c r="Y86" s="1"/>
      <c r="Z86" s="1"/>
    </row>
    <row r="87" spans="1:26" ht="14.25" customHeight="1">
      <c r="A87" s="1"/>
      <c r="B87" s="1">
        <v>70</v>
      </c>
      <c r="C87" s="1" t="s">
        <v>148</v>
      </c>
      <c r="D87" s="1" t="s">
        <v>136</v>
      </c>
      <c r="E87" s="1" t="s">
        <v>131</v>
      </c>
      <c r="F87" s="1" t="s">
        <v>131</v>
      </c>
      <c r="G87" s="1" t="s">
        <v>204</v>
      </c>
      <c r="H87" s="1" t="s">
        <v>29</v>
      </c>
      <c r="I87" s="1" t="s">
        <v>163</v>
      </c>
      <c r="J87" s="1" t="s">
        <v>86</v>
      </c>
      <c r="K87" s="1"/>
      <c r="L87" s="1" t="str">
        <f t="shared" si="15"/>
        <v>No</v>
      </c>
      <c r="M87" s="1">
        <f t="shared" si="23"/>
        <v>117</v>
      </c>
      <c r="N87" s="1">
        <f t="shared" si="16"/>
        <v>6</v>
      </c>
      <c r="O87" s="1">
        <f t="shared" si="17"/>
        <v>0</v>
      </c>
      <c r="P87" s="1">
        <f t="shared" si="18"/>
        <v>0</v>
      </c>
      <c r="Q87" s="1">
        <f t="shared" si="19"/>
        <v>50</v>
      </c>
      <c r="R87" s="1" t="str">
        <f t="shared" si="20"/>
        <v>bowled</v>
      </c>
      <c r="S87" s="1" t="str">
        <f t="shared" si="21"/>
        <v xml:space="preserve"> West Indies</v>
      </c>
      <c r="T87" s="1" t="str">
        <f t="shared" si="22"/>
        <v>Cuttack</v>
      </c>
      <c r="U87" s="1" t="str">
        <f t="shared" si="24"/>
        <v>Yes</v>
      </c>
      <c r="V87" s="1"/>
      <c r="W87" s="1"/>
      <c r="X87" s="1"/>
      <c r="Y87" s="1"/>
      <c r="Z87" s="1"/>
    </row>
    <row r="88" spans="1:26" ht="14.25" customHeight="1">
      <c r="A88" s="1"/>
      <c r="B88" s="1">
        <v>71</v>
      </c>
      <c r="C88" s="1" t="s">
        <v>271</v>
      </c>
      <c r="D88" s="1" t="s">
        <v>272</v>
      </c>
      <c r="E88" s="1" t="s">
        <v>205</v>
      </c>
      <c r="F88" s="1" t="s">
        <v>131</v>
      </c>
      <c r="G88" s="1" t="s">
        <v>273</v>
      </c>
      <c r="H88" s="1" t="s">
        <v>24</v>
      </c>
      <c r="I88" s="1" t="s">
        <v>163</v>
      </c>
      <c r="J88" s="1" t="s">
        <v>65</v>
      </c>
      <c r="K88" s="1"/>
      <c r="L88" s="1" t="str">
        <f t="shared" si="15"/>
        <v>No</v>
      </c>
      <c r="M88" s="1">
        <f t="shared" si="23"/>
        <v>20</v>
      </c>
      <c r="N88" s="1">
        <f t="shared" si="16"/>
        <v>123</v>
      </c>
      <c r="O88" s="1">
        <f t="shared" si="17"/>
        <v>14</v>
      </c>
      <c r="P88" s="1">
        <f t="shared" si="18"/>
        <v>0</v>
      </c>
      <c r="Q88" s="1">
        <f t="shared" si="19"/>
        <v>95.12</v>
      </c>
      <c r="R88" s="1" t="str">
        <f t="shared" si="20"/>
        <v>caught</v>
      </c>
      <c r="S88" s="1" t="str">
        <f t="shared" si="21"/>
        <v xml:space="preserve"> West Indies</v>
      </c>
      <c r="T88" s="1" t="str">
        <f t="shared" si="22"/>
        <v>Visakhapatnam</v>
      </c>
      <c r="U88" s="1" t="str">
        <f t="shared" si="24"/>
        <v>Yes</v>
      </c>
      <c r="V88" s="1"/>
      <c r="W88" s="1"/>
      <c r="X88" s="1"/>
      <c r="Y88" s="1"/>
      <c r="Z88" s="1"/>
    </row>
    <row r="89" spans="1:26" ht="14.25" customHeight="1">
      <c r="A89" s="1"/>
      <c r="B89" s="1">
        <v>72</v>
      </c>
      <c r="C89" s="1" t="s">
        <v>238</v>
      </c>
      <c r="D89" s="1" t="s">
        <v>164</v>
      </c>
      <c r="E89" s="1" t="s">
        <v>148</v>
      </c>
      <c r="F89" s="1" t="s">
        <v>131</v>
      </c>
      <c r="G89" s="1" t="s">
        <v>155</v>
      </c>
      <c r="H89" s="1" t="s">
        <v>19</v>
      </c>
      <c r="I89" s="1" t="s">
        <v>163</v>
      </c>
      <c r="J89" s="1" t="s">
        <v>59</v>
      </c>
      <c r="K89" s="1"/>
      <c r="L89" s="1" t="str">
        <f t="shared" si="15"/>
        <v>No</v>
      </c>
      <c r="M89" s="1">
        <f t="shared" si="23"/>
        <v>23</v>
      </c>
      <c r="N89" s="1">
        <f t="shared" si="16"/>
        <v>30</v>
      </c>
      <c r="O89" s="1">
        <f t="shared" si="17"/>
        <v>3</v>
      </c>
      <c r="P89" s="1">
        <f t="shared" si="18"/>
        <v>0</v>
      </c>
      <c r="Q89" s="1">
        <f t="shared" si="19"/>
        <v>66.66</v>
      </c>
      <c r="R89" s="1" t="str">
        <f t="shared" si="20"/>
        <v>lbw</v>
      </c>
      <c r="S89" s="1" t="str">
        <f t="shared" si="21"/>
        <v xml:space="preserve"> West Indies</v>
      </c>
      <c r="T89" s="1" t="str">
        <f t="shared" si="22"/>
        <v>Ahmedabad</v>
      </c>
      <c r="U89" s="1" t="str">
        <f t="shared" si="24"/>
        <v>Yes</v>
      </c>
      <c r="V89" s="1"/>
      <c r="W89" s="1"/>
      <c r="X89" s="1"/>
      <c r="Y89" s="1"/>
      <c r="Z89" s="1"/>
    </row>
    <row r="90" spans="1:26" ht="14.25" customHeight="1">
      <c r="A90" s="1"/>
      <c r="B90" s="1">
        <v>73</v>
      </c>
      <c r="C90" s="1" t="s">
        <v>274</v>
      </c>
      <c r="D90" s="1" t="s">
        <v>176</v>
      </c>
      <c r="E90" s="1" t="s">
        <v>148</v>
      </c>
      <c r="F90" s="1" t="s">
        <v>131</v>
      </c>
      <c r="G90" s="1" t="s">
        <v>275</v>
      </c>
      <c r="H90" s="1" t="s">
        <v>32</v>
      </c>
      <c r="I90" s="1" t="s">
        <v>163</v>
      </c>
      <c r="J90" s="1" t="s">
        <v>87</v>
      </c>
      <c r="K90" s="1"/>
      <c r="L90" s="1" t="str">
        <f t="shared" si="15"/>
        <v>No</v>
      </c>
      <c r="M90" s="1">
        <f t="shared" si="23"/>
        <v>80</v>
      </c>
      <c r="N90" s="1">
        <f t="shared" si="16"/>
        <v>11</v>
      </c>
      <c r="O90" s="1">
        <f t="shared" si="17"/>
        <v>3</v>
      </c>
      <c r="P90" s="1">
        <f t="shared" si="18"/>
        <v>0</v>
      </c>
      <c r="Q90" s="1">
        <f t="shared" si="19"/>
        <v>209.09</v>
      </c>
      <c r="R90" s="1" t="str">
        <f t="shared" si="20"/>
        <v>not out</v>
      </c>
      <c r="S90" s="1" t="str">
        <f t="shared" si="21"/>
        <v xml:space="preserve"> West Indies</v>
      </c>
      <c r="T90" s="1" t="str">
        <f t="shared" si="22"/>
        <v>Indore</v>
      </c>
      <c r="U90" s="1" t="str">
        <f t="shared" si="24"/>
        <v>No</v>
      </c>
      <c r="V90" s="1"/>
      <c r="W90" s="1"/>
      <c r="X90" s="1"/>
      <c r="Y90" s="1"/>
      <c r="Z90" s="1"/>
    </row>
    <row r="91" spans="1:26" ht="14.25" customHeight="1">
      <c r="A91" s="1"/>
      <c r="B91" s="1">
        <v>74</v>
      </c>
      <c r="C91" s="1" t="s">
        <v>276</v>
      </c>
      <c r="D91" s="1" t="s">
        <v>277</v>
      </c>
      <c r="E91" s="1" t="s">
        <v>202</v>
      </c>
      <c r="F91" s="1" t="s">
        <v>131</v>
      </c>
      <c r="G91" s="1" t="s">
        <v>278</v>
      </c>
      <c r="H91" s="1" t="s">
        <v>24</v>
      </c>
      <c r="I91" s="1" t="s">
        <v>163</v>
      </c>
      <c r="J91" s="1" t="s">
        <v>68</v>
      </c>
      <c r="K91" s="1"/>
      <c r="L91" s="1" t="str">
        <f t="shared" si="15"/>
        <v>No</v>
      </c>
      <c r="M91" s="1">
        <f t="shared" si="23"/>
        <v>31</v>
      </c>
      <c r="N91" s="1">
        <f t="shared" si="16"/>
        <v>85</v>
      </c>
      <c r="O91" s="1">
        <f t="shared" si="17"/>
        <v>5</v>
      </c>
      <c r="P91" s="1">
        <f t="shared" si="18"/>
        <v>0</v>
      </c>
      <c r="Q91" s="1">
        <f t="shared" si="19"/>
        <v>94.11</v>
      </c>
      <c r="R91" s="1" t="str">
        <f t="shared" si="20"/>
        <v>caught</v>
      </c>
      <c r="S91" s="1" t="str">
        <f t="shared" si="21"/>
        <v xml:space="preserve"> West Indies</v>
      </c>
      <c r="T91" s="1" t="str">
        <f t="shared" si="22"/>
        <v>Chennai</v>
      </c>
      <c r="U91" s="1" t="str">
        <f t="shared" si="24"/>
        <v>Yes</v>
      </c>
      <c r="V91" s="1"/>
      <c r="W91" s="1"/>
      <c r="X91" s="1"/>
      <c r="Y91" s="1"/>
      <c r="Z91" s="1"/>
    </row>
    <row r="92" spans="1:26" ht="14.25" customHeight="1">
      <c r="A92" s="1"/>
      <c r="B92" s="1">
        <v>75</v>
      </c>
      <c r="C92" s="1" t="s">
        <v>146</v>
      </c>
      <c r="D92" s="1" t="s">
        <v>208</v>
      </c>
      <c r="E92" s="1" t="s">
        <v>148</v>
      </c>
      <c r="F92" s="1" t="s">
        <v>131</v>
      </c>
      <c r="G92" s="1" t="s">
        <v>279</v>
      </c>
      <c r="H92" s="1" t="s">
        <v>24</v>
      </c>
      <c r="I92" s="1" t="s">
        <v>158</v>
      </c>
      <c r="J92" s="1" t="s">
        <v>88</v>
      </c>
      <c r="K92" s="1"/>
      <c r="L92" s="1" t="str">
        <f t="shared" si="15"/>
        <v>No</v>
      </c>
      <c r="M92" s="1">
        <f t="shared" si="23"/>
        <v>77</v>
      </c>
      <c r="N92" s="1">
        <f t="shared" si="16"/>
        <v>34</v>
      </c>
      <c r="O92" s="1">
        <f t="shared" si="17"/>
        <v>3</v>
      </c>
      <c r="P92" s="1">
        <f t="shared" si="18"/>
        <v>0</v>
      </c>
      <c r="Q92" s="1">
        <f t="shared" si="19"/>
        <v>91.17</v>
      </c>
      <c r="R92" s="1" t="str">
        <f t="shared" si="20"/>
        <v>caught</v>
      </c>
      <c r="S92" s="1" t="str">
        <f t="shared" si="21"/>
        <v xml:space="preserve"> Australia</v>
      </c>
      <c r="T92" s="1" t="str">
        <f t="shared" si="22"/>
        <v>Melbourne</v>
      </c>
      <c r="U92" s="1" t="str">
        <f t="shared" si="24"/>
        <v>Yes</v>
      </c>
      <c r="V92" s="1"/>
      <c r="W92" s="1"/>
      <c r="X92" s="1"/>
      <c r="Y92" s="1"/>
      <c r="Z92" s="1"/>
    </row>
    <row r="93" spans="1:26" ht="14.25" customHeight="1">
      <c r="A93" s="1"/>
      <c r="B93" s="1">
        <v>76</v>
      </c>
      <c r="C93" s="1" t="s">
        <v>280</v>
      </c>
      <c r="D93" s="1" t="s">
        <v>253</v>
      </c>
      <c r="E93" s="1" t="s">
        <v>189</v>
      </c>
      <c r="F93" s="1" t="s">
        <v>130</v>
      </c>
      <c r="G93" s="1" t="s">
        <v>281</v>
      </c>
      <c r="H93" s="1" t="s">
        <v>26</v>
      </c>
      <c r="I93" s="1" t="s">
        <v>133</v>
      </c>
      <c r="J93" s="1" t="s">
        <v>89</v>
      </c>
      <c r="K93" s="1"/>
      <c r="L93" s="1" t="str">
        <f t="shared" si="15"/>
        <v>No</v>
      </c>
      <c r="M93" s="1">
        <f t="shared" si="23"/>
        <v>18</v>
      </c>
      <c r="N93" s="1">
        <f t="shared" si="16"/>
        <v>94</v>
      </c>
      <c r="O93" s="1">
        <f t="shared" si="17"/>
        <v>8</v>
      </c>
      <c r="P93" s="1">
        <f t="shared" si="18"/>
        <v>1</v>
      </c>
      <c r="Q93" s="1">
        <f t="shared" si="19"/>
        <v>81.91</v>
      </c>
      <c r="R93" s="1" t="str">
        <f t="shared" si="20"/>
        <v>run out</v>
      </c>
      <c r="S93" s="1" t="str">
        <f t="shared" si="21"/>
        <v xml:space="preserve"> Sri Lanka</v>
      </c>
      <c r="T93" s="1" t="str">
        <f t="shared" si="22"/>
        <v>W.A.C.A</v>
      </c>
      <c r="U93" s="1" t="str">
        <f t="shared" si="24"/>
        <v>Yes</v>
      </c>
      <c r="V93" s="1"/>
      <c r="W93" s="1"/>
      <c r="X93" s="1"/>
      <c r="Y93" s="1"/>
      <c r="Z93" s="1"/>
    </row>
    <row r="94" spans="1:26" ht="14.25" customHeight="1">
      <c r="A94" s="1"/>
      <c r="B94" s="1">
        <v>77</v>
      </c>
      <c r="C94" s="1" t="s">
        <v>199</v>
      </c>
      <c r="D94" s="1" t="s">
        <v>207</v>
      </c>
      <c r="E94" s="1" t="s">
        <v>130</v>
      </c>
      <c r="F94" s="1" t="s">
        <v>131</v>
      </c>
      <c r="G94" s="1" t="s">
        <v>282</v>
      </c>
      <c r="H94" s="1" t="s">
        <v>24</v>
      </c>
      <c r="I94" s="1" t="s">
        <v>158</v>
      </c>
      <c r="J94" s="1" t="s">
        <v>90</v>
      </c>
      <c r="K94" s="1"/>
      <c r="L94" s="1" t="str">
        <f t="shared" si="15"/>
        <v>No</v>
      </c>
      <c r="M94" s="1">
        <f t="shared" si="23"/>
        <v>15</v>
      </c>
      <c r="N94" s="1">
        <f t="shared" si="16"/>
        <v>28</v>
      </c>
      <c r="O94" s="1">
        <f t="shared" si="17"/>
        <v>1</v>
      </c>
      <c r="P94" s="1">
        <f t="shared" si="18"/>
        <v>0</v>
      </c>
      <c r="Q94" s="1">
        <f t="shared" si="19"/>
        <v>64.28</v>
      </c>
      <c r="R94" s="1" t="str">
        <f t="shared" si="20"/>
        <v>caught</v>
      </c>
      <c r="S94" s="1" t="str">
        <f t="shared" si="21"/>
        <v xml:space="preserve"> Australia</v>
      </c>
      <c r="T94" s="1" t="str">
        <f t="shared" si="22"/>
        <v>Adelaide</v>
      </c>
      <c r="U94" s="1" t="str">
        <f t="shared" si="24"/>
        <v>Yes</v>
      </c>
      <c r="V94" s="1"/>
      <c r="W94" s="1"/>
      <c r="X94" s="1"/>
      <c r="Y94" s="1"/>
      <c r="Z94" s="1"/>
    </row>
    <row r="95" spans="1:26" ht="14.25" customHeight="1">
      <c r="A95" s="1"/>
      <c r="B95" s="1">
        <v>78</v>
      </c>
      <c r="C95" s="1" t="s">
        <v>283</v>
      </c>
      <c r="D95" s="1" t="s">
        <v>138</v>
      </c>
      <c r="E95" s="1" t="s">
        <v>130</v>
      </c>
      <c r="F95" s="1" t="s">
        <v>131</v>
      </c>
      <c r="G95" s="1" t="s">
        <v>239</v>
      </c>
      <c r="H95" s="1" t="s">
        <v>19</v>
      </c>
      <c r="I95" s="1" t="s">
        <v>133</v>
      </c>
      <c r="J95" s="1" t="s">
        <v>90</v>
      </c>
      <c r="K95" s="1"/>
      <c r="L95" s="1" t="str">
        <f t="shared" si="15"/>
        <v>No</v>
      </c>
      <c r="M95" s="1">
        <f t="shared" si="23"/>
        <v>12</v>
      </c>
      <c r="N95" s="1">
        <f t="shared" si="16"/>
        <v>25</v>
      </c>
      <c r="O95" s="1">
        <f t="shared" si="17"/>
        <v>1</v>
      </c>
      <c r="P95" s="1">
        <f t="shared" si="18"/>
        <v>0</v>
      </c>
      <c r="Q95" s="1">
        <f t="shared" si="19"/>
        <v>60</v>
      </c>
      <c r="R95" s="1" t="str">
        <f t="shared" si="20"/>
        <v>lbw</v>
      </c>
      <c r="S95" s="1" t="str">
        <f t="shared" si="21"/>
        <v xml:space="preserve"> Sri Lanka</v>
      </c>
      <c r="T95" s="1" t="str">
        <f t="shared" si="22"/>
        <v>Adelaide</v>
      </c>
      <c r="U95" s="1" t="str">
        <f t="shared" si="24"/>
        <v>Yes</v>
      </c>
      <c r="V95" s="1"/>
      <c r="W95" s="1"/>
      <c r="X95" s="1"/>
      <c r="Y95" s="1"/>
      <c r="Z95" s="1"/>
    </row>
    <row r="96" spans="1:26" ht="14.25" customHeight="1">
      <c r="A96" s="1"/>
      <c r="B96" s="1">
        <v>79</v>
      </c>
      <c r="C96" s="1" t="s">
        <v>128</v>
      </c>
      <c r="D96" s="1" t="s">
        <v>138</v>
      </c>
      <c r="E96" s="1" t="s">
        <v>131</v>
      </c>
      <c r="F96" s="1" t="s">
        <v>131</v>
      </c>
      <c r="G96" s="1" t="s">
        <v>284</v>
      </c>
      <c r="H96" s="1" t="s">
        <v>24</v>
      </c>
      <c r="I96" s="1" t="s">
        <v>158</v>
      </c>
      <c r="J96" s="1" t="s">
        <v>91</v>
      </c>
      <c r="K96" s="1"/>
      <c r="L96" s="1" t="str">
        <f t="shared" si="15"/>
        <v>No</v>
      </c>
      <c r="M96" s="1">
        <f t="shared" si="23"/>
        <v>66</v>
      </c>
      <c r="N96" s="1">
        <f t="shared" si="16"/>
        <v>25</v>
      </c>
      <c r="O96" s="1">
        <f t="shared" si="17"/>
        <v>0</v>
      </c>
      <c r="P96" s="1">
        <f t="shared" si="18"/>
        <v>0</v>
      </c>
      <c r="Q96" s="1">
        <f t="shared" si="19"/>
        <v>48</v>
      </c>
      <c r="R96" s="1" t="str">
        <f t="shared" si="20"/>
        <v>caught</v>
      </c>
      <c r="S96" s="1" t="str">
        <f t="shared" si="21"/>
        <v xml:space="preserve"> Australia</v>
      </c>
      <c r="T96" s="1" t="str">
        <f t="shared" si="22"/>
        <v>Brisbane</v>
      </c>
      <c r="U96" s="1" t="str">
        <f t="shared" si="24"/>
        <v>Yes</v>
      </c>
      <c r="V96" s="1"/>
      <c r="W96" s="1"/>
      <c r="X96" s="1"/>
      <c r="Y96" s="1"/>
      <c r="Z96" s="1"/>
    </row>
    <row r="97" spans="1:26" ht="14.25" customHeight="1">
      <c r="A97" s="1"/>
      <c r="B97" s="1">
        <v>80</v>
      </c>
      <c r="C97" s="1" t="s">
        <v>143</v>
      </c>
      <c r="D97" s="1" t="s">
        <v>231</v>
      </c>
      <c r="E97" s="1" t="s">
        <v>151</v>
      </c>
      <c r="F97" s="1" t="s">
        <v>131</v>
      </c>
      <c r="G97" s="1" t="s">
        <v>285</v>
      </c>
      <c r="H97" s="1" t="s">
        <v>24</v>
      </c>
      <c r="I97" s="1" t="s">
        <v>133</v>
      </c>
      <c r="J97" s="1" t="s">
        <v>91</v>
      </c>
      <c r="K97" s="1"/>
      <c r="L97" s="1" t="str">
        <f t="shared" si="15"/>
        <v>No</v>
      </c>
      <c r="M97" s="1">
        <f t="shared" si="23"/>
        <v>21</v>
      </c>
      <c r="N97" s="1">
        <f t="shared" si="16"/>
        <v>83</v>
      </c>
      <c r="O97" s="1">
        <f t="shared" si="17"/>
        <v>2</v>
      </c>
      <c r="P97" s="1">
        <f t="shared" si="18"/>
        <v>0</v>
      </c>
      <c r="Q97" s="1">
        <f t="shared" si="19"/>
        <v>79.510000000000005</v>
      </c>
      <c r="R97" s="1" t="str">
        <f t="shared" si="20"/>
        <v>caught</v>
      </c>
      <c r="S97" s="1" t="str">
        <f t="shared" si="21"/>
        <v xml:space="preserve"> Sri Lanka</v>
      </c>
      <c r="T97" s="1" t="str">
        <f t="shared" si="22"/>
        <v>Brisbane</v>
      </c>
      <c r="U97" s="1" t="str">
        <f t="shared" si="24"/>
        <v>Yes</v>
      </c>
      <c r="V97" s="1"/>
      <c r="W97" s="1"/>
      <c r="X97" s="1"/>
      <c r="Y97" s="1"/>
      <c r="Z97" s="1"/>
    </row>
    <row r="98" spans="1:26" ht="14.25" customHeight="1">
      <c r="A98" s="1"/>
      <c r="B98" s="1">
        <v>81</v>
      </c>
      <c r="C98" s="1" t="s">
        <v>246</v>
      </c>
      <c r="D98" s="1" t="s">
        <v>169</v>
      </c>
      <c r="E98" s="1" t="s">
        <v>151</v>
      </c>
      <c r="F98" s="1" t="s">
        <v>131</v>
      </c>
      <c r="G98" s="1" t="s">
        <v>286</v>
      </c>
      <c r="H98" s="1" t="s">
        <v>24</v>
      </c>
      <c r="I98" s="1" t="s">
        <v>158</v>
      </c>
      <c r="J98" s="1" t="s">
        <v>92</v>
      </c>
      <c r="K98" s="1"/>
      <c r="L98" s="1" t="str">
        <f t="shared" si="15"/>
        <v>No</v>
      </c>
      <c r="M98" s="1">
        <f t="shared" si="23"/>
        <v>133</v>
      </c>
      <c r="N98" s="1">
        <f t="shared" si="16"/>
        <v>27</v>
      </c>
      <c r="O98" s="1">
        <f t="shared" si="17"/>
        <v>2</v>
      </c>
      <c r="P98" s="1">
        <f t="shared" si="18"/>
        <v>0</v>
      </c>
      <c r="Q98" s="1">
        <f t="shared" si="19"/>
        <v>77.77</v>
      </c>
      <c r="R98" s="1" t="str">
        <f t="shared" si="20"/>
        <v>caught</v>
      </c>
      <c r="S98" s="1" t="str">
        <f t="shared" si="21"/>
        <v xml:space="preserve"> Australia</v>
      </c>
      <c r="T98" s="1" t="str">
        <f t="shared" si="22"/>
        <v>Sydney</v>
      </c>
      <c r="U98" s="1" t="str">
        <f t="shared" si="24"/>
        <v>Yes</v>
      </c>
      <c r="V98" s="1"/>
      <c r="W98" s="1"/>
      <c r="X98" s="1"/>
      <c r="Y98" s="1"/>
      <c r="Z98" s="1"/>
    </row>
    <row r="99" spans="1:26" ht="14.25" customHeight="1">
      <c r="A99" s="1"/>
      <c r="B99" s="1">
        <v>82</v>
      </c>
      <c r="C99" s="1" t="s">
        <v>287</v>
      </c>
      <c r="D99" s="1" t="s">
        <v>288</v>
      </c>
      <c r="E99" s="1" t="s">
        <v>153</v>
      </c>
      <c r="F99" s="1" t="s">
        <v>151</v>
      </c>
      <c r="G99" s="1" t="s">
        <v>289</v>
      </c>
      <c r="H99" s="1" t="s">
        <v>32</v>
      </c>
      <c r="I99" s="1" t="s">
        <v>133</v>
      </c>
      <c r="J99" s="1" t="s">
        <v>93</v>
      </c>
      <c r="K99" s="1"/>
      <c r="L99" s="1" t="str">
        <f t="shared" si="15"/>
        <v>No</v>
      </c>
      <c r="M99" s="1">
        <f t="shared" si="23"/>
        <v>108</v>
      </c>
      <c r="N99" s="1">
        <f t="shared" si="16"/>
        <v>86</v>
      </c>
      <c r="O99" s="1">
        <f t="shared" si="17"/>
        <v>16</v>
      </c>
      <c r="P99" s="1">
        <f t="shared" si="18"/>
        <v>2</v>
      </c>
      <c r="Q99" s="1">
        <f t="shared" si="19"/>
        <v>154.65</v>
      </c>
      <c r="R99" s="1" t="str">
        <f t="shared" si="20"/>
        <v>not out</v>
      </c>
      <c r="S99" s="1" t="str">
        <f t="shared" si="21"/>
        <v xml:space="preserve"> Sri Lanka</v>
      </c>
      <c r="T99" s="1" t="str">
        <f t="shared" si="22"/>
        <v>Hobart</v>
      </c>
      <c r="U99" s="1" t="str">
        <f t="shared" si="24"/>
        <v>No</v>
      </c>
      <c r="V99" s="1"/>
      <c r="W99" s="1"/>
      <c r="X99" s="1"/>
      <c r="Y99" s="1"/>
      <c r="Z99" s="1"/>
    </row>
    <row r="100" spans="1:26" ht="14.25" customHeight="1">
      <c r="A100" s="1"/>
      <c r="B100" s="1">
        <v>83</v>
      </c>
      <c r="C100" s="1" t="s">
        <v>290</v>
      </c>
      <c r="D100" s="1" t="s">
        <v>291</v>
      </c>
      <c r="E100" s="1" t="s">
        <v>144</v>
      </c>
      <c r="F100" s="1" t="s">
        <v>131</v>
      </c>
      <c r="G100" s="1" t="s">
        <v>223</v>
      </c>
      <c r="H100" s="1" t="s">
        <v>24</v>
      </c>
      <c r="I100" s="1" t="s">
        <v>133</v>
      </c>
      <c r="J100" s="1" t="s">
        <v>53</v>
      </c>
      <c r="K100" s="1"/>
      <c r="L100" s="1" t="str">
        <f t="shared" si="15"/>
        <v>No</v>
      </c>
      <c r="M100" s="1">
        <f t="shared" si="23"/>
        <v>66</v>
      </c>
      <c r="N100" s="1">
        <f t="shared" si="16"/>
        <v>120</v>
      </c>
      <c r="O100" s="1">
        <f t="shared" si="17"/>
        <v>7</v>
      </c>
      <c r="P100" s="1">
        <f t="shared" si="18"/>
        <v>0</v>
      </c>
      <c r="Q100" s="1">
        <f t="shared" si="19"/>
        <v>90</v>
      </c>
      <c r="R100" s="1" t="str">
        <f t="shared" si="20"/>
        <v>caught</v>
      </c>
      <c r="S100" s="1" t="str">
        <f t="shared" si="21"/>
        <v xml:space="preserve"> Sri Lanka</v>
      </c>
      <c r="T100" s="1" t="str">
        <f t="shared" si="22"/>
        <v>Mirpur</v>
      </c>
      <c r="U100" s="1" t="str">
        <f t="shared" si="24"/>
        <v>Yes</v>
      </c>
      <c r="V100" s="1"/>
      <c r="W100" s="1"/>
      <c r="X100" s="1"/>
      <c r="Y100" s="1"/>
      <c r="Z100" s="1"/>
    </row>
    <row r="101" spans="1:26" ht="14.25" customHeight="1">
      <c r="A101" s="1"/>
      <c r="B101" s="1">
        <v>84</v>
      </c>
      <c r="C101" s="1" t="s">
        <v>143</v>
      </c>
      <c r="D101" s="1" t="s">
        <v>196</v>
      </c>
      <c r="E101" s="1" t="s">
        <v>202</v>
      </c>
      <c r="F101" s="1" t="s">
        <v>131</v>
      </c>
      <c r="G101" s="1" t="s">
        <v>292</v>
      </c>
      <c r="H101" s="1" t="s">
        <v>29</v>
      </c>
      <c r="I101" s="1" t="s">
        <v>182</v>
      </c>
      <c r="J101" s="1" t="s">
        <v>53</v>
      </c>
      <c r="K101" s="1"/>
      <c r="L101" s="1" t="str">
        <f t="shared" si="15"/>
        <v>No</v>
      </c>
      <c r="M101" s="1">
        <f t="shared" si="23"/>
        <v>183</v>
      </c>
      <c r="N101" s="1">
        <f t="shared" si="16"/>
        <v>82</v>
      </c>
      <c r="O101" s="1">
        <f t="shared" si="17"/>
        <v>5</v>
      </c>
      <c r="P101" s="1">
        <f t="shared" si="18"/>
        <v>0</v>
      </c>
      <c r="Q101" s="1">
        <f t="shared" si="19"/>
        <v>80.48</v>
      </c>
      <c r="R101" s="1" t="str">
        <f t="shared" si="20"/>
        <v>bowled</v>
      </c>
      <c r="S101" s="1" t="str">
        <f t="shared" si="21"/>
        <v xml:space="preserve"> Bangladesh</v>
      </c>
      <c r="T101" s="1" t="str">
        <f t="shared" si="22"/>
        <v>Mirpur</v>
      </c>
      <c r="U101" s="1" t="str">
        <f t="shared" si="24"/>
        <v>Yes</v>
      </c>
      <c r="V101" s="1"/>
      <c r="W101" s="1"/>
      <c r="X101" s="1"/>
      <c r="Y101" s="1"/>
      <c r="Z101" s="1"/>
    </row>
    <row r="102" spans="1:26" ht="14.25" customHeight="1">
      <c r="A102" s="1"/>
      <c r="B102" s="1">
        <v>85</v>
      </c>
      <c r="C102" s="1" t="s">
        <v>293</v>
      </c>
      <c r="D102" s="1" t="s">
        <v>294</v>
      </c>
      <c r="E102" s="1" t="s">
        <v>129</v>
      </c>
      <c r="F102" s="1" t="s">
        <v>130</v>
      </c>
      <c r="G102" s="1" t="s">
        <v>295</v>
      </c>
      <c r="H102" s="1" t="s">
        <v>24</v>
      </c>
      <c r="I102" s="1" t="s">
        <v>156</v>
      </c>
      <c r="J102" s="1" t="s">
        <v>53</v>
      </c>
      <c r="K102" s="1"/>
      <c r="L102" s="1" t="str">
        <f t="shared" si="15"/>
        <v>No</v>
      </c>
      <c r="M102" s="1">
        <f t="shared" si="23"/>
        <v>106</v>
      </c>
      <c r="N102" s="1">
        <f t="shared" si="16"/>
        <v>148</v>
      </c>
      <c r="O102" s="1">
        <f t="shared" si="17"/>
        <v>22</v>
      </c>
      <c r="P102" s="1">
        <f t="shared" si="18"/>
        <v>1</v>
      </c>
      <c r="Q102" s="1">
        <f t="shared" si="19"/>
        <v>123.64</v>
      </c>
      <c r="R102" s="1" t="str">
        <f t="shared" si="20"/>
        <v>caught</v>
      </c>
      <c r="S102" s="1" t="str">
        <f t="shared" si="21"/>
        <v xml:space="preserve"> Pakistan</v>
      </c>
      <c r="T102" s="1" t="str">
        <f t="shared" si="22"/>
        <v>Mirpur</v>
      </c>
      <c r="U102" s="1" t="str">
        <f t="shared" si="24"/>
        <v>Yes</v>
      </c>
      <c r="V102" s="1"/>
      <c r="W102" s="1"/>
      <c r="X102" s="1"/>
      <c r="Y102" s="1"/>
      <c r="Z102" s="1"/>
    </row>
    <row r="103" spans="1:26" ht="14.25" customHeight="1">
      <c r="A103" s="1"/>
      <c r="B103" s="1">
        <v>86</v>
      </c>
      <c r="C103" s="1" t="s">
        <v>296</v>
      </c>
      <c r="D103" s="1" t="s">
        <v>297</v>
      </c>
      <c r="E103" s="1" t="s">
        <v>161</v>
      </c>
      <c r="F103" s="1" t="s">
        <v>131</v>
      </c>
      <c r="G103" s="1" t="s">
        <v>298</v>
      </c>
      <c r="H103" s="1" t="s">
        <v>24</v>
      </c>
      <c r="I103" s="1" t="s">
        <v>133</v>
      </c>
      <c r="J103" s="1" t="s">
        <v>94</v>
      </c>
      <c r="K103" s="1"/>
      <c r="L103" s="1" t="str">
        <f t="shared" si="15"/>
        <v>No</v>
      </c>
      <c r="M103" s="1">
        <f t="shared" si="23"/>
        <v>1</v>
      </c>
      <c r="N103" s="1">
        <f t="shared" si="16"/>
        <v>113</v>
      </c>
      <c r="O103" s="1">
        <f t="shared" si="17"/>
        <v>9</v>
      </c>
      <c r="P103" s="1">
        <f t="shared" si="18"/>
        <v>0</v>
      </c>
      <c r="Q103" s="1">
        <f t="shared" si="19"/>
        <v>93.8</v>
      </c>
      <c r="R103" s="1" t="str">
        <f t="shared" si="20"/>
        <v>caught</v>
      </c>
      <c r="S103" s="1" t="str">
        <f t="shared" si="21"/>
        <v xml:space="preserve"> Sri Lanka</v>
      </c>
      <c r="T103" s="1" t="str">
        <f t="shared" si="22"/>
        <v>Hambantota</v>
      </c>
      <c r="U103" s="1" t="str">
        <f t="shared" si="24"/>
        <v>Yes</v>
      </c>
      <c r="V103" s="1"/>
      <c r="W103" s="1"/>
      <c r="X103" s="1"/>
      <c r="Y103" s="1"/>
      <c r="Z103" s="1"/>
    </row>
    <row r="104" spans="1:26" ht="14.25" customHeight="1">
      <c r="A104" s="1"/>
      <c r="B104" s="1">
        <v>87</v>
      </c>
      <c r="C104" s="1" t="s">
        <v>130</v>
      </c>
      <c r="D104" s="1" t="s">
        <v>202</v>
      </c>
      <c r="E104" s="1" t="s">
        <v>131</v>
      </c>
      <c r="F104" s="1" t="s">
        <v>131</v>
      </c>
      <c r="G104" s="1" t="s">
        <v>299</v>
      </c>
      <c r="H104" s="1" t="s">
        <v>24</v>
      </c>
      <c r="I104" s="1" t="s">
        <v>133</v>
      </c>
      <c r="J104" s="1" t="s">
        <v>94</v>
      </c>
      <c r="K104" s="1"/>
      <c r="L104" s="1" t="str">
        <f t="shared" si="15"/>
        <v>No</v>
      </c>
      <c r="M104" s="1">
        <f t="shared" si="23"/>
        <v>38</v>
      </c>
      <c r="N104" s="1">
        <f t="shared" si="16"/>
        <v>5</v>
      </c>
      <c r="O104" s="1">
        <f t="shared" si="17"/>
        <v>0</v>
      </c>
      <c r="P104" s="1">
        <f t="shared" si="18"/>
        <v>0</v>
      </c>
      <c r="Q104" s="1">
        <f t="shared" si="19"/>
        <v>20</v>
      </c>
      <c r="R104" s="1" t="str">
        <f t="shared" si="20"/>
        <v>caught</v>
      </c>
      <c r="S104" s="1" t="str">
        <f t="shared" si="21"/>
        <v xml:space="preserve"> Sri Lanka</v>
      </c>
      <c r="T104" s="1" t="str">
        <f t="shared" si="22"/>
        <v>Hambantota</v>
      </c>
      <c r="U104" s="1" t="str">
        <f t="shared" si="24"/>
        <v>Yes</v>
      </c>
      <c r="V104" s="1"/>
      <c r="W104" s="1"/>
      <c r="X104" s="1"/>
      <c r="Y104" s="1"/>
      <c r="Z104" s="1"/>
    </row>
    <row r="105" spans="1:26" ht="14.25" customHeight="1">
      <c r="A105" s="1"/>
      <c r="B105" s="1">
        <v>88</v>
      </c>
      <c r="C105" s="1" t="s">
        <v>139</v>
      </c>
      <c r="D105" s="1" t="s">
        <v>172</v>
      </c>
      <c r="E105" s="1" t="s">
        <v>151</v>
      </c>
      <c r="F105" s="1" t="s">
        <v>131</v>
      </c>
      <c r="G105" s="1" t="s">
        <v>300</v>
      </c>
      <c r="H105" s="1" t="s">
        <v>24</v>
      </c>
      <c r="I105" s="1" t="s">
        <v>133</v>
      </c>
      <c r="J105" s="1" t="s">
        <v>27</v>
      </c>
      <c r="K105" s="1"/>
      <c r="L105" s="1" t="str">
        <f t="shared" si="15"/>
        <v>No</v>
      </c>
      <c r="M105" s="1">
        <f t="shared" si="23"/>
        <v>128</v>
      </c>
      <c r="N105" s="1">
        <f t="shared" si="16"/>
        <v>65</v>
      </c>
      <c r="O105" s="1">
        <f t="shared" si="17"/>
        <v>2</v>
      </c>
      <c r="P105" s="1">
        <f t="shared" si="18"/>
        <v>0</v>
      </c>
      <c r="Q105" s="1">
        <f t="shared" si="19"/>
        <v>58.46</v>
      </c>
      <c r="R105" s="1" t="str">
        <f t="shared" si="20"/>
        <v>caught</v>
      </c>
      <c r="S105" s="1" t="str">
        <f t="shared" si="21"/>
        <v xml:space="preserve"> Sri Lanka</v>
      </c>
      <c r="T105" s="1" t="str">
        <f t="shared" si="22"/>
        <v>Colombo (RPS)</v>
      </c>
      <c r="U105" s="1" t="str">
        <f t="shared" si="24"/>
        <v>Yes</v>
      </c>
      <c r="V105" s="1"/>
      <c r="W105" s="1"/>
      <c r="X105" s="1"/>
      <c r="Y105" s="1"/>
      <c r="Z105" s="1"/>
    </row>
    <row r="106" spans="1:26" ht="14.25" customHeight="1">
      <c r="A106" s="1"/>
      <c r="B106" s="1">
        <v>89</v>
      </c>
      <c r="C106" s="1" t="s">
        <v>301</v>
      </c>
      <c r="D106" s="1" t="s">
        <v>302</v>
      </c>
      <c r="E106" s="1" t="s">
        <v>128</v>
      </c>
      <c r="F106" s="1" t="s">
        <v>130</v>
      </c>
      <c r="G106" s="1" t="s">
        <v>303</v>
      </c>
      <c r="H106" s="1" t="s">
        <v>32</v>
      </c>
      <c r="I106" s="1" t="s">
        <v>133</v>
      </c>
      <c r="J106" s="1" t="s">
        <v>27</v>
      </c>
      <c r="K106" s="1"/>
      <c r="L106" s="1" t="str">
        <f t="shared" si="15"/>
        <v>No</v>
      </c>
      <c r="M106" s="1">
        <f t="shared" si="23"/>
        <v>23</v>
      </c>
      <c r="N106" s="1">
        <f t="shared" si="16"/>
        <v>119</v>
      </c>
      <c r="O106" s="1">
        <f t="shared" si="17"/>
        <v>12</v>
      </c>
      <c r="P106" s="1">
        <f t="shared" si="18"/>
        <v>1</v>
      </c>
      <c r="Q106" s="1">
        <f t="shared" si="19"/>
        <v>107.56</v>
      </c>
      <c r="R106" s="1" t="str">
        <f t="shared" si="20"/>
        <v>not out</v>
      </c>
      <c r="S106" s="1" t="str">
        <f t="shared" si="21"/>
        <v xml:space="preserve"> Sri Lanka</v>
      </c>
      <c r="T106" s="1" t="str">
        <f t="shared" si="22"/>
        <v>Colombo (RPS)</v>
      </c>
      <c r="U106" s="1" t="str">
        <f t="shared" si="24"/>
        <v>No</v>
      </c>
      <c r="V106" s="1"/>
      <c r="W106" s="1"/>
      <c r="X106" s="1"/>
      <c r="Y106" s="1"/>
      <c r="Z106" s="1"/>
    </row>
    <row r="107" spans="1:26" ht="14.25" customHeight="1">
      <c r="A107" s="1"/>
      <c r="B107" s="1">
        <v>90</v>
      </c>
      <c r="C107" s="1" t="s">
        <v>304</v>
      </c>
      <c r="D107" s="1" t="s">
        <v>248</v>
      </c>
      <c r="E107" s="1" t="s">
        <v>151</v>
      </c>
      <c r="F107" s="1" t="s">
        <v>131</v>
      </c>
      <c r="G107" s="1" t="s">
        <v>305</v>
      </c>
      <c r="H107" s="1" t="s">
        <v>19</v>
      </c>
      <c r="I107" s="1" t="s">
        <v>133</v>
      </c>
      <c r="J107" s="1" t="s">
        <v>95</v>
      </c>
      <c r="K107" s="1"/>
      <c r="L107" s="1" t="str">
        <f t="shared" si="15"/>
        <v>No</v>
      </c>
      <c r="M107" s="1">
        <f t="shared" si="23"/>
        <v>0</v>
      </c>
      <c r="N107" s="1">
        <f t="shared" si="16"/>
        <v>35</v>
      </c>
      <c r="O107" s="1">
        <f t="shared" si="17"/>
        <v>2</v>
      </c>
      <c r="P107" s="1">
        <f t="shared" si="18"/>
        <v>0</v>
      </c>
      <c r="Q107" s="1">
        <f t="shared" si="19"/>
        <v>65.709999999999994</v>
      </c>
      <c r="R107" s="1" t="str">
        <f t="shared" si="20"/>
        <v>lbw</v>
      </c>
      <c r="S107" s="1" t="str">
        <f t="shared" si="21"/>
        <v xml:space="preserve"> Sri Lanka</v>
      </c>
      <c r="T107" s="1" t="str">
        <f t="shared" si="22"/>
        <v>Pallekele</v>
      </c>
      <c r="U107" s="1" t="str">
        <f t="shared" si="24"/>
        <v>Yes</v>
      </c>
      <c r="V107" s="1"/>
      <c r="W107" s="1"/>
      <c r="X107" s="1"/>
      <c r="Y107" s="1"/>
      <c r="Z107" s="1"/>
    </row>
    <row r="108" spans="1:26" ht="14.25" customHeight="1">
      <c r="A108" s="1"/>
      <c r="B108" s="1">
        <v>91</v>
      </c>
      <c r="C108" s="1" t="s">
        <v>131</v>
      </c>
      <c r="D108" s="1" t="s">
        <v>202</v>
      </c>
      <c r="E108" s="1" t="s">
        <v>131</v>
      </c>
      <c r="F108" s="1" t="s">
        <v>131</v>
      </c>
      <c r="G108" s="1" t="s">
        <v>210</v>
      </c>
      <c r="H108" s="1" t="s">
        <v>29</v>
      </c>
      <c r="I108" s="1" t="s">
        <v>156</v>
      </c>
      <c r="J108" s="1" t="s">
        <v>68</v>
      </c>
      <c r="K108" s="1"/>
      <c r="L108" s="1" t="str">
        <f t="shared" si="15"/>
        <v>No</v>
      </c>
      <c r="M108" s="1">
        <f t="shared" si="23"/>
        <v>6</v>
      </c>
      <c r="N108" s="1">
        <f t="shared" si="16"/>
        <v>5</v>
      </c>
      <c r="O108" s="1">
        <f t="shared" si="17"/>
        <v>0</v>
      </c>
      <c r="P108" s="1">
        <f t="shared" si="18"/>
        <v>0</v>
      </c>
      <c r="Q108" s="1">
        <f t="shared" si="19"/>
        <v>0</v>
      </c>
      <c r="R108" s="1" t="str">
        <f t="shared" si="20"/>
        <v>bowled</v>
      </c>
      <c r="S108" s="1" t="str">
        <f t="shared" si="21"/>
        <v xml:space="preserve"> Pakistan</v>
      </c>
      <c r="T108" s="1" t="str">
        <f t="shared" si="22"/>
        <v>Chennai</v>
      </c>
      <c r="U108" s="1" t="str">
        <f t="shared" si="24"/>
        <v>Yes</v>
      </c>
      <c r="V108" s="1"/>
      <c r="W108" s="1"/>
      <c r="X108" s="1"/>
      <c r="Y108" s="1"/>
      <c r="Z108" s="1"/>
    </row>
    <row r="109" spans="1:26" ht="14.25" customHeight="1">
      <c r="A109" s="1"/>
      <c r="B109" s="1">
        <v>92</v>
      </c>
      <c r="C109" s="1" t="s">
        <v>136</v>
      </c>
      <c r="D109" s="1" t="s">
        <v>161</v>
      </c>
      <c r="E109" s="1" t="s">
        <v>130</v>
      </c>
      <c r="F109" s="1" t="s">
        <v>131</v>
      </c>
      <c r="G109" s="1" t="s">
        <v>155</v>
      </c>
      <c r="H109" s="1" t="s">
        <v>24</v>
      </c>
      <c r="I109" s="1" t="s">
        <v>156</v>
      </c>
      <c r="J109" s="1" t="s">
        <v>51</v>
      </c>
      <c r="K109" s="1"/>
      <c r="L109" s="1" t="str">
        <f t="shared" si="15"/>
        <v>No</v>
      </c>
      <c r="M109" s="1">
        <f t="shared" si="23"/>
        <v>7</v>
      </c>
      <c r="N109" s="1">
        <f t="shared" si="16"/>
        <v>9</v>
      </c>
      <c r="O109" s="1">
        <f t="shared" si="17"/>
        <v>1</v>
      </c>
      <c r="P109" s="1">
        <f t="shared" si="18"/>
        <v>0</v>
      </c>
      <c r="Q109" s="1">
        <f t="shared" si="19"/>
        <v>66.66</v>
      </c>
      <c r="R109" s="1" t="str">
        <f t="shared" si="20"/>
        <v>caught</v>
      </c>
      <c r="S109" s="1" t="str">
        <f t="shared" si="21"/>
        <v xml:space="preserve"> Pakistan</v>
      </c>
      <c r="T109" s="1" t="str">
        <f t="shared" si="22"/>
        <v>Eden Gardens</v>
      </c>
      <c r="U109" s="1" t="str">
        <f t="shared" si="24"/>
        <v>Yes</v>
      </c>
      <c r="V109" s="1"/>
      <c r="W109" s="1"/>
      <c r="X109" s="1"/>
      <c r="Y109" s="1"/>
      <c r="Z109" s="1"/>
    </row>
    <row r="110" spans="1:26" ht="14.25" customHeight="1">
      <c r="A110" s="1"/>
      <c r="B110" s="1">
        <v>93</v>
      </c>
      <c r="C110" s="1" t="s">
        <v>144</v>
      </c>
      <c r="D110" s="1" t="s">
        <v>306</v>
      </c>
      <c r="E110" s="1" t="s">
        <v>130</v>
      </c>
      <c r="F110" s="1" t="s">
        <v>131</v>
      </c>
      <c r="G110" s="1" t="s">
        <v>307</v>
      </c>
      <c r="H110" s="1" t="s">
        <v>24</v>
      </c>
      <c r="I110" s="1" t="s">
        <v>156</v>
      </c>
      <c r="J110" s="1" t="s">
        <v>52</v>
      </c>
      <c r="K110" s="1"/>
      <c r="L110" s="1" t="str">
        <f t="shared" si="15"/>
        <v>No</v>
      </c>
      <c r="M110" s="1">
        <f t="shared" si="23"/>
        <v>15</v>
      </c>
      <c r="N110" s="1">
        <f t="shared" si="16"/>
        <v>17</v>
      </c>
      <c r="O110" s="1">
        <f t="shared" si="17"/>
        <v>1</v>
      </c>
      <c r="P110" s="1">
        <f t="shared" si="18"/>
        <v>0</v>
      </c>
      <c r="Q110" s="1">
        <f t="shared" si="19"/>
        <v>41.17</v>
      </c>
      <c r="R110" s="1" t="str">
        <f t="shared" si="20"/>
        <v>caught</v>
      </c>
      <c r="S110" s="1" t="str">
        <f t="shared" si="21"/>
        <v xml:space="preserve"> Pakistan</v>
      </c>
      <c r="T110" s="1" t="str">
        <f t="shared" si="22"/>
        <v>Delhi</v>
      </c>
      <c r="U110" s="1" t="str">
        <f t="shared" si="24"/>
        <v>Yes</v>
      </c>
      <c r="V110" s="1"/>
      <c r="W110" s="1"/>
      <c r="X110" s="1"/>
      <c r="Y110" s="1"/>
      <c r="Z110" s="1"/>
    </row>
    <row r="111" spans="1:26" ht="14.25" customHeight="1">
      <c r="A111" s="1"/>
      <c r="B111" s="1">
        <v>94</v>
      </c>
      <c r="C111" s="1" t="s">
        <v>283</v>
      </c>
      <c r="D111" s="1" t="s">
        <v>129</v>
      </c>
      <c r="E111" s="1" t="s">
        <v>130</v>
      </c>
      <c r="F111" s="1" t="s">
        <v>131</v>
      </c>
      <c r="G111" s="1" t="s">
        <v>308</v>
      </c>
      <c r="H111" s="1" t="s">
        <v>24</v>
      </c>
      <c r="I111" s="1" t="s">
        <v>234</v>
      </c>
      <c r="J111" s="1" t="s">
        <v>48</v>
      </c>
      <c r="K111" s="1"/>
      <c r="L111" s="1" t="str">
        <f t="shared" si="15"/>
        <v>No</v>
      </c>
      <c r="M111" s="1">
        <f t="shared" si="23"/>
        <v>37</v>
      </c>
      <c r="N111" s="1">
        <f t="shared" si="16"/>
        <v>22</v>
      </c>
      <c r="O111" s="1">
        <f t="shared" si="17"/>
        <v>1</v>
      </c>
      <c r="P111" s="1">
        <f t="shared" si="18"/>
        <v>0</v>
      </c>
      <c r="Q111" s="1">
        <f t="shared" si="19"/>
        <v>68.180000000000007</v>
      </c>
      <c r="R111" s="1" t="str">
        <f t="shared" si="20"/>
        <v>caught</v>
      </c>
      <c r="S111" s="1" t="str">
        <f t="shared" si="21"/>
        <v xml:space="preserve"> England</v>
      </c>
      <c r="T111" s="1" t="str">
        <f t="shared" si="22"/>
        <v>Rajkot</v>
      </c>
      <c r="U111" s="1" t="str">
        <f t="shared" si="24"/>
        <v>Yes</v>
      </c>
      <c r="V111" s="1"/>
      <c r="W111" s="1"/>
      <c r="X111" s="1"/>
      <c r="Y111" s="1"/>
      <c r="Z111" s="1"/>
    </row>
    <row r="112" spans="1:26" ht="14.25" customHeight="1">
      <c r="A112" s="1"/>
      <c r="B112" s="1">
        <v>95</v>
      </c>
      <c r="C112" s="1" t="s">
        <v>134</v>
      </c>
      <c r="D112" s="1" t="s">
        <v>142</v>
      </c>
      <c r="E112" s="1" t="s">
        <v>130</v>
      </c>
      <c r="F112" s="1" t="s">
        <v>130</v>
      </c>
      <c r="G112" s="1" t="s">
        <v>309</v>
      </c>
      <c r="H112" s="1" t="s">
        <v>24</v>
      </c>
      <c r="I112" s="1" t="s">
        <v>234</v>
      </c>
      <c r="J112" s="1" t="s">
        <v>96</v>
      </c>
      <c r="K112" s="1"/>
      <c r="L112" s="1" t="str">
        <f t="shared" si="15"/>
        <v>No</v>
      </c>
      <c r="M112" s="1">
        <f t="shared" si="23"/>
        <v>77</v>
      </c>
      <c r="N112" s="1">
        <f t="shared" si="16"/>
        <v>54</v>
      </c>
      <c r="O112" s="1">
        <f t="shared" si="17"/>
        <v>1</v>
      </c>
      <c r="P112" s="1">
        <f t="shared" si="18"/>
        <v>1</v>
      </c>
      <c r="Q112" s="1">
        <f t="shared" si="19"/>
        <v>68.510000000000005</v>
      </c>
      <c r="R112" s="1" t="str">
        <f t="shared" si="20"/>
        <v>caught</v>
      </c>
      <c r="S112" s="1" t="str">
        <f t="shared" si="21"/>
        <v xml:space="preserve"> England</v>
      </c>
      <c r="T112" s="1" t="str">
        <f t="shared" si="22"/>
        <v>Kochi</v>
      </c>
      <c r="U112" s="1" t="str">
        <f t="shared" si="24"/>
        <v>Yes</v>
      </c>
      <c r="V112" s="1"/>
      <c r="W112" s="1"/>
      <c r="X112" s="1"/>
      <c r="Y112" s="1"/>
      <c r="Z112" s="1"/>
    </row>
    <row r="113" spans="1:26" ht="14.25" customHeight="1">
      <c r="A113" s="1"/>
      <c r="B113" s="1">
        <v>96</v>
      </c>
      <c r="C113" s="1" t="s">
        <v>310</v>
      </c>
      <c r="D113" s="1" t="s">
        <v>311</v>
      </c>
      <c r="E113" s="1" t="s">
        <v>161</v>
      </c>
      <c r="F113" s="1" t="s">
        <v>151</v>
      </c>
      <c r="G113" s="1" t="s">
        <v>312</v>
      </c>
      <c r="H113" s="1" t="s">
        <v>32</v>
      </c>
      <c r="I113" s="1" t="s">
        <v>234</v>
      </c>
      <c r="J113" s="1" t="s">
        <v>97</v>
      </c>
      <c r="K113" s="1"/>
      <c r="L113" s="1" t="str">
        <f t="shared" si="15"/>
        <v>No</v>
      </c>
      <c r="M113" s="1">
        <f t="shared" si="23"/>
        <v>26</v>
      </c>
      <c r="N113" s="1">
        <f t="shared" si="16"/>
        <v>79</v>
      </c>
      <c r="O113" s="1">
        <f t="shared" si="17"/>
        <v>9</v>
      </c>
      <c r="P113" s="1">
        <f t="shared" si="18"/>
        <v>2</v>
      </c>
      <c r="Q113" s="1">
        <f t="shared" si="19"/>
        <v>97.46</v>
      </c>
      <c r="R113" s="1" t="str">
        <f t="shared" si="20"/>
        <v>not out</v>
      </c>
      <c r="S113" s="1" t="str">
        <f t="shared" si="21"/>
        <v xml:space="preserve"> England</v>
      </c>
      <c r="T113" s="1" t="str">
        <f t="shared" si="22"/>
        <v>Ranchi</v>
      </c>
      <c r="U113" s="1" t="str">
        <f t="shared" si="24"/>
        <v>No</v>
      </c>
      <c r="V113" s="1"/>
      <c r="W113" s="1"/>
      <c r="X113" s="1"/>
      <c r="Y113" s="1"/>
      <c r="Z113" s="1"/>
    </row>
    <row r="114" spans="1:26" ht="14.25" customHeight="1">
      <c r="A114" s="1"/>
      <c r="B114" s="1">
        <v>97</v>
      </c>
      <c r="C114" s="1" t="s">
        <v>313</v>
      </c>
      <c r="D114" s="1" t="s">
        <v>244</v>
      </c>
      <c r="E114" s="1" t="s">
        <v>148</v>
      </c>
      <c r="F114" s="1" t="s">
        <v>131</v>
      </c>
      <c r="G114" s="1" t="s">
        <v>314</v>
      </c>
      <c r="H114" s="1" t="s">
        <v>24</v>
      </c>
      <c r="I114" s="1" t="s">
        <v>234</v>
      </c>
      <c r="J114" s="1" t="s">
        <v>46</v>
      </c>
      <c r="K114" s="1"/>
      <c r="L114" s="1" t="str">
        <f t="shared" si="15"/>
        <v>No</v>
      </c>
      <c r="M114" s="1">
        <f t="shared" si="23"/>
        <v>0</v>
      </c>
      <c r="N114" s="1">
        <f t="shared" si="16"/>
        <v>33</v>
      </c>
      <c r="O114" s="1">
        <f t="shared" si="17"/>
        <v>3</v>
      </c>
      <c r="P114" s="1">
        <f t="shared" si="18"/>
        <v>0</v>
      </c>
      <c r="Q114" s="1">
        <f t="shared" si="19"/>
        <v>78.78</v>
      </c>
      <c r="R114" s="1" t="str">
        <f t="shared" si="20"/>
        <v>caught</v>
      </c>
      <c r="S114" s="1" t="str">
        <f t="shared" si="21"/>
        <v xml:space="preserve"> England</v>
      </c>
      <c r="T114" s="1" t="str">
        <f t="shared" si="22"/>
        <v>Mohali</v>
      </c>
      <c r="U114" s="1" t="str">
        <f t="shared" si="24"/>
        <v>Yes</v>
      </c>
      <c r="V114" s="1"/>
      <c r="W114" s="1"/>
      <c r="X114" s="1"/>
      <c r="Y114" s="1"/>
      <c r="Z114" s="1"/>
    </row>
    <row r="115" spans="1:26" ht="14.25" customHeight="1">
      <c r="A115" s="1"/>
      <c r="B115" s="1">
        <v>98</v>
      </c>
      <c r="C115" s="1" t="s">
        <v>131</v>
      </c>
      <c r="D115" s="1" t="s">
        <v>130</v>
      </c>
      <c r="E115" s="1" t="s">
        <v>131</v>
      </c>
      <c r="F115" s="1" t="s">
        <v>131</v>
      </c>
      <c r="G115" s="1" t="s">
        <v>210</v>
      </c>
      <c r="H115" s="1" t="s">
        <v>24</v>
      </c>
      <c r="I115" s="1" t="s">
        <v>234</v>
      </c>
      <c r="J115" s="1" t="s">
        <v>98</v>
      </c>
      <c r="K115" s="1"/>
      <c r="L115" s="1" t="str">
        <f t="shared" si="15"/>
        <v>No</v>
      </c>
      <c r="M115" s="1">
        <f t="shared" si="23"/>
        <v>31</v>
      </c>
      <c r="N115" s="1">
        <f t="shared" si="16"/>
        <v>1</v>
      </c>
      <c r="O115" s="1">
        <f t="shared" si="17"/>
        <v>0</v>
      </c>
      <c r="P115" s="1">
        <f t="shared" si="18"/>
        <v>0</v>
      </c>
      <c r="Q115" s="1">
        <f t="shared" si="19"/>
        <v>0</v>
      </c>
      <c r="R115" s="1" t="str">
        <f t="shared" si="20"/>
        <v>caught</v>
      </c>
      <c r="S115" s="1" t="str">
        <f t="shared" si="21"/>
        <v xml:space="preserve"> England</v>
      </c>
      <c r="T115" s="1" t="str">
        <f t="shared" si="22"/>
        <v>Dharamsala</v>
      </c>
      <c r="U115" s="1" t="str">
        <f t="shared" si="24"/>
        <v>Yes</v>
      </c>
      <c r="V115" s="1"/>
      <c r="W115" s="1"/>
      <c r="X115" s="1"/>
      <c r="Y115" s="1"/>
      <c r="Z115" s="1"/>
    </row>
    <row r="116" spans="1:26" ht="14.25" customHeight="1">
      <c r="A116" s="1"/>
      <c r="B116" s="1">
        <v>99</v>
      </c>
      <c r="C116" s="1" t="s">
        <v>146</v>
      </c>
      <c r="D116" s="1" t="s">
        <v>165</v>
      </c>
      <c r="E116" s="1" t="s">
        <v>151</v>
      </c>
      <c r="F116" s="1" t="s">
        <v>131</v>
      </c>
      <c r="G116" s="1" t="s">
        <v>315</v>
      </c>
      <c r="H116" s="1" t="s">
        <v>24</v>
      </c>
      <c r="I116" s="1" t="s">
        <v>191</v>
      </c>
      <c r="J116" s="1" t="s">
        <v>84</v>
      </c>
      <c r="K116" s="1"/>
      <c r="L116" s="1" t="str">
        <f t="shared" si="15"/>
        <v>No</v>
      </c>
      <c r="M116" s="1">
        <f t="shared" si="23"/>
        <v>22</v>
      </c>
      <c r="N116" s="1">
        <f t="shared" si="16"/>
        <v>41</v>
      </c>
      <c r="O116" s="1">
        <f t="shared" si="17"/>
        <v>2</v>
      </c>
      <c r="P116" s="1">
        <f t="shared" si="18"/>
        <v>0</v>
      </c>
      <c r="Q116" s="1">
        <f t="shared" si="19"/>
        <v>75.599999999999994</v>
      </c>
      <c r="R116" s="1" t="str">
        <f t="shared" si="20"/>
        <v>caught</v>
      </c>
      <c r="S116" s="1" t="str">
        <f t="shared" si="21"/>
        <v xml:space="preserve"> South Africa</v>
      </c>
      <c r="T116" s="1" t="str">
        <f t="shared" si="22"/>
        <v>Cardiff</v>
      </c>
      <c r="U116" s="1" t="str">
        <f t="shared" si="24"/>
        <v>Yes</v>
      </c>
      <c r="V116" s="1"/>
      <c r="W116" s="1"/>
      <c r="X116" s="1"/>
      <c r="Y116" s="1"/>
      <c r="Z116" s="1"/>
    </row>
    <row r="117" spans="1:26" ht="14.25" customHeight="1">
      <c r="A117" s="1"/>
      <c r="B117" s="1">
        <v>100</v>
      </c>
      <c r="C117" s="1" t="s">
        <v>129</v>
      </c>
      <c r="D117" s="1" t="s">
        <v>199</v>
      </c>
      <c r="E117" s="1" t="s">
        <v>140</v>
      </c>
      <c r="F117" s="1" t="s">
        <v>131</v>
      </c>
      <c r="G117" s="1" t="s">
        <v>316</v>
      </c>
      <c r="H117" s="1" t="s">
        <v>29</v>
      </c>
      <c r="I117" s="1" t="s">
        <v>163</v>
      </c>
      <c r="J117" s="1" t="s">
        <v>81</v>
      </c>
      <c r="K117" s="1"/>
      <c r="L117" s="1" t="str">
        <f t="shared" si="15"/>
        <v>No</v>
      </c>
      <c r="M117" s="1">
        <f t="shared" si="23"/>
        <v>22</v>
      </c>
      <c r="N117" s="1">
        <f t="shared" si="16"/>
        <v>18</v>
      </c>
      <c r="O117" s="1">
        <f t="shared" si="17"/>
        <v>4</v>
      </c>
      <c r="P117" s="1">
        <f t="shared" si="18"/>
        <v>0</v>
      </c>
      <c r="Q117" s="1">
        <f t="shared" si="19"/>
        <v>122.22</v>
      </c>
      <c r="R117" s="1" t="str">
        <f t="shared" si="20"/>
        <v>bowled</v>
      </c>
      <c r="S117" s="1" t="str">
        <f t="shared" si="21"/>
        <v xml:space="preserve"> West Indies</v>
      </c>
      <c r="T117" s="1" t="str">
        <f t="shared" si="22"/>
        <v>The Oval</v>
      </c>
      <c r="U117" s="1" t="str">
        <f t="shared" si="24"/>
        <v>Yes</v>
      </c>
      <c r="V117" s="1"/>
      <c r="W117" s="1"/>
      <c r="X117" s="1"/>
      <c r="Y117" s="1"/>
      <c r="Z117" s="1"/>
    </row>
    <row r="118" spans="1:26" ht="14.25" customHeight="1">
      <c r="A118" s="1"/>
      <c r="B118" s="1">
        <v>101</v>
      </c>
      <c r="C118" s="1" t="s">
        <v>317</v>
      </c>
      <c r="D118" s="1" t="s">
        <v>169</v>
      </c>
      <c r="E118" s="1" t="s">
        <v>148</v>
      </c>
      <c r="F118" s="1" t="s">
        <v>131</v>
      </c>
      <c r="G118" s="1" t="s">
        <v>318</v>
      </c>
      <c r="H118" s="1" t="s">
        <v>32</v>
      </c>
      <c r="I118" s="1" t="s">
        <v>156</v>
      </c>
      <c r="J118" s="1" t="s">
        <v>99</v>
      </c>
      <c r="K118" s="1"/>
      <c r="L118" s="1" t="str">
        <f t="shared" si="15"/>
        <v>No</v>
      </c>
      <c r="M118" s="1">
        <f t="shared" si="23"/>
        <v>58</v>
      </c>
      <c r="N118" s="1">
        <f t="shared" si="16"/>
        <v>27</v>
      </c>
      <c r="O118" s="1">
        <f t="shared" si="17"/>
        <v>3</v>
      </c>
      <c r="P118" s="1">
        <f t="shared" si="18"/>
        <v>0</v>
      </c>
      <c r="Q118" s="1">
        <f t="shared" si="19"/>
        <v>81.48</v>
      </c>
      <c r="R118" s="1" t="str">
        <f t="shared" si="20"/>
        <v>not out</v>
      </c>
      <c r="S118" s="1" t="str">
        <f t="shared" si="21"/>
        <v xml:space="preserve"> Pakistan</v>
      </c>
      <c r="T118" s="1" t="str">
        <f t="shared" si="22"/>
        <v>Birmingham</v>
      </c>
      <c r="U118" s="1" t="str">
        <f t="shared" si="24"/>
        <v>No</v>
      </c>
      <c r="V118" s="1"/>
      <c r="W118" s="1"/>
      <c r="X118" s="1"/>
      <c r="Y118" s="1"/>
      <c r="Z118" s="1"/>
    </row>
    <row r="119" spans="1:26" ht="14.25" customHeight="1">
      <c r="A119" s="1"/>
      <c r="B119" s="1">
        <v>102</v>
      </c>
      <c r="C119" s="1" t="s">
        <v>319</v>
      </c>
      <c r="D119" s="1" t="s">
        <v>218</v>
      </c>
      <c r="E119" s="1" t="s">
        <v>140</v>
      </c>
      <c r="F119" s="1" t="s">
        <v>130</v>
      </c>
      <c r="G119" s="1" t="s">
        <v>320</v>
      </c>
      <c r="H119" s="1" t="s">
        <v>32</v>
      </c>
      <c r="I119" s="1" t="s">
        <v>133</v>
      </c>
      <c r="J119" s="1" t="s">
        <v>84</v>
      </c>
      <c r="K119" s="1"/>
      <c r="L119" s="1" t="str">
        <f t="shared" si="15"/>
        <v>No</v>
      </c>
      <c r="M119" s="1">
        <f t="shared" si="23"/>
        <v>43</v>
      </c>
      <c r="N119" s="1">
        <f t="shared" si="16"/>
        <v>64</v>
      </c>
      <c r="O119" s="1">
        <f t="shared" si="17"/>
        <v>4</v>
      </c>
      <c r="P119" s="1">
        <f t="shared" si="18"/>
        <v>1</v>
      </c>
      <c r="Q119" s="1">
        <f t="shared" si="19"/>
        <v>90.62</v>
      </c>
      <c r="R119" s="1" t="str">
        <f t="shared" si="20"/>
        <v>not out</v>
      </c>
      <c r="S119" s="1" t="str">
        <f t="shared" si="21"/>
        <v xml:space="preserve"> Sri Lanka</v>
      </c>
      <c r="T119" s="1" t="str">
        <f t="shared" si="22"/>
        <v>Cardiff</v>
      </c>
      <c r="U119" s="1" t="str">
        <f t="shared" si="24"/>
        <v>No</v>
      </c>
      <c r="V119" s="1"/>
      <c r="W119" s="1"/>
      <c r="X119" s="1"/>
      <c r="Y119" s="1"/>
      <c r="Z119" s="1"/>
    </row>
    <row r="120" spans="1:26" ht="14.25" customHeight="1">
      <c r="A120" s="1"/>
      <c r="B120" s="1">
        <v>103</v>
      </c>
      <c r="C120" s="1" t="s">
        <v>321</v>
      </c>
      <c r="D120" s="1" t="s">
        <v>208</v>
      </c>
      <c r="E120" s="1" t="s">
        <v>140</v>
      </c>
      <c r="F120" s="1" t="s">
        <v>130</v>
      </c>
      <c r="G120" s="1" t="s">
        <v>322</v>
      </c>
      <c r="H120" s="1" t="s">
        <v>24</v>
      </c>
      <c r="I120" s="1" t="s">
        <v>234</v>
      </c>
      <c r="J120" s="1" t="s">
        <v>99</v>
      </c>
      <c r="K120" s="1"/>
      <c r="L120" s="1" t="str">
        <f t="shared" si="15"/>
        <v>No</v>
      </c>
      <c r="M120" s="1">
        <f t="shared" si="23"/>
        <v>11</v>
      </c>
      <c r="N120" s="1">
        <f t="shared" si="16"/>
        <v>34</v>
      </c>
      <c r="O120" s="1">
        <f t="shared" si="17"/>
        <v>4</v>
      </c>
      <c r="P120" s="1">
        <f t="shared" si="18"/>
        <v>1</v>
      </c>
      <c r="Q120" s="1">
        <f t="shared" si="19"/>
        <v>126.47</v>
      </c>
      <c r="R120" s="1" t="str">
        <f t="shared" si="20"/>
        <v>caught</v>
      </c>
      <c r="S120" s="1" t="str">
        <f t="shared" si="21"/>
        <v xml:space="preserve"> England</v>
      </c>
      <c r="T120" s="1" t="str">
        <f t="shared" si="22"/>
        <v>Birmingham</v>
      </c>
      <c r="U120" s="1" t="str">
        <f t="shared" si="24"/>
        <v>Yes</v>
      </c>
      <c r="V120" s="1"/>
      <c r="W120" s="1"/>
      <c r="X120" s="1"/>
      <c r="Y120" s="1"/>
      <c r="Z120" s="1"/>
    </row>
    <row r="121" spans="1:26" ht="14.25" customHeight="1">
      <c r="A121" s="1"/>
      <c r="B121" s="1">
        <v>104</v>
      </c>
      <c r="C121" s="1" t="s">
        <v>176</v>
      </c>
      <c r="D121" s="1" t="s">
        <v>246</v>
      </c>
      <c r="E121" s="1" t="s">
        <v>131</v>
      </c>
      <c r="F121" s="1" t="s">
        <v>130</v>
      </c>
      <c r="G121" s="1" t="s">
        <v>323</v>
      </c>
      <c r="H121" s="1" t="s">
        <v>24</v>
      </c>
      <c r="I121" s="1" t="s">
        <v>163</v>
      </c>
      <c r="J121" s="1" t="s">
        <v>78</v>
      </c>
      <c r="K121" s="1"/>
      <c r="L121" s="1" t="str">
        <f t="shared" si="15"/>
        <v>No</v>
      </c>
      <c r="M121" s="1">
        <f t="shared" si="23"/>
        <v>2</v>
      </c>
      <c r="N121" s="1">
        <f t="shared" si="16"/>
        <v>21</v>
      </c>
      <c r="O121" s="1">
        <f t="shared" si="17"/>
        <v>0</v>
      </c>
      <c r="P121" s="1">
        <f t="shared" si="18"/>
        <v>1</v>
      </c>
      <c r="Q121" s="1">
        <f t="shared" si="19"/>
        <v>52.38</v>
      </c>
      <c r="R121" s="1" t="str">
        <f t="shared" si="20"/>
        <v>caught</v>
      </c>
      <c r="S121" s="1" t="str">
        <f t="shared" si="21"/>
        <v xml:space="preserve"> West Indies</v>
      </c>
      <c r="T121" s="1" t="str">
        <f t="shared" si="22"/>
        <v>Kingston</v>
      </c>
      <c r="U121" s="1" t="str">
        <f t="shared" si="24"/>
        <v>Yes</v>
      </c>
      <c r="V121" s="1"/>
      <c r="W121" s="1"/>
      <c r="X121" s="1"/>
      <c r="Y121" s="1"/>
      <c r="Z121" s="1"/>
    </row>
    <row r="122" spans="1:26" ht="14.25" customHeight="1">
      <c r="A122" s="1"/>
      <c r="B122" s="1">
        <v>105</v>
      </c>
      <c r="C122" s="1" t="s">
        <v>151</v>
      </c>
      <c r="D122" s="1" t="s">
        <v>202</v>
      </c>
      <c r="E122" s="1" t="s">
        <v>131</v>
      </c>
      <c r="F122" s="1" t="s">
        <v>131</v>
      </c>
      <c r="G122" s="1" t="s">
        <v>324</v>
      </c>
      <c r="H122" s="1" t="s">
        <v>24</v>
      </c>
      <c r="I122" s="1" t="s">
        <v>133</v>
      </c>
      <c r="J122" s="1" t="s">
        <v>78</v>
      </c>
      <c r="K122" s="1"/>
      <c r="L122" s="1" t="str">
        <f t="shared" si="15"/>
        <v>No</v>
      </c>
      <c r="M122" s="1">
        <f t="shared" si="23"/>
        <v>102</v>
      </c>
      <c r="N122" s="1">
        <f t="shared" si="16"/>
        <v>5</v>
      </c>
      <c r="O122" s="1">
        <f t="shared" si="17"/>
        <v>0</v>
      </c>
      <c r="P122" s="1">
        <f t="shared" si="18"/>
        <v>0</v>
      </c>
      <c r="Q122" s="1">
        <f t="shared" si="19"/>
        <v>40</v>
      </c>
      <c r="R122" s="1" t="str">
        <f t="shared" si="20"/>
        <v>caught</v>
      </c>
      <c r="S122" s="1" t="str">
        <f t="shared" si="21"/>
        <v xml:space="preserve"> Sri Lanka</v>
      </c>
      <c r="T122" s="1" t="str">
        <f t="shared" si="22"/>
        <v>Kingston</v>
      </c>
      <c r="U122" s="1" t="str">
        <f t="shared" si="24"/>
        <v>Yes</v>
      </c>
      <c r="V122" s="1"/>
      <c r="W122" s="1"/>
      <c r="X122" s="1"/>
      <c r="Y122" s="1"/>
      <c r="Z122" s="1"/>
    </row>
    <row r="123" spans="1:26" ht="14.25" customHeight="1">
      <c r="A123" s="1"/>
      <c r="B123" s="1">
        <v>106</v>
      </c>
      <c r="C123" s="1" t="s">
        <v>180</v>
      </c>
      <c r="D123" s="1" t="s">
        <v>231</v>
      </c>
      <c r="E123" s="1" t="s">
        <v>325</v>
      </c>
      <c r="F123" s="1" t="s">
        <v>151</v>
      </c>
      <c r="G123" s="1" t="s">
        <v>326</v>
      </c>
      <c r="H123" s="1" t="s">
        <v>24</v>
      </c>
      <c r="I123" s="1" t="s">
        <v>163</v>
      </c>
      <c r="J123" s="1" t="s">
        <v>76</v>
      </c>
      <c r="K123" s="1"/>
      <c r="L123" s="1" t="str">
        <f t="shared" si="15"/>
        <v>No</v>
      </c>
      <c r="M123" s="1">
        <f t="shared" si="23"/>
        <v>31</v>
      </c>
      <c r="N123" s="1">
        <f t="shared" si="16"/>
        <v>83</v>
      </c>
      <c r="O123" s="1">
        <f t="shared" si="17"/>
        <v>13</v>
      </c>
      <c r="P123" s="1">
        <f t="shared" si="18"/>
        <v>2</v>
      </c>
      <c r="Q123" s="1">
        <f t="shared" si="19"/>
        <v>122.89</v>
      </c>
      <c r="R123" s="1" t="str">
        <f t="shared" si="20"/>
        <v>caught</v>
      </c>
      <c r="S123" s="1" t="str">
        <f t="shared" si="21"/>
        <v xml:space="preserve"> West Indies</v>
      </c>
      <c r="T123" s="1" t="str">
        <f t="shared" si="22"/>
        <v>Port of Spain</v>
      </c>
      <c r="U123" s="1" t="str">
        <f t="shared" si="24"/>
        <v>Yes</v>
      </c>
      <c r="V123" s="1"/>
      <c r="W123" s="1"/>
      <c r="X123" s="1"/>
      <c r="Y123" s="1"/>
      <c r="Z123" s="1"/>
    </row>
    <row r="124" spans="1:26" ht="14.25" customHeight="1">
      <c r="A124" s="1"/>
      <c r="B124" s="1">
        <v>107</v>
      </c>
      <c r="C124" s="1" t="s">
        <v>146</v>
      </c>
      <c r="D124" s="1" t="s">
        <v>327</v>
      </c>
      <c r="E124" s="1" t="s">
        <v>140</v>
      </c>
      <c r="F124" s="1" t="s">
        <v>131</v>
      </c>
      <c r="G124" s="1" t="s">
        <v>328</v>
      </c>
      <c r="H124" s="1" t="s">
        <v>19</v>
      </c>
      <c r="I124" s="1" t="s">
        <v>133</v>
      </c>
      <c r="J124" s="1" t="s">
        <v>76</v>
      </c>
      <c r="K124" s="1"/>
      <c r="L124" s="1" t="str">
        <f t="shared" si="15"/>
        <v>No</v>
      </c>
      <c r="M124" s="1">
        <f t="shared" si="23"/>
        <v>2</v>
      </c>
      <c r="N124" s="1">
        <f t="shared" si="16"/>
        <v>52</v>
      </c>
      <c r="O124" s="1">
        <f t="shared" si="17"/>
        <v>4</v>
      </c>
      <c r="P124" s="1">
        <f t="shared" si="18"/>
        <v>0</v>
      </c>
      <c r="Q124" s="1">
        <f t="shared" si="19"/>
        <v>59.61</v>
      </c>
      <c r="R124" s="1" t="str">
        <f t="shared" si="20"/>
        <v>lbw</v>
      </c>
      <c r="S124" s="1" t="str">
        <f t="shared" si="21"/>
        <v xml:space="preserve"> Sri Lanka</v>
      </c>
      <c r="T124" s="1" t="str">
        <f t="shared" si="22"/>
        <v>Port of Spain</v>
      </c>
      <c r="U124" s="1" t="str">
        <f t="shared" si="24"/>
        <v>Yes</v>
      </c>
      <c r="V124" s="1"/>
      <c r="W124" s="1"/>
      <c r="X124" s="1"/>
      <c r="Y124" s="1"/>
      <c r="Z124" s="1"/>
    </row>
    <row r="125" spans="1:26" ht="14.25" customHeight="1">
      <c r="A125" s="1"/>
      <c r="B125" s="1">
        <v>108</v>
      </c>
      <c r="C125" s="1" t="s">
        <v>151</v>
      </c>
      <c r="D125" s="1" t="s">
        <v>202</v>
      </c>
      <c r="E125" s="1" t="s">
        <v>131</v>
      </c>
      <c r="F125" s="1" t="s">
        <v>131</v>
      </c>
      <c r="G125" s="1" t="s">
        <v>324</v>
      </c>
      <c r="H125" s="1" t="s">
        <v>24</v>
      </c>
      <c r="I125" s="1" t="s">
        <v>133</v>
      </c>
      <c r="J125" s="1" t="s">
        <v>76</v>
      </c>
      <c r="K125" s="1"/>
      <c r="L125" s="1" t="str">
        <f t="shared" si="15"/>
        <v>No</v>
      </c>
      <c r="M125" s="1">
        <f t="shared" si="23"/>
        <v>115</v>
      </c>
      <c r="N125" s="1">
        <f t="shared" si="16"/>
        <v>5</v>
      </c>
      <c r="O125" s="1">
        <f t="shared" si="17"/>
        <v>0</v>
      </c>
      <c r="P125" s="1">
        <f t="shared" si="18"/>
        <v>0</v>
      </c>
      <c r="Q125" s="1">
        <f t="shared" si="19"/>
        <v>40</v>
      </c>
      <c r="R125" s="1" t="str">
        <f t="shared" si="20"/>
        <v>caught</v>
      </c>
      <c r="S125" s="1" t="str">
        <f t="shared" si="21"/>
        <v xml:space="preserve"> Sri Lanka</v>
      </c>
      <c r="T125" s="1" t="str">
        <f t="shared" si="22"/>
        <v>Port of Spain</v>
      </c>
      <c r="U125" s="1" t="str">
        <f t="shared" si="24"/>
        <v>Yes</v>
      </c>
      <c r="V125" s="1"/>
      <c r="W125" s="1"/>
      <c r="X125" s="1"/>
      <c r="Y125" s="1"/>
      <c r="Z125" s="1"/>
    </row>
    <row r="126" spans="1:26" ht="14.25" customHeight="1">
      <c r="A126" s="1"/>
      <c r="B126" s="1">
        <v>109</v>
      </c>
      <c r="C126" s="1" t="s">
        <v>329</v>
      </c>
      <c r="D126" s="1" t="s">
        <v>290</v>
      </c>
      <c r="E126" s="1" t="s">
        <v>325</v>
      </c>
      <c r="F126" s="1" t="s">
        <v>130</v>
      </c>
      <c r="G126" s="1" t="s">
        <v>330</v>
      </c>
      <c r="H126" s="1" t="s">
        <v>24</v>
      </c>
      <c r="I126" s="1" t="s">
        <v>195</v>
      </c>
      <c r="J126" s="1" t="s">
        <v>62</v>
      </c>
      <c r="K126" s="1"/>
      <c r="L126" s="1" t="str">
        <f t="shared" si="15"/>
        <v>No</v>
      </c>
      <c r="M126" s="1">
        <f t="shared" si="23"/>
        <v>14</v>
      </c>
      <c r="N126" s="1">
        <f t="shared" si="16"/>
        <v>108</v>
      </c>
      <c r="O126" s="1">
        <f t="shared" si="17"/>
        <v>13</v>
      </c>
      <c r="P126" s="1">
        <f t="shared" si="18"/>
        <v>1</v>
      </c>
      <c r="Q126" s="1">
        <f t="shared" si="19"/>
        <v>106.48</v>
      </c>
      <c r="R126" s="1" t="str">
        <f t="shared" si="20"/>
        <v>caught</v>
      </c>
      <c r="S126" s="1" t="str">
        <f t="shared" si="21"/>
        <v xml:space="preserve"> Zimbabwe</v>
      </c>
      <c r="T126" s="1" t="str">
        <f t="shared" si="22"/>
        <v>Harare</v>
      </c>
      <c r="U126" s="1" t="str">
        <f t="shared" si="24"/>
        <v>Yes</v>
      </c>
      <c r="V126" s="1"/>
      <c r="W126" s="1"/>
      <c r="X126" s="1"/>
      <c r="Y126" s="1"/>
      <c r="Z126" s="1"/>
    </row>
    <row r="127" spans="1:26" ht="14.25" customHeight="1">
      <c r="A127" s="1"/>
      <c r="B127" s="1">
        <v>110</v>
      </c>
      <c r="C127" s="1" t="s">
        <v>205</v>
      </c>
      <c r="D127" s="1" t="s">
        <v>199</v>
      </c>
      <c r="E127" s="1" t="s">
        <v>151</v>
      </c>
      <c r="F127" s="1" t="s">
        <v>131</v>
      </c>
      <c r="G127" s="1" t="s">
        <v>286</v>
      </c>
      <c r="H127" s="1" t="s">
        <v>24</v>
      </c>
      <c r="I127" s="1" t="s">
        <v>195</v>
      </c>
      <c r="J127" s="1" t="s">
        <v>62</v>
      </c>
      <c r="K127" s="1"/>
      <c r="L127" s="1" t="str">
        <f t="shared" si="15"/>
        <v>No</v>
      </c>
      <c r="M127" s="1">
        <f t="shared" si="23"/>
        <v>68</v>
      </c>
      <c r="N127" s="1">
        <f t="shared" si="16"/>
        <v>18</v>
      </c>
      <c r="O127" s="1">
        <f t="shared" si="17"/>
        <v>2</v>
      </c>
      <c r="P127" s="1">
        <f t="shared" si="18"/>
        <v>0</v>
      </c>
      <c r="Q127" s="1">
        <f t="shared" si="19"/>
        <v>77.77</v>
      </c>
      <c r="R127" s="1" t="str">
        <f t="shared" si="20"/>
        <v>caught</v>
      </c>
      <c r="S127" s="1" t="str">
        <f t="shared" si="21"/>
        <v xml:space="preserve"> Zimbabwe</v>
      </c>
      <c r="T127" s="1" t="str">
        <f t="shared" si="22"/>
        <v>Harare</v>
      </c>
      <c r="U127" s="1" t="str">
        <f t="shared" si="24"/>
        <v>Yes</v>
      </c>
      <c r="V127" s="1"/>
      <c r="W127" s="1"/>
      <c r="X127" s="1"/>
      <c r="Y127" s="1"/>
      <c r="Z127" s="1"/>
    </row>
    <row r="128" spans="1:26" ht="14.25" customHeight="1">
      <c r="A128" s="1"/>
      <c r="B128" s="1">
        <v>111</v>
      </c>
      <c r="C128" s="1" t="s">
        <v>331</v>
      </c>
      <c r="D128" s="1" t="s">
        <v>332</v>
      </c>
      <c r="E128" s="1" t="s">
        <v>202</v>
      </c>
      <c r="F128" s="1" t="s">
        <v>130</v>
      </c>
      <c r="G128" s="1" t="s">
        <v>333</v>
      </c>
      <c r="H128" s="1" t="s">
        <v>32</v>
      </c>
      <c r="I128" s="1" t="s">
        <v>195</v>
      </c>
      <c r="J128" s="1" t="s">
        <v>62</v>
      </c>
      <c r="K128" s="1"/>
      <c r="L128" s="1" t="str">
        <f t="shared" si="15"/>
        <v>No</v>
      </c>
      <c r="M128" s="1" t="str">
        <f t="shared" si="23"/>
        <v>NA</v>
      </c>
      <c r="N128" s="1">
        <f t="shared" si="16"/>
        <v>88</v>
      </c>
      <c r="O128" s="1">
        <f t="shared" si="17"/>
        <v>5</v>
      </c>
      <c r="P128" s="1">
        <f t="shared" si="18"/>
        <v>1</v>
      </c>
      <c r="Q128" s="1">
        <f t="shared" si="19"/>
        <v>77.27</v>
      </c>
      <c r="R128" s="1" t="str">
        <f t="shared" si="20"/>
        <v>not out</v>
      </c>
      <c r="S128" s="1" t="str">
        <f t="shared" si="21"/>
        <v xml:space="preserve"> Zimbabwe</v>
      </c>
      <c r="T128" s="1" t="str">
        <f t="shared" si="22"/>
        <v>Harare</v>
      </c>
      <c r="U128" s="1" t="str">
        <f t="shared" si="24"/>
        <v>No</v>
      </c>
      <c r="V128" s="1"/>
      <c r="W128" s="1"/>
      <c r="X128" s="1"/>
      <c r="Y128" s="1"/>
      <c r="Z128" s="1"/>
    </row>
    <row r="129" spans="1:26" ht="14.25" customHeight="1">
      <c r="A129" s="1"/>
      <c r="B129" s="1">
        <v>112</v>
      </c>
      <c r="C129" s="1" t="s">
        <v>57</v>
      </c>
      <c r="D129" s="1" t="s">
        <v>157</v>
      </c>
      <c r="E129" s="1" t="s">
        <v>157</v>
      </c>
      <c r="F129" s="1" t="s">
        <v>157</v>
      </c>
      <c r="G129" s="1" t="s">
        <v>157</v>
      </c>
      <c r="H129" s="1" t="s">
        <v>157</v>
      </c>
      <c r="I129" s="1" t="s">
        <v>195</v>
      </c>
      <c r="J129" s="1" t="s">
        <v>61</v>
      </c>
      <c r="K129" s="1"/>
      <c r="L129" s="1" t="str">
        <f t="shared" si="15"/>
        <v>Yes</v>
      </c>
      <c r="M129" s="1" t="str">
        <f t="shared" si="23"/>
        <v>NA</v>
      </c>
      <c r="N129" s="1" t="str">
        <f t="shared" si="16"/>
        <v>NA</v>
      </c>
      <c r="O129" s="1" t="str">
        <f t="shared" si="17"/>
        <v>NA</v>
      </c>
      <c r="P129" s="1" t="str">
        <f t="shared" si="18"/>
        <v>NA</v>
      </c>
      <c r="Q129" s="1" t="str">
        <f t="shared" si="19"/>
        <v>NA</v>
      </c>
      <c r="R129" s="1" t="str">
        <f t="shared" si="20"/>
        <v>NA</v>
      </c>
      <c r="S129" s="1" t="str">
        <f t="shared" si="21"/>
        <v xml:space="preserve"> Zimbabwe</v>
      </c>
      <c r="T129" s="1" t="str">
        <f t="shared" si="22"/>
        <v>Bulawayo</v>
      </c>
      <c r="U129" s="1" t="str">
        <f t="shared" si="24"/>
        <v>No</v>
      </c>
      <c r="V129" s="1"/>
      <c r="W129" s="1"/>
      <c r="X129" s="1"/>
      <c r="Y129" s="1"/>
      <c r="Z129" s="1"/>
    </row>
    <row r="130" spans="1:26" ht="14.25" customHeight="1">
      <c r="A130" s="1"/>
      <c r="B130" s="1">
        <v>113</v>
      </c>
      <c r="C130" s="1" t="s">
        <v>57</v>
      </c>
      <c r="D130" s="1" t="s">
        <v>157</v>
      </c>
      <c r="E130" s="1" t="s">
        <v>157</v>
      </c>
      <c r="F130" s="1" t="s">
        <v>157</v>
      </c>
      <c r="G130" s="1" t="s">
        <v>157</v>
      </c>
      <c r="H130" s="1" t="s">
        <v>157</v>
      </c>
      <c r="I130" s="1" t="s">
        <v>195</v>
      </c>
      <c r="J130" s="1" t="s">
        <v>61</v>
      </c>
      <c r="K130" s="1"/>
      <c r="L130" s="1" t="str">
        <f t="shared" si="15"/>
        <v>Yes</v>
      </c>
      <c r="M130" s="1">
        <f t="shared" si="23"/>
        <v>61</v>
      </c>
      <c r="N130" s="1" t="str">
        <f t="shared" si="16"/>
        <v>NA</v>
      </c>
      <c r="O130" s="1" t="str">
        <f t="shared" si="17"/>
        <v>NA</v>
      </c>
      <c r="P130" s="1" t="str">
        <f t="shared" si="18"/>
        <v>NA</v>
      </c>
      <c r="Q130" s="1" t="str">
        <f t="shared" si="19"/>
        <v>NA</v>
      </c>
      <c r="R130" s="1" t="str">
        <f t="shared" si="20"/>
        <v>NA</v>
      </c>
      <c r="S130" s="1" t="str">
        <f t="shared" si="21"/>
        <v xml:space="preserve"> Zimbabwe</v>
      </c>
      <c r="T130" s="1" t="str">
        <f t="shared" si="22"/>
        <v>Bulawayo</v>
      </c>
      <c r="U130" s="1" t="str">
        <f t="shared" si="24"/>
        <v>No</v>
      </c>
      <c r="V130" s="1"/>
      <c r="W130" s="1"/>
      <c r="X130" s="1"/>
      <c r="Y130" s="1"/>
      <c r="Z130" s="1"/>
    </row>
    <row r="131" spans="1:26" ht="14.25" customHeight="1">
      <c r="A131" s="1"/>
      <c r="B131" s="1">
        <v>114</v>
      </c>
      <c r="C131" s="1" t="s">
        <v>334</v>
      </c>
      <c r="D131" s="1" t="s">
        <v>277</v>
      </c>
      <c r="E131" s="1" t="s">
        <v>136</v>
      </c>
      <c r="F131" s="1" t="s">
        <v>131</v>
      </c>
      <c r="G131" s="1" t="s">
        <v>335</v>
      </c>
      <c r="H131" s="1" t="s">
        <v>19</v>
      </c>
      <c r="I131" s="1" t="s">
        <v>158</v>
      </c>
      <c r="J131" s="1" t="s">
        <v>100</v>
      </c>
      <c r="K131" s="1"/>
      <c r="L131" s="1" t="str">
        <f t="shared" si="15"/>
        <v>No</v>
      </c>
      <c r="M131" s="1">
        <f t="shared" si="23"/>
        <v>100</v>
      </c>
      <c r="N131" s="1">
        <f t="shared" si="16"/>
        <v>85</v>
      </c>
      <c r="O131" s="1">
        <f t="shared" si="17"/>
        <v>6</v>
      </c>
      <c r="P131" s="1">
        <f t="shared" si="18"/>
        <v>0</v>
      </c>
      <c r="Q131" s="1">
        <f t="shared" si="19"/>
        <v>71.760000000000005</v>
      </c>
      <c r="R131" s="1" t="str">
        <f t="shared" si="20"/>
        <v>lbw</v>
      </c>
      <c r="S131" s="1" t="str">
        <f t="shared" si="21"/>
        <v xml:space="preserve"> Australia</v>
      </c>
      <c r="T131" s="1" t="str">
        <f t="shared" si="22"/>
        <v>Pune</v>
      </c>
      <c r="U131" s="1" t="str">
        <f t="shared" si="24"/>
        <v>Yes</v>
      </c>
      <c r="V131" s="1"/>
      <c r="W131" s="1"/>
      <c r="X131" s="1"/>
      <c r="Y131" s="1"/>
      <c r="Z131" s="1"/>
    </row>
    <row r="132" spans="1:26" ht="14.25" customHeight="1">
      <c r="A132" s="1"/>
      <c r="B132" s="1">
        <v>115</v>
      </c>
      <c r="C132" s="1" t="s">
        <v>230</v>
      </c>
      <c r="D132" s="1" t="s">
        <v>327</v>
      </c>
      <c r="E132" s="1" t="s">
        <v>189</v>
      </c>
      <c r="F132" s="1" t="s">
        <v>144</v>
      </c>
      <c r="G132" s="1" t="s">
        <v>336</v>
      </c>
      <c r="H132" s="1" t="s">
        <v>32</v>
      </c>
      <c r="I132" s="1" t="s">
        <v>158</v>
      </c>
      <c r="J132" s="1" t="s">
        <v>56</v>
      </c>
      <c r="K132" s="1"/>
      <c r="L132" s="1" t="str">
        <f t="shared" si="15"/>
        <v>No</v>
      </c>
      <c r="M132" s="1">
        <f t="shared" si="23"/>
        <v>68</v>
      </c>
      <c r="N132" s="1">
        <f t="shared" si="16"/>
        <v>52</v>
      </c>
      <c r="O132" s="1">
        <f t="shared" si="17"/>
        <v>8</v>
      </c>
      <c r="P132" s="1">
        <f t="shared" si="18"/>
        <v>7</v>
      </c>
      <c r="Q132" s="1">
        <f t="shared" si="19"/>
        <v>192.3</v>
      </c>
      <c r="R132" s="1" t="str">
        <f t="shared" si="20"/>
        <v>not out</v>
      </c>
      <c r="S132" s="1" t="str">
        <f t="shared" si="21"/>
        <v xml:space="preserve"> Australia</v>
      </c>
      <c r="T132" s="1" t="str">
        <f t="shared" si="22"/>
        <v>Jaipur</v>
      </c>
      <c r="U132" s="1" t="str">
        <f t="shared" si="24"/>
        <v>No</v>
      </c>
      <c r="V132" s="1"/>
      <c r="W132" s="1"/>
      <c r="X132" s="1"/>
      <c r="Y132" s="1"/>
      <c r="Z132" s="1"/>
    </row>
    <row r="133" spans="1:26" ht="14.25" customHeight="1">
      <c r="A133" s="1"/>
      <c r="B133" s="1">
        <v>116</v>
      </c>
      <c r="C133" s="1" t="s">
        <v>184</v>
      </c>
      <c r="D133" s="1" t="s">
        <v>219</v>
      </c>
      <c r="E133" s="1" t="s">
        <v>161</v>
      </c>
      <c r="F133" s="1" t="s">
        <v>131</v>
      </c>
      <c r="G133" s="1" t="s">
        <v>337</v>
      </c>
      <c r="H133" s="1" t="s">
        <v>24</v>
      </c>
      <c r="I133" s="1" t="s">
        <v>158</v>
      </c>
      <c r="J133" s="1" t="s">
        <v>46</v>
      </c>
      <c r="K133" s="1"/>
      <c r="L133" s="1" t="str">
        <f t="shared" si="15"/>
        <v>No</v>
      </c>
      <c r="M133" s="1" t="str">
        <f t="shared" si="23"/>
        <v>NA</v>
      </c>
      <c r="N133" s="1">
        <f t="shared" si="16"/>
        <v>73</v>
      </c>
      <c r="O133" s="1">
        <f t="shared" si="17"/>
        <v>9</v>
      </c>
      <c r="P133" s="1">
        <f t="shared" si="18"/>
        <v>0</v>
      </c>
      <c r="Q133" s="1">
        <f t="shared" si="19"/>
        <v>93.15</v>
      </c>
      <c r="R133" s="1" t="str">
        <f t="shared" si="20"/>
        <v>caught</v>
      </c>
      <c r="S133" s="1" t="str">
        <f t="shared" si="21"/>
        <v xml:space="preserve"> Australia</v>
      </c>
      <c r="T133" s="1" t="str">
        <f t="shared" si="22"/>
        <v>Mohali</v>
      </c>
      <c r="U133" s="1" t="str">
        <f t="shared" si="24"/>
        <v>Yes</v>
      </c>
      <c r="V133" s="1"/>
      <c r="W133" s="1"/>
      <c r="X133" s="1"/>
      <c r="Y133" s="1"/>
      <c r="Z133" s="1"/>
    </row>
    <row r="134" spans="1:26" ht="14.25" customHeight="1">
      <c r="A134" s="1"/>
      <c r="B134" s="1">
        <v>117</v>
      </c>
      <c r="C134" s="1" t="s">
        <v>57</v>
      </c>
      <c r="D134" s="1" t="s">
        <v>157</v>
      </c>
      <c r="E134" s="1" t="s">
        <v>157</v>
      </c>
      <c r="F134" s="1" t="s">
        <v>157</v>
      </c>
      <c r="G134" s="1" t="s">
        <v>157</v>
      </c>
      <c r="H134" s="1" t="s">
        <v>157</v>
      </c>
      <c r="I134" s="1" t="s">
        <v>158</v>
      </c>
      <c r="J134" s="1" t="s">
        <v>97</v>
      </c>
      <c r="K134" s="1"/>
      <c r="L134" s="1" t="str">
        <f t="shared" si="15"/>
        <v>Yes</v>
      </c>
      <c r="M134" s="1">
        <f t="shared" si="23"/>
        <v>115</v>
      </c>
      <c r="N134" s="1" t="str">
        <f t="shared" si="16"/>
        <v>NA</v>
      </c>
      <c r="O134" s="1" t="str">
        <f t="shared" si="17"/>
        <v>NA</v>
      </c>
      <c r="P134" s="1" t="str">
        <f t="shared" si="18"/>
        <v>NA</v>
      </c>
      <c r="Q134" s="1" t="str">
        <f t="shared" si="19"/>
        <v>NA</v>
      </c>
      <c r="R134" s="1" t="str">
        <f t="shared" si="20"/>
        <v>NA</v>
      </c>
      <c r="S134" s="1" t="str">
        <f t="shared" si="21"/>
        <v xml:space="preserve"> Australia</v>
      </c>
      <c r="T134" s="1" t="str">
        <f t="shared" si="22"/>
        <v>Ranchi</v>
      </c>
      <c r="U134" s="1" t="str">
        <f t="shared" si="24"/>
        <v>No</v>
      </c>
      <c r="V134" s="1"/>
      <c r="W134" s="1"/>
      <c r="X134" s="1"/>
      <c r="Y134" s="1"/>
      <c r="Z134" s="1"/>
    </row>
    <row r="135" spans="1:26" ht="14.25" customHeight="1">
      <c r="A135" s="1"/>
      <c r="B135" s="1">
        <v>118</v>
      </c>
      <c r="C135" s="1" t="s">
        <v>338</v>
      </c>
      <c r="D135" s="1" t="s">
        <v>143</v>
      </c>
      <c r="E135" s="1" t="s">
        <v>199</v>
      </c>
      <c r="F135" s="1" t="s">
        <v>130</v>
      </c>
      <c r="G135" s="1" t="s">
        <v>339</v>
      </c>
      <c r="H135" s="1" t="s">
        <v>32</v>
      </c>
      <c r="I135" s="1" t="s">
        <v>158</v>
      </c>
      <c r="J135" s="1" t="s">
        <v>50</v>
      </c>
      <c r="K135" s="1"/>
      <c r="L135" s="1" t="str">
        <f t="shared" si="15"/>
        <v>No</v>
      </c>
      <c r="M135" s="1">
        <f t="shared" si="23"/>
        <v>0</v>
      </c>
      <c r="N135" s="1">
        <f t="shared" si="16"/>
        <v>66</v>
      </c>
      <c r="O135" s="1">
        <f t="shared" si="17"/>
        <v>18</v>
      </c>
      <c r="P135" s="1">
        <f t="shared" si="18"/>
        <v>1</v>
      </c>
      <c r="Q135" s="1">
        <f t="shared" si="19"/>
        <v>174.24</v>
      </c>
      <c r="R135" s="1" t="str">
        <f t="shared" si="20"/>
        <v>not out</v>
      </c>
      <c r="S135" s="1" t="str">
        <f t="shared" si="21"/>
        <v xml:space="preserve"> Australia</v>
      </c>
      <c r="T135" s="1" t="str">
        <f t="shared" si="22"/>
        <v>Nagpur</v>
      </c>
      <c r="U135" s="1" t="str">
        <f t="shared" si="24"/>
        <v>No</v>
      </c>
      <c r="V135" s="1"/>
      <c r="W135" s="1"/>
      <c r="X135" s="1"/>
      <c r="Y135" s="1"/>
      <c r="Z135" s="1"/>
    </row>
    <row r="136" spans="1:26" ht="14.25" customHeight="1">
      <c r="A136" s="1"/>
      <c r="B136" s="1">
        <v>119</v>
      </c>
      <c r="C136" s="1" t="s">
        <v>131</v>
      </c>
      <c r="D136" s="1" t="s">
        <v>148</v>
      </c>
      <c r="E136" s="1" t="s">
        <v>131</v>
      </c>
      <c r="F136" s="1" t="s">
        <v>131</v>
      </c>
      <c r="G136" s="1" t="s">
        <v>210</v>
      </c>
      <c r="H136" s="1" t="s">
        <v>26</v>
      </c>
      <c r="I136" s="1" t="s">
        <v>158</v>
      </c>
      <c r="J136" s="1" t="s">
        <v>67</v>
      </c>
      <c r="K136" s="1"/>
      <c r="L136" s="1" t="str">
        <f t="shared" si="15"/>
        <v>No</v>
      </c>
      <c r="M136" s="1">
        <f t="shared" si="23"/>
        <v>86</v>
      </c>
      <c r="N136" s="1">
        <f t="shared" si="16"/>
        <v>3</v>
      </c>
      <c r="O136" s="1">
        <f t="shared" si="17"/>
        <v>0</v>
      </c>
      <c r="P136" s="1">
        <f t="shared" si="18"/>
        <v>0</v>
      </c>
      <c r="Q136" s="1">
        <f t="shared" si="19"/>
        <v>0</v>
      </c>
      <c r="R136" s="1" t="str">
        <f t="shared" si="20"/>
        <v>run out</v>
      </c>
      <c r="S136" s="1" t="str">
        <f t="shared" si="21"/>
        <v xml:space="preserve"> Australia</v>
      </c>
      <c r="T136" s="1" t="str">
        <f t="shared" si="22"/>
        <v>Bengaluru</v>
      </c>
      <c r="U136" s="1" t="str">
        <f t="shared" si="24"/>
        <v>Yes</v>
      </c>
      <c r="V136" s="1"/>
      <c r="W136" s="1"/>
      <c r="X136" s="1"/>
      <c r="Y136" s="1"/>
      <c r="Z136" s="1"/>
    </row>
    <row r="137" spans="1:26" ht="14.25" customHeight="1">
      <c r="A137" s="1"/>
      <c r="B137" s="1">
        <v>120</v>
      </c>
      <c r="C137" s="1" t="s">
        <v>288</v>
      </c>
      <c r="D137" s="1" t="s">
        <v>340</v>
      </c>
      <c r="E137" s="1" t="s">
        <v>161</v>
      </c>
      <c r="F137" s="1" t="s">
        <v>151</v>
      </c>
      <c r="G137" s="1" t="s">
        <v>341</v>
      </c>
      <c r="H137" s="1" t="s">
        <v>24</v>
      </c>
      <c r="I137" s="1" t="s">
        <v>163</v>
      </c>
      <c r="J137" s="1" t="s">
        <v>96</v>
      </c>
      <c r="K137" s="1"/>
      <c r="L137" s="1" t="str">
        <f t="shared" si="15"/>
        <v>No</v>
      </c>
      <c r="M137" s="1">
        <f t="shared" si="23"/>
        <v>99</v>
      </c>
      <c r="N137" s="1">
        <f t="shared" si="16"/>
        <v>84</v>
      </c>
      <c r="O137" s="1">
        <f t="shared" si="17"/>
        <v>9</v>
      </c>
      <c r="P137" s="1">
        <f t="shared" si="18"/>
        <v>2</v>
      </c>
      <c r="Q137" s="1">
        <f t="shared" si="19"/>
        <v>102.38</v>
      </c>
      <c r="R137" s="1" t="str">
        <f t="shared" si="20"/>
        <v>caught</v>
      </c>
      <c r="S137" s="1" t="str">
        <f t="shared" si="21"/>
        <v xml:space="preserve"> West Indies</v>
      </c>
      <c r="T137" s="1" t="str">
        <f t="shared" si="22"/>
        <v>Kochi</v>
      </c>
      <c r="U137" s="1" t="str">
        <f t="shared" si="24"/>
        <v>Yes</v>
      </c>
      <c r="V137" s="1"/>
      <c r="W137" s="1"/>
      <c r="X137" s="1"/>
      <c r="Y137" s="1"/>
      <c r="Z137" s="1"/>
    </row>
    <row r="138" spans="1:26" ht="14.25" customHeight="1">
      <c r="A138" s="1"/>
      <c r="B138" s="1">
        <v>121</v>
      </c>
      <c r="C138" s="1" t="s">
        <v>269</v>
      </c>
      <c r="D138" s="1" t="s">
        <v>342</v>
      </c>
      <c r="E138" s="1" t="s">
        <v>161</v>
      </c>
      <c r="F138" s="1" t="s">
        <v>131</v>
      </c>
      <c r="G138" s="1" t="s">
        <v>343</v>
      </c>
      <c r="H138" s="1" t="s">
        <v>24</v>
      </c>
      <c r="I138" s="1" t="s">
        <v>163</v>
      </c>
      <c r="J138" s="1" t="s">
        <v>65</v>
      </c>
      <c r="K138" s="1"/>
      <c r="L138" s="1" t="str">
        <f t="shared" si="15"/>
        <v>No</v>
      </c>
      <c r="M138" s="1">
        <f t="shared" si="23"/>
        <v>19</v>
      </c>
      <c r="N138" s="1">
        <f t="shared" si="16"/>
        <v>100</v>
      </c>
      <c r="O138" s="1">
        <f t="shared" si="17"/>
        <v>9</v>
      </c>
      <c r="P138" s="1">
        <f t="shared" si="18"/>
        <v>0</v>
      </c>
      <c r="Q138" s="1">
        <f t="shared" si="19"/>
        <v>99</v>
      </c>
      <c r="R138" s="1" t="str">
        <f t="shared" si="20"/>
        <v>caught</v>
      </c>
      <c r="S138" s="1" t="str">
        <f t="shared" si="21"/>
        <v xml:space="preserve"> West Indies</v>
      </c>
      <c r="T138" s="1" t="str">
        <f t="shared" si="22"/>
        <v>Visakhapatnam</v>
      </c>
      <c r="U138" s="1" t="str">
        <f t="shared" si="24"/>
        <v>Yes</v>
      </c>
      <c r="V138" s="1"/>
      <c r="W138" s="1"/>
      <c r="X138" s="1"/>
      <c r="Y138" s="1"/>
      <c r="Z138" s="1"/>
    </row>
    <row r="139" spans="1:26" ht="14.25" customHeight="1">
      <c r="A139" s="1"/>
      <c r="B139" s="1">
        <v>122</v>
      </c>
      <c r="C139" s="1" t="s">
        <v>170</v>
      </c>
      <c r="D139" s="1" t="s">
        <v>199</v>
      </c>
      <c r="E139" s="1" t="s">
        <v>148</v>
      </c>
      <c r="F139" s="1" t="s">
        <v>131</v>
      </c>
      <c r="G139" s="1" t="s">
        <v>344</v>
      </c>
      <c r="H139" s="1" t="s">
        <v>24</v>
      </c>
      <c r="I139" s="1" t="s">
        <v>163</v>
      </c>
      <c r="J139" s="1" t="s">
        <v>101</v>
      </c>
      <c r="K139" s="1"/>
      <c r="L139" s="1" t="str">
        <f t="shared" si="15"/>
        <v>No</v>
      </c>
      <c r="M139" s="1">
        <f t="shared" si="23"/>
        <v>31</v>
      </c>
      <c r="N139" s="1">
        <f t="shared" si="16"/>
        <v>18</v>
      </c>
      <c r="O139" s="1">
        <f t="shared" si="17"/>
        <v>3</v>
      </c>
      <c r="P139" s="1">
        <f t="shared" si="18"/>
        <v>0</v>
      </c>
      <c r="Q139" s="1">
        <f t="shared" si="19"/>
        <v>105.55</v>
      </c>
      <c r="R139" s="1" t="str">
        <f t="shared" si="20"/>
        <v>caught</v>
      </c>
      <c r="S139" s="1" t="str">
        <f t="shared" si="21"/>
        <v xml:space="preserve"> West Indies</v>
      </c>
      <c r="T139" s="1" t="str">
        <f t="shared" si="22"/>
        <v>Kanpur</v>
      </c>
      <c r="U139" s="1" t="str">
        <f t="shared" si="24"/>
        <v>Yes</v>
      </c>
      <c r="V139" s="1"/>
      <c r="W139" s="1"/>
      <c r="X139" s="1"/>
      <c r="Y139" s="1"/>
      <c r="Z139" s="1"/>
    </row>
    <row r="140" spans="1:26" ht="14.25" customHeight="1">
      <c r="A140" s="1"/>
      <c r="B140" s="1">
        <v>123</v>
      </c>
      <c r="C140" s="1" t="s">
        <v>146</v>
      </c>
      <c r="D140" s="1" t="s">
        <v>248</v>
      </c>
      <c r="E140" s="1" t="s">
        <v>202</v>
      </c>
      <c r="F140" s="1" t="s">
        <v>131</v>
      </c>
      <c r="G140" s="1" t="s">
        <v>345</v>
      </c>
      <c r="H140" s="1" t="s">
        <v>24</v>
      </c>
      <c r="I140" s="1" t="s">
        <v>191</v>
      </c>
      <c r="J140" s="1" t="s">
        <v>43</v>
      </c>
      <c r="K140" s="1"/>
      <c r="L140" s="1" t="str">
        <f t="shared" si="15"/>
        <v>No</v>
      </c>
      <c r="M140" s="1">
        <f t="shared" si="23"/>
        <v>0</v>
      </c>
      <c r="N140" s="1">
        <f t="shared" si="16"/>
        <v>35</v>
      </c>
      <c r="O140" s="1">
        <f t="shared" si="17"/>
        <v>5</v>
      </c>
      <c r="P140" s="1">
        <f t="shared" si="18"/>
        <v>0</v>
      </c>
      <c r="Q140" s="1">
        <f t="shared" si="19"/>
        <v>88.57</v>
      </c>
      <c r="R140" s="1" t="str">
        <f t="shared" si="20"/>
        <v>caught</v>
      </c>
      <c r="S140" s="1" t="str">
        <f t="shared" si="21"/>
        <v xml:space="preserve"> South Africa</v>
      </c>
      <c r="T140" s="1" t="str">
        <f t="shared" si="22"/>
        <v>Johannesburg</v>
      </c>
      <c r="U140" s="1" t="str">
        <f t="shared" si="24"/>
        <v>Yes</v>
      </c>
      <c r="V140" s="1"/>
      <c r="W140" s="1"/>
      <c r="X140" s="1"/>
      <c r="Y140" s="1"/>
      <c r="Z140" s="1"/>
    </row>
    <row r="141" spans="1:26" ht="14.25" customHeight="1">
      <c r="A141" s="1"/>
      <c r="B141" s="1">
        <v>124</v>
      </c>
      <c r="C141" s="1" t="s">
        <v>131</v>
      </c>
      <c r="D141" s="1" t="s">
        <v>202</v>
      </c>
      <c r="E141" s="1" t="s">
        <v>131</v>
      </c>
      <c r="F141" s="1" t="s">
        <v>131</v>
      </c>
      <c r="G141" s="1" t="s">
        <v>210</v>
      </c>
      <c r="H141" s="1" t="s">
        <v>24</v>
      </c>
      <c r="I141" s="1" t="s">
        <v>191</v>
      </c>
      <c r="J141" s="1" t="s">
        <v>69</v>
      </c>
      <c r="K141" s="1"/>
      <c r="L141" s="1" t="str">
        <f t="shared" si="15"/>
        <v>No</v>
      </c>
      <c r="M141" s="1" t="str">
        <f t="shared" si="23"/>
        <v>NA</v>
      </c>
      <c r="N141" s="1">
        <f t="shared" si="16"/>
        <v>5</v>
      </c>
      <c r="O141" s="1">
        <f t="shared" si="17"/>
        <v>0</v>
      </c>
      <c r="P141" s="1">
        <f t="shared" si="18"/>
        <v>0</v>
      </c>
      <c r="Q141" s="1">
        <f t="shared" si="19"/>
        <v>0</v>
      </c>
      <c r="R141" s="1" t="str">
        <f t="shared" si="20"/>
        <v>caught</v>
      </c>
      <c r="S141" s="1" t="str">
        <f t="shared" si="21"/>
        <v xml:space="preserve"> South Africa</v>
      </c>
      <c r="T141" s="1" t="str">
        <f t="shared" si="22"/>
        <v>Durban</v>
      </c>
      <c r="U141" s="1" t="str">
        <f t="shared" si="24"/>
        <v>Yes</v>
      </c>
      <c r="V141" s="1"/>
      <c r="W141" s="1"/>
      <c r="X141" s="1"/>
      <c r="Y141" s="1"/>
      <c r="Z141" s="1"/>
    </row>
    <row r="142" spans="1:26" ht="14.25" customHeight="1">
      <c r="A142" s="1"/>
      <c r="B142" s="1">
        <v>125</v>
      </c>
      <c r="C142" s="1" t="s">
        <v>38</v>
      </c>
      <c r="D142" s="1" t="s">
        <v>157</v>
      </c>
      <c r="E142" s="1" t="s">
        <v>157</v>
      </c>
      <c r="F142" s="1" t="s">
        <v>157</v>
      </c>
      <c r="G142" s="1" t="s">
        <v>157</v>
      </c>
      <c r="H142" s="1" t="s">
        <v>157</v>
      </c>
      <c r="I142" s="1" t="s">
        <v>191</v>
      </c>
      <c r="J142" s="1" t="s">
        <v>36</v>
      </c>
      <c r="K142" s="1"/>
      <c r="L142" s="1" t="str">
        <f t="shared" si="15"/>
        <v>Yes</v>
      </c>
      <c r="M142" s="1">
        <f t="shared" si="23"/>
        <v>123</v>
      </c>
      <c r="N142" s="1" t="str">
        <f t="shared" si="16"/>
        <v>NA</v>
      </c>
      <c r="O142" s="1" t="str">
        <f t="shared" si="17"/>
        <v>NA</v>
      </c>
      <c r="P142" s="1" t="str">
        <f t="shared" si="18"/>
        <v>NA</v>
      </c>
      <c r="Q142" s="1" t="str">
        <f t="shared" si="19"/>
        <v>NA</v>
      </c>
      <c r="R142" s="1" t="str">
        <f t="shared" si="20"/>
        <v>NA</v>
      </c>
      <c r="S142" s="1" t="str">
        <f t="shared" si="21"/>
        <v xml:space="preserve"> South Africa</v>
      </c>
      <c r="T142" s="1" t="str">
        <f t="shared" si="22"/>
        <v>Centurion</v>
      </c>
      <c r="U142" s="1" t="str">
        <f t="shared" si="24"/>
        <v>No</v>
      </c>
      <c r="V142" s="1"/>
      <c r="W142" s="1"/>
      <c r="X142" s="1"/>
      <c r="Y142" s="1"/>
      <c r="Z142" s="1"/>
    </row>
    <row r="143" spans="1:26" ht="14.25" customHeight="1">
      <c r="A143" s="1"/>
      <c r="B143" s="1">
        <v>126</v>
      </c>
      <c r="C143" s="1" t="s">
        <v>272</v>
      </c>
      <c r="D143" s="1" t="s">
        <v>346</v>
      </c>
      <c r="E143" s="1" t="s">
        <v>176</v>
      </c>
      <c r="F143" s="1" t="s">
        <v>151</v>
      </c>
      <c r="G143" s="1" t="s">
        <v>347</v>
      </c>
      <c r="H143" s="1" t="s">
        <v>24</v>
      </c>
      <c r="I143" s="1" t="s">
        <v>211</v>
      </c>
      <c r="J143" s="1" t="s">
        <v>102</v>
      </c>
      <c r="K143" s="1"/>
      <c r="L143" s="1" t="str">
        <f t="shared" si="15"/>
        <v>No</v>
      </c>
      <c r="M143" s="1">
        <f t="shared" si="23"/>
        <v>78</v>
      </c>
      <c r="N143" s="1">
        <f t="shared" si="16"/>
        <v>111</v>
      </c>
      <c r="O143" s="1">
        <f t="shared" si="17"/>
        <v>11</v>
      </c>
      <c r="P143" s="1">
        <f t="shared" si="18"/>
        <v>2</v>
      </c>
      <c r="Q143" s="1">
        <f t="shared" si="19"/>
        <v>110.81</v>
      </c>
      <c r="R143" s="1" t="str">
        <f t="shared" si="20"/>
        <v>caught</v>
      </c>
      <c r="S143" s="1" t="str">
        <f t="shared" si="21"/>
        <v xml:space="preserve"> New Zealand</v>
      </c>
      <c r="T143" s="1" t="str">
        <f t="shared" si="22"/>
        <v>Napier</v>
      </c>
      <c r="U143" s="1" t="str">
        <f t="shared" si="24"/>
        <v>Yes</v>
      </c>
      <c r="V143" s="1"/>
      <c r="W143" s="1"/>
      <c r="X143" s="1"/>
      <c r="Y143" s="1"/>
      <c r="Z143" s="1"/>
    </row>
    <row r="144" spans="1:26" ht="14.25" customHeight="1">
      <c r="A144" s="1"/>
      <c r="B144" s="1">
        <v>127</v>
      </c>
      <c r="C144" s="1" t="s">
        <v>348</v>
      </c>
      <c r="D144" s="1" t="s">
        <v>172</v>
      </c>
      <c r="E144" s="1" t="s">
        <v>144</v>
      </c>
      <c r="F144" s="1" t="s">
        <v>151</v>
      </c>
      <c r="G144" s="1" t="s">
        <v>349</v>
      </c>
      <c r="H144" s="1" t="s">
        <v>24</v>
      </c>
      <c r="I144" s="1" t="s">
        <v>211</v>
      </c>
      <c r="J144" s="1" t="s">
        <v>103</v>
      </c>
      <c r="K144" s="1"/>
      <c r="L144" s="1" t="str">
        <f t="shared" si="15"/>
        <v>No</v>
      </c>
      <c r="M144" s="1">
        <f t="shared" si="23"/>
        <v>6</v>
      </c>
      <c r="N144" s="1">
        <f t="shared" si="16"/>
        <v>65</v>
      </c>
      <c r="O144" s="1">
        <f t="shared" si="17"/>
        <v>7</v>
      </c>
      <c r="P144" s="1">
        <f t="shared" si="18"/>
        <v>2</v>
      </c>
      <c r="Q144" s="1">
        <f t="shared" si="19"/>
        <v>120</v>
      </c>
      <c r="R144" s="1" t="str">
        <f t="shared" si="20"/>
        <v>caught</v>
      </c>
      <c r="S144" s="1" t="str">
        <f t="shared" si="21"/>
        <v xml:space="preserve"> New Zealand</v>
      </c>
      <c r="T144" s="1" t="str">
        <f t="shared" si="22"/>
        <v>Hamilton</v>
      </c>
      <c r="U144" s="1" t="str">
        <f t="shared" si="24"/>
        <v>Yes</v>
      </c>
      <c r="V144" s="1"/>
      <c r="W144" s="1"/>
      <c r="X144" s="1"/>
      <c r="Y144" s="1"/>
      <c r="Z144" s="1"/>
    </row>
    <row r="145" spans="1:26" ht="14.25" customHeight="1">
      <c r="A145" s="1"/>
      <c r="B145" s="1">
        <v>128</v>
      </c>
      <c r="C145" s="1" t="s">
        <v>136</v>
      </c>
      <c r="D145" s="1" t="s">
        <v>238</v>
      </c>
      <c r="E145" s="1" t="s">
        <v>130</v>
      </c>
      <c r="F145" s="1" t="s">
        <v>131</v>
      </c>
      <c r="G145" s="1" t="s">
        <v>350</v>
      </c>
      <c r="H145" s="1" t="s">
        <v>24</v>
      </c>
      <c r="I145" s="1" t="s">
        <v>211</v>
      </c>
      <c r="J145" s="1" t="s">
        <v>104</v>
      </c>
      <c r="K145" s="1"/>
      <c r="L145" s="1" t="str">
        <f t="shared" si="15"/>
        <v>No</v>
      </c>
      <c r="M145" s="1">
        <f t="shared" si="23"/>
        <v>2</v>
      </c>
      <c r="N145" s="1">
        <f t="shared" si="16"/>
        <v>20</v>
      </c>
      <c r="O145" s="1">
        <f t="shared" si="17"/>
        <v>1</v>
      </c>
      <c r="P145" s="1">
        <f t="shared" si="18"/>
        <v>0</v>
      </c>
      <c r="Q145" s="1">
        <f t="shared" si="19"/>
        <v>30</v>
      </c>
      <c r="R145" s="1" t="str">
        <f t="shared" si="20"/>
        <v>caught</v>
      </c>
      <c r="S145" s="1" t="str">
        <f t="shared" si="21"/>
        <v xml:space="preserve"> New Zealand</v>
      </c>
      <c r="T145" s="1" t="str">
        <f t="shared" si="22"/>
        <v>Auckland</v>
      </c>
      <c r="U145" s="1" t="str">
        <f t="shared" si="24"/>
        <v>Yes</v>
      </c>
      <c r="V145" s="1"/>
      <c r="W145" s="1"/>
      <c r="X145" s="1"/>
      <c r="Y145" s="1"/>
      <c r="Z145" s="1"/>
    </row>
    <row r="146" spans="1:26" ht="14.25" customHeight="1">
      <c r="A146" s="1"/>
      <c r="B146" s="1">
        <v>129</v>
      </c>
      <c r="C146" s="1" t="s">
        <v>151</v>
      </c>
      <c r="D146" s="1" t="s">
        <v>167</v>
      </c>
      <c r="E146" s="1" t="s">
        <v>131</v>
      </c>
      <c r="F146" s="1" t="s">
        <v>131</v>
      </c>
      <c r="G146" s="1" t="s">
        <v>299</v>
      </c>
      <c r="H146" s="1" t="s">
        <v>24</v>
      </c>
      <c r="I146" s="1" t="s">
        <v>211</v>
      </c>
      <c r="J146" s="1" t="s">
        <v>103</v>
      </c>
      <c r="K146" s="1"/>
      <c r="L146" s="1" t="str">
        <f t="shared" ref="L146:L209" si="25">IF(OR(C146="DNB",C146="TDNB"),"Yes","No")</f>
        <v>No</v>
      </c>
      <c r="M146" s="1">
        <f t="shared" si="23"/>
        <v>82</v>
      </c>
      <c r="N146" s="1">
        <f t="shared" ref="N146:N209" si="26">IF(D146="-","NA",D146*1)</f>
        <v>10</v>
      </c>
      <c r="O146" s="1">
        <f t="shared" ref="O146:O209" si="27">IF(E146="-","NA",E146*1)</f>
        <v>0</v>
      </c>
      <c r="P146" s="1">
        <f t="shared" ref="P146:P209" si="28">IF(F146="-","NA",F146*1)</f>
        <v>0</v>
      </c>
      <c r="Q146" s="1">
        <f t="shared" ref="Q146:Q209" si="29">IF(G146="-","NA",G146*1)</f>
        <v>20</v>
      </c>
      <c r="R146" s="1" t="str">
        <f t="shared" ref="R146:R209" si="30">IF(H146="-","NA",H146)</f>
        <v>caught</v>
      </c>
      <c r="S146" s="1" t="str">
        <f t="shared" ref="S146:S209" si="31">SUBSTITUTE(I146,"v","")</f>
        <v xml:space="preserve"> New Zealand</v>
      </c>
      <c r="T146" s="1" t="str">
        <f t="shared" ref="T146:T209" si="32">J146</f>
        <v>Hamilton</v>
      </c>
      <c r="U146" s="1" t="str">
        <f t="shared" si="24"/>
        <v>Yes</v>
      </c>
      <c r="V146" s="1"/>
      <c r="W146" s="1"/>
      <c r="X146" s="1"/>
      <c r="Y146" s="1"/>
      <c r="Z146" s="1"/>
    </row>
    <row r="147" spans="1:26" ht="14.25" customHeight="1">
      <c r="A147" s="1"/>
      <c r="B147" s="1">
        <v>130</v>
      </c>
      <c r="C147" s="1" t="s">
        <v>196</v>
      </c>
      <c r="D147" s="1" t="s">
        <v>348</v>
      </c>
      <c r="E147" s="1" t="s">
        <v>144</v>
      </c>
      <c r="F147" s="1" t="s">
        <v>148</v>
      </c>
      <c r="G147" s="1" t="s">
        <v>351</v>
      </c>
      <c r="H147" s="1" t="s">
        <v>24</v>
      </c>
      <c r="I147" s="1" t="s">
        <v>211</v>
      </c>
      <c r="J147" s="1" t="s">
        <v>105</v>
      </c>
      <c r="K147" s="1"/>
      <c r="L147" s="1" t="str">
        <f t="shared" si="25"/>
        <v>No</v>
      </c>
      <c r="M147" s="1">
        <f t="shared" ref="M147:M210" si="33">IF(L148="Yes", "NA",SUBSTITUTE(C148,"*","")*1)</f>
        <v>136</v>
      </c>
      <c r="N147" s="1">
        <f t="shared" si="26"/>
        <v>78</v>
      </c>
      <c r="O147" s="1">
        <f t="shared" si="27"/>
        <v>7</v>
      </c>
      <c r="P147" s="1">
        <f t="shared" si="28"/>
        <v>3</v>
      </c>
      <c r="Q147" s="1">
        <f t="shared" si="29"/>
        <v>105.12</v>
      </c>
      <c r="R147" s="1" t="str">
        <f t="shared" si="30"/>
        <v>caught</v>
      </c>
      <c r="S147" s="1" t="str">
        <f t="shared" si="31"/>
        <v xml:space="preserve"> New Zealand</v>
      </c>
      <c r="T147" s="1" t="str">
        <f t="shared" si="32"/>
        <v>Wellington</v>
      </c>
      <c r="U147" s="1" t="str">
        <f t="shared" ref="U147:U210" si="34">IF(L147="Yes","No",IF(R147="not out","No","Yes"))</f>
        <v>Yes</v>
      </c>
      <c r="V147" s="1"/>
      <c r="W147" s="1"/>
      <c r="X147" s="1"/>
      <c r="Y147" s="1"/>
      <c r="Z147" s="1"/>
    </row>
    <row r="148" spans="1:26" ht="14.25" customHeight="1">
      <c r="A148" s="1"/>
      <c r="B148" s="1">
        <v>131</v>
      </c>
      <c r="C148" s="1" t="s">
        <v>352</v>
      </c>
      <c r="D148" s="1" t="s">
        <v>353</v>
      </c>
      <c r="E148" s="1" t="s">
        <v>153</v>
      </c>
      <c r="F148" s="1" t="s">
        <v>151</v>
      </c>
      <c r="G148" s="1" t="s">
        <v>354</v>
      </c>
      <c r="H148" s="1" t="s">
        <v>29</v>
      </c>
      <c r="I148" s="1" t="s">
        <v>182</v>
      </c>
      <c r="J148" s="1" t="s">
        <v>106</v>
      </c>
      <c r="K148" s="1"/>
      <c r="L148" s="1" t="str">
        <f t="shared" si="25"/>
        <v>No</v>
      </c>
      <c r="M148" s="1">
        <f t="shared" si="33"/>
        <v>48</v>
      </c>
      <c r="N148" s="1">
        <f t="shared" si="26"/>
        <v>122</v>
      </c>
      <c r="O148" s="1">
        <f t="shared" si="27"/>
        <v>16</v>
      </c>
      <c r="P148" s="1">
        <f t="shared" si="28"/>
        <v>2</v>
      </c>
      <c r="Q148" s="1">
        <f t="shared" si="29"/>
        <v>111.47</v>
      </c>
      <c r="R148" s="1" t="str">
        <f t="shared" si="30"/>
        <v>bowled</v>
      </c>
      <c r="S148" s="1" t="str">
        <f t="shared" si="31"/>
        <v xml:space="preserve"> Bangladesh</v>
      </c>
      <c r="T148" s="1" t="str">
        <f t="shared" si="32"/>
        <v>Fatullah</v>
      </c>
      <c r="U148" s="1" t="str">
        <f t="shared" si="34"/>
        <v>Yes</v>
      </c>
      <c r="V148" s="1"/>
      <c r="W148" s="1"/>
      <c r="X148" s="1"/>
      <c r="Y148" s="1"/>
      <c r="Z148" s="1"/>
    </row>
    <row r="149" spans="1:26" ht="14.25" customHeight="1">
      <c r="A149" s="1"/>
      <c r="B149" s="1">
        <v>132</v>
      </c>
      <c r="C149" s="1" t="s">
        <v>355</v>
      </c>
      <c r="D149" s="1" t="s">
        <v>356</v>
      </c>
      <c r="E149" s="1" t="s">
        <v>140</v>
      </c>
      <c r="F149" s="1" t="s">
        <v>130</v>
      </c>
      <c r="G149" s="1" t="s">
        <v>278</v>
      </c>
      <c r="H149" s="1" t="s">
        <v>29</v>
      </c>
      <c r="I149" s="1" t="s">
        <v>133</v>
      </c>
      <c r="J149" s="1" t="s">
        <v>106</v>
      </c>
      <c r="K149" s="1"/>
      <c r="L149" s="1" t="str">
        <f t="shared" si="25"/>
        <v>No</v>
      </c>
      <c r="M149" s="1">
        <f t="shared" si="33"/>
        <v>5</v>
      </c>
      <c r="N149" s="1">
        <f t="shared" si="26"/>
        <v>51</v>
      </c>
      <c r="O149" s="1">
        <f t="shared" si="27"/>
        <v>4</v>
      </c>
      <c r="P149" s="1">
        <f t="shared" si="28"/>
        <v>1</v>
      </c>
      <c r="Q149" s="1">
        <f t="shared" si="29"/>
        <v>94.11</v>
      </c>
      <c r="R149" s="1" t="str">
        <f t="shared" si="30"/>
        <v>bowled</v>
      </c>
      <c r="S149" s="1" t="str">
        <f t="shared" si="31"/>
        <v xml:space="preserve"> Sri Lanka</v>
      </c>
      <c r="T149" s="1" t="str">
        <f t="shared" si="32"/>
        <v>Fatullah</v>
      </c>
      <c r="U149" s="1" t="str">
        <f t="shared" si="34"/>
        <v>Yes</v>
      </c>
      <c r="V149" s="1"/>
      <c r="W149" s="1"/>
      <c r="X149" s="1"/>
      <c r="Y149" s="1"/>
      <c r="Z149" s="1"/>
    </row>
    <row r="150" spans="1:26" ht="14.25" customHeight="1">
      <c r="A150" s="1"/>
      <c r="B150" s="1">
        <v>133</v>
      </c>
      <c r="C150" s="1" t="s">
        <v>202</v>
      </c>
      <c r="D150" s="1" t="s">
        <v>176</v>
      </c>
      <c r="E150" s="1" t="s">
        <v>131</v>
      </c>
      <c r="F150" s="1" t="s">
        <v>131</v>
      </c>
      <c r="G150" s="1" t="s">
        <v>357</v>
      </c>
      <c r="H150" s="1" t="s">
        <v>24</v>
      </c>
      <c r="I150" s="1" t="s">
        <v>156</v>
      </c>
      <c r="J150" s="1" t="s">
        <v>53</v>
      </c>
      <c r="K150" s="1"/>
      <c r="L150" s="1" t="str">
        <f t="shared" si="25"/>
        <v>No</v>
      </c>
      <c r="M150" s="1" t="str">
        <f t="shared" si="33"/>
        <v>NA</v>
      </c>
      <c r="N150" s="1">
        <f t="shared" si="26"/>
        <v>11</v>
      </c>
      <c r="O150" s="1">
        <f t="shared" si="27"/>
        <v>0</v>
      </c>
      <c r="P150" s="1">
        <f t="shared" si="28"/>
        <v>0</v>
      </c>
      <c r="Q150" s="1">
        <f t="shared" si="29"/>
        <v>45.45</v>
      </c>
      <c r="R150" s="1" t="str">
        <f t="shared" si="30"/>
        <v>caught</v>
      </c>
      <c r="S150" s="1" t="str">
        <f t="shared" si="31"/>
        <v xml:space="preserve"> Pakistan</v>
      </c>
      <c r="T150" s="1" t="str">
        <f t="shared" si="32"/>
        <v>Mirpur</v>
      </c>
      <c r="U150" s="1" t="str">
        <f t="shared" si="34"/>
        <v>Yes</v>
      </c>
      <c r="V150" s="1"/>
      <c r="W150" s="1"/>
      <c r="X150" s="1"/>
      <c r="Y150" s="1"/>
      <c r="Z150" s="1"/>
    </row>
    <row r="151" spans="1:26" ht="14.25" customHeight="1">
      <c r="A151" s="1"/>
      <c r="B151" s="1">
        <v>134</v>
      </c>
      <c r="C151" s="1" t="s">
        <v>57</v>
      </c>
      <c r="D151" s="1" t="s">
        <v>157</v>
      </c>
      <c r="E151" s="1" t="s">
        <v>157</v>
      </c>
      <c r="F151" s="1" t="s">
        <v>157</v>
      </c>
      <c r="G151" s="1" t="s">
        <v>157</v>
      </c>
      <c r="H151" s="1" t="s">
        <v>157</v>
      </c>
      <c r="I151" s="1" t="s">
        <v>358</v>
      </c>
      <c r="J151" s="1" t="s">
        <v>53</v>
      </c>
      <c r="K151" s="1"/>
      <c r="L151" s="1" t="str">
        <f t="shared" si="25"/>
        <v>Yes</v>
      </c>
      <c r="M151" s="1">
        <f t="shared" si="33"/>
        <v>0</v>
      </c>
      <c r="N151" s="1" t="str">
        <f t="shared" si="26"/>
        <v>NA</v>
      </c>
      <c r="O151" s="1" t="str">
        <f t="shared" si="27"/>
        <v>NA</v>
      </c>
      <c r="P151" s="1" t="str">
        <f t="shared" si="28"/>
        <v>NA</v>
      </c>
      <c r="Q151" s="1" t="str">
        <f t="shared" si="29"/>
        <v>NA</v>
      </c>
      <c r="R151" s="1" t="str">
        <f t="shared" si="30"/>
        <v>NA</v>
      </c>
      <c r="S151" s="1" t="str">
        <f t="shared" si="31"/>
        <v xml:space="preserve"> Afghanistan</v>
      </c>
      <c r="T151" s="1" t="str">
        <f t="shared" si="32"/>
        <v>Mirpur</v>
      </c>
      <c r="U151" s="1" t="str">
        <f t="shared" si="34"/>
        <v>No</v>
      </c>
      <c r="V151" s="1"/>
      <c r="W151" s="1"/>
      <c r="X151" s="1"/>
      <c r="Y151" s="1"/>
      <c r="Z151" s="1"/>
    </row>
    <row r="152" spans="1:26" ht="14.25" customHeight="1">
      <c r="A152" s="1"/>
      <c r="B152" s="1">
        <v>135</v>
      </c>
      <c r="C152" s="1" t="s">
        <v>131</v>
      </c>
      <c r="D152" s="1" t="s">
        <v>148</v>
      </c>
      <c r="E152" s="1" t="s">
        <v>131</v>
      </c>
      <c r="F152" s="1" t="s">
        <v>131</v>
      </c>
      <c r="G152" s="1" t="s">
        <v>210</v>
      </c>
      <c r="H152" s="1" t="s">
        <v>24</v>
      </c>
      <c r="I152" s="1" t="s">
        <v>234</v>
      </c>
      <c r="J152" s="1" t="s">
        <v>84</v>
      </c>
      <c r="K152" s="1"/>
      <c r="L152" s="1" t="str">
        <f t="shared" si="25"/>
        <v>No</v>
      </c>
      <c r="M152" s="1">
        <f t="shared" si="33"/>
        <v>40</v>
      </c>
      <c r="N152" s="1">
        <f t="shared" si="26"/>
        <v>3</v>
      </c>
      <c r="O152" s="1">
        <f t="shared" si="27"/>
        <v>0</v>
      </c>
      <c r="P152" s="1">
        <f t="shared" si="28"/>
        <v>0</v>
      </c>
      <c r="Q152" s="1">
        <f t="shared" si="29"/>
        <v>0</v>
      </c>
      <c r="R152" s="1" t="str">
        <f t="shared" si="30"/>
        <v>caught</v>
      </c>
      <c r="S152" s="1" t="str">
        <f t="shared" si="31"/>
        <v xml:space="preserve"> England</v>
      </c>
      <c r="T152" s="1" t="str">
        <f t="shared" si="32"/>
        <v>Cardiff</v>
      </c>
      <c r="U152" s="1" t="str">
        <f t="shared" si="34"/>
        <v>Yes</v>
      </c>
      <c r="V152" s="1"/>
      <c r="W152" s="1"/>
      <c r="X152" s="1"/>
      <c r="Y152" s="1"/>
      <c r="Z152" s="1"/>
    </row>
    <row r="153" spans="1:26" ht="14.25" customHeight="1">
      <c r="A153" s="1"/>
      <c r="B153" s="1">
        <v>136</v>
      </c>
      <c r="C153" s="1" t="s">
        <v>359</v>
      </c>
      <c r="D153" s="1" t="s">
        <v>360</v>
      </c>
      <c r="E153" s="1" t="s">
        <v>151</v>
      </c>
      <c r="F153" s="1" t="s">
        <v>130</v>
      </c>
      <c r="G153" s="1" t="s">
        <v>361</v>
      </c>
      <c r="H153" s="1" t="s">
        <v>24</v>
      </c>
      <c r="I153" s="1" t="s">
        <v>234</v>
      </c>
      <c r="J153" s="1" t="s">
        <v>108</v>
      </c>
      <c r="K153" s="1"/>
      <c r="L153" s="1" t="str">
        <f t="shared" si="25"/>
        <v>No</v>
      </c>
      <c r="M153" s="1">
        <f t="shared" si="33"/>
        <v>1</v>
      </c>
      <c r="N153" s="1">
        <f t="shared" si="26"/>
        <v>50</v>
      </c>
      <c r="O153" s="1">
        <f t="shared" si="27"/>
        <v>2</v>
      </c>
      <c r="P153" s="1">
        <f t="shared" si="28"/>
        <v>1</v>
      </c>
      <c r="Q153" s="1">
        <f t="shared" si="29"/>
        <v>80</v>
      </c>
      <c r="R153" s="1" t="str">
        <f t="shared" si="30"/>
        <v>caught</v>
      </c>
      <c r="S153" s="1" t="str">
        <f t="shared" si="31"/>
        <v xml:space="preserve"> England</v>
      </c>
      <c r="T153" s="1" t="str">
        <f t="shared" si="32"/>
        <v>Nottingham</v>
      </c>
      <c r="U153" s="1" t="str">
        <f t="shared" si="34"/>
        <v>Yes</v>
      </c>
      <c r="V153" s="1"/>
      <c r="W153" s="1"/>
      <c r="X153" s="1"/>
      <c r="Y153" s="1"/>
      <c r="Z153" s="1"/>
    </row>
    <row r="154" spans="1:26" ht="14.25" customHeight="1">
      <c r="A154" s="1"/>
      <c r="B154" s="1">
        <v>137</v>
      </c>
      <c r="C154" s="1" t="s">
        <v>362</v>
      </c>
      <c r="D154" s="1" t="s">
        <v>148</v>
      </c>
      <c r="E154" s="1" t="s">
        <v>131</v>
      </c>
      <c r="F154" s="1" t="s">
        <v>131</v>
      </c>
      <c r="G154" s="1" t="s">
        <v>229</v>
      </c>
      <c r="H154" s="1" t="s">
        <v>32</v>
      </c>
      <c r="I154" s="1" t="s">
        <v>234</v>
      </c>
      <c r="J154" s="1" t="s">
        <v>99</v>
      </c>
      <c r="K154" s="1"/>
      <c r="L154" s="1" t="str">
        <f t="shared" si="25"/>
        <v>No</v>
      </c>
      <c r="M154" s="1">
        <f t="shared" si="33"/>
        <v>13</v>
      </c>
      <c r="N154" s="1">
        <f t="shared" si="26"/>
        <v>3</v>
      </c>
      <c r="O154" s="1">
        <f t="shared" si="27"/>
        <v>0</v>
      </c>
      <c r="P154" s="1">
        <f t="shared" si="28"/>
        <v>0</v>
      </c>
      <c r="Q154" s="1">
        <f t="shared" si="29"/>
        <v>33.33</v>
      </c>
      <c r="R154" s="1" t="str">
        <f t="shared" si="30"/>
        <v>not out</v>
      </c>
      <c r="S154" s="1" t="str">
        <f t="shared" si="31"/>
        <v xml:space="preserve"> England</v>
      </c>
      <c r="T154" s="1" t="str">
        <f t="shared" si="32"/>
        <v>Birmingham</v>
      </c>
      <c r="U154" s="1" t="str">
        <f t="shared" si="34"/>
        <v>No</v>
      </c>
      <c r="V154" s="1"/>
      <c r="W154" s="1"/>
      <c r="X154" s="1"/>
      <c r="Y154" s="1"/>
      <c r="Z154" s="1"/>
    </row>
    <row r="155" spans="1:26" ht="14.25" customHeight="1">
      <c r="A155" s="1"/>
      <c r="B155" s="1">
        <v>138</v>
      </c>
      <c r="C155" s="1" t="s">
        <v>325</v>
      </c>
      <c r="D155" s="1" t="s">
        <v>246</v>
      </c>
      <c r="E155" s="1" t="s">
        <v>151</v>
      </c>
      <c r="F155" s="1" t="s">
        <v>131</v>
      </c>
      <c r="G155" s="1" t="s">
        <v>363</v>
      </c>
      <c r="H155" s="1" t="s">
        <v>24</v>
      </c>
      <c r="I155" s="1" t="s">
        <v>234</v>
      </c>
      <c r="J155" s="1" t="s">
        <v>109</v>
      </c>
      <c r="K155" s="1"/>
      <c r="L155" s="1" t="str">
        <f t="shared" si="25"/>
        <v>No</v>
      </c>
      <c r="M155" s="1">
        <f t="shared" si="33"/>
        <v>2</v>
      </c>
      <c r="N155" s="1">
        <f t="shared" si="26"/>
        <v>21</v>
      </c>
      <c r="O155" s="1">
        <f t="shared" si="27"/>
        <v>2</v>
      </c>
      <c r="P155" s="1">
        <f t="shared" si="28"/>
        <v>0</v>
      </c>
      <c r="Q155" s="1">
        <f t="shared" si="29"/>
        <v>61.9</v>
      </c>
      <c r="R155" s="1" t="str">
        <f t="shared" si="30"/>
        <v>caught</v>
      </c>
      <c r="S155" s="1" t="str">
        <f t="shared" si="31"/>
        <v xml:space="preserve"> England</v>
      </c>
      <c r="T155" s="1" t="str">
        <f t="shared" si="32"/>
        <v>Leeds</v>
      </c>
      <c r="U155" s="1" t="str">
        <f t="shared" si="34"/>
        <v>Yes</v>
      </c>
      <c r="V155" s="1"/>
      <c r="W155" s="1"/>
      <c r="X155" s="1"/>
      <c r="Y155" s="1"/>
      <c r="Z155" s="1"/>
    </row>
    <row r="156" spans="1:26" ht="14.25" customHeight="1">
      <c r="A156" s="1"/>
      <c r="B156" s="1">
        <v>139</v>
      </c>
      <c r="C156" s="1" t="s">
        <v>151</v>
      </c>
      <c r="D156" s="1" t="s">
        <v>202</v>
      </c>
      <c r="E156" s="1" t="s">
        <v>131</v>
      </c>
      <c r="F156" s="1" t="s">
        <v>131</v>
      </c>
      <c r="G156" s="1" t="s">
        <v>324</v>
      </c>
      <c r="H156" s="1" t="s">
        <v>24</v>
      </c>
      <c r="I156" s="1" t="s">
        <v>163</v>
      </c>
      <c r="J156" s="1" t="s">
        <v>96</v>
      </c>
      <c r="K156" s="1"/>
      <c r="L156" s="1" t="str">
        <f t="shared" si="25"/>
        <v>No</v>
      </c>
      <c r="M156" s="1">
        <f t="shared" si="33"/>
        <v>62</v>
      </c>
      <c r="N156" s="1">
        <f t="shared" si="26"/>
        <v>5</v>
      </c>
      <c r="O156" s="1">
        <f t="shared" si="27"/>
        <v>0</v>
      </c>
      <c r="P156" s="1">
        <f t="shared" si="28"/>
        <v>0</v>
      </c>
      <c r="Q156" s="1">
        <f t="shared" si="29"/>
        <v>40</v>
      </c>
      <c r="R156" s="1" t="str">
        <f t="shared" si="30"/>
        <v>caught</v>
      </c>
      <c r="S156" s="1" t="str">
        <f t="shared" si="31"/>
        <v xml:space="preserve"> West Indies</v>
      </c>
      <c r="T156" s="1" t="str">
        <f t="shared" si="32"/>
        <v>Kochi</v>
      </c>
      <c r="U156" s="1" t="str">
        <f t="shared" si="34"/>
        <v>Yes</v>
      </c>
      <c r="V156" s="1"/>
      <c r="W156" s="1"/>
      <c r="X156" s="1"/>
      <c r="Y156" s="1"/>
      <c r="Z156" s="1"/>
    </row>
    <row r="157" spans="1:26" ht="14.25" customHeight="1">
      <c r="A157" s="1"/>
      <c r="B157" s="1">
        <v>140</v>
      </c>
      <c r="C157" s="1" t="s">
        <v>364</v>
      </c>
      <c r="D157" s="1" t="s">
        <v>348</v>
      </c>
      <c r="E157" s="1" t="s">
        <v>202</v>
      </c>
      <c r="F157" s="1" t="s">
        <v>131</v>
      </c>
      <c r="G157" s="1" t="s">
        <v>365</v>
      </c>
      <c r="H157" s="1" t="s">
        <v>24</v>
      </c>
      <c r="I157" s="1" t="s">
        <v>163</v>
      </c>
      <c r="J157" s="1" t="s">
        <v>52</v>
      </c>
      <c r="K157" s="1"/>
      <c r="L157" s="1" t="str">
        <f t="shared" si="25"/>
        <v>No</v>
      </c>
      <c r="M157" s="1">
        <f t="shared" si="33"/>
        <v>127</v>
      </c>
      <c r="N157" s="1">
        <f t="shared" si="26"/>
        <v>78</v>
      </c>
      <c r="O157" s="1">
        <f t="shared" si="27"/>
        <v>5</v>
      </c>
      <c r="P157" s="1">
        <f t="shared" si="28"/>
        <v>0</v>
      </c>
      <c r="Q157" s="1">
        <f t="shared" si="29"/>
        <v>79.48</v>
      </c>
      <c r="R157" s="1" t="str">
        <f t="shared" si="30"/>
        <v>caught</v>
      </c>
      <c r="S157" s="1" t="str">
        <f t="shared" si="31"/>
        <v xml:space="preserve"> West Indies</v>
      </c>
      <c r="T157" s="1" t="str">
        <f t="shared" si="32"/>
        <v>Delhi</v>
      </c>
      <c r="U157" s="1" t="str">
        <f t="shared" si="34"/>
        <v>Yes</v>
      </c>
      <c r="V157" s="1"/>
      <c r="W157" s="1"/>
      <c r="X157" s="1"/>
      <c r="Y157" s="1"/>
      <c r="Z157" s="1"/>
    </row>
    <row r="158" spans="1:26" ht="14.25" customHeight="1">
      <c r="A158" s="1"/>
      <c r="B158" s="1">
        <v>141</v>
      </c>
      <c r="C158" s="1" t="s">
        <v>366</v>
      </c>
      <c r="D158" s="1" t="s">
        <v>175</v>
      </c>
      <c r="E158" s="1" t="s">
        <v>325</v>
      </c>
      <c r="F158" s="1" t="s">
        <v>148</v>
      </c>
      <c r="G158" s="1" t="s">
        <v>367</v>
      </c>
      <c r="H158" s="1" t="s">
        <v>26</v>
      </c>
      <c r="I158" s="1" t="s">
        <v>163</v>
      </c>
      <c r="J158" s="1" t="s">
        <v>98</v>
      </c>
      <c r="K158" s="1"/>
      <c r="L158" s="1" t="str">
        <f t="shared" si="25"/>
        <v>No</v>
      </c>
      <c r="M158" s="1">
        <f t="shared" si="33"/>
        <v>22</v>
      </c>
      <c r="N158" s="1">
        <f t="shared" si="26"/>
        <v>114</v>
      </c>
      <c r="O158" s="1">
        <f t="shared" si="27"/>
        <v>13</v>
      </c>
      <c r="P158" s="1">
        <f t="shared" si="28"/>
        <v>3</v>
      </c>
      <c r="Q158" s="1">
        <f t="shared" si="29"/>
        <v>111.4</v>
      </c>
      <c r="R158" s="1" t="str">
        <f t="shared" si="30"/>
        <v>run out</v>
      </c>
      <c r="S158" s="1" t="str">
        <f t="shared" si="31"/>
        <v xml:space="preserve"> West Indies</v>
      </c>
      <c r="T158" s="1" t="str">
        <f t="shared" si="32"/>
        <v>Dharamsala</v>
      </c>
      <c r="U158" s="1" t="str">
        <f t="shared" si="34"/>
        <v>Yes</v>
      </c>
      <c r="V158" s="1"/>
      <c r="W158" s="1"/>
      <c r="X158" s="1"/>
      <c r="Y158" s="1"/>
      <c r="Z158" s="1"/>
    </row>
    <row r="159" spans="1:26" ht="14.25" customHeight="1">
      <c r="A159" s="1"/>
      <c r="B159" s="1">
        <v>142</v>
      </c>
      <c r="C159" s="1" t="s">
        <v>129</v>
      </c>
      <c r="D159" s="1" t="s">
        <v>246</v>
      </c>
      <c r="E159" s="1" t="s">
        <v>151</v>
      </c>
      <c r="F159" s="1" t="s">
        <v>131</v>
      </c>
      <c r="G159" s="1" t="s">
        <v>368</v>
      </c>
      <c r="H159" s="1" t="s">
        <v>24</v>
      </c>
      <c r="I159" s="1" t="s">
        <v>133</v>
      </c>
      <c r="J159" s="1" t="s">
        <v>86</v>
      </c>
      <c r="K159" s="1"/>
      <c r="L159" s="1" t="str">
        <f t="shared" si="25"/>
        <v>No</v>
      </c>
      <c r="M159" s="1">
        <f t="shared" si="33"/>
        <v>49</v>
      </c>
      <c r="N159" s="1">
        <f t="shared" si="26"/>
        <v>21</v>
      </c>
      <c r="O159" s="1">
        <f t="shared" si="27"/>
        <v>2</v>
      </c>
      <c r="P159" s="1">
        <f t="shared" si="28"/>
        <v>0</v>
      </c>
      <c r="Q159" s="1">
        <f t="shared" si="29"/>
        <v>104.76</v>
      </c>
      <c r="R159" s="1" t="str">
        <f t="shared" si="30"/>
        <v>caught</v>
      </c>
      <c r="S159" s="1" t="str">
        <f t="shared" si="31"/>
        <v xml:space="preserve"> Sri Lanka</v>
      </c>
      <c r="T159" s="1" t="str">
        <f t="shared" si="32"/>
        <v>Cuttack</v>
      </c>
      <c r="U159" s="1" t="str">
        <f t="shared" si="34"/>
        <v>Yes</v>
      </c>
      <c r="V159" s="1"/>
      <c r="W159" s="1"/>
      <c r="X159" s="1"/>
      <c r="Y159" s="1"/>
      <c r="Z159" s="1"/>
    </row>
    <row r="160" spans="1:26" ht="14.25" customHeight="1">
      <c r="A160" s="1"/>
      <c r="B160" s="1">
        <v>143</v>
      </c>
      <c r="C160" s="1" t="s">
        <v>249</v>
      </c>
      <c r="D160" s="1" t="s">
        <v>369</v>
      </c>
      <c r="E160" s="1" t="s">
        <v>151</v>
      </c>
      <c r="F160" s="1" t="s">
        <v>151</v>
      </c>
      <c r="G160" s="1" t="s">
        <v>370</v>
      </c>
      <c r="H160" s="1" t="s">
        <v>24</v>
      </c>
      <c r="I160" s="1" t="s">
        <v>133</v>
      </c>
      <c r="J160" s="1" t="s">
        <v>59</v>
      </c>
      <c r="K160" s="1"/>
      <c r="L160" s="1" t="str">
        <f t="shared" si="25"/>
        <v>No</v>
      </c>
      <c r="M160" s="1">
        <f t="shared" si="33"/>
        <v>53</v>
      </c>
      <c r="N160" s="1">
        <f t="shared" si="26"/>
        <v>44</v>
      </c>
      <c r="O160" s="1">
        <f t="shared" si="27"/>
        <v>2</v>
      </c>
      <c r="P160" s="1">
        <f t="shared" si="28"/>
        <v>2</v>
      </c>
      <c r="Q160" s="1">
        <f t="shared" si="29"/>
        <v>111.36</v>
      </c>
      <c r="R160" s="1" t="str">
        <f t="shared" si="30"/>
        <v>caught</v>
      </c>
      <c r="S160" s="1" t="str">
        <f t="shared" si="31"/>
        <v xml:space="preserve"> Sri Lanka</v>
      </c>
      <c r="T160" s="1" t="str">
        <f t="shared" si="32"/>
        <v>Ahmedabad</v>
      </c>
      <c r="U160" s="1" t="str">
        <f t="shared" si="34"/>
        <v>Yes</v>
      </c>
      <c r="V160" s="1"/>
      <c r="W160" s="1"/>
      <c r="X160" s="1"/>
      <c r="Y160" s="1"/>
      <c r="Z160" s="1"/>
    </row>
    <row r="161" spans="1:26" ht="14.25" customHeight="1">
      <c r="A161" s="1"/>
      <c r="B161" s="1">
        <v>144</v>
      </c>
      <c r="C161" s="1" t="s">
        <v>235</v>
      </c>
      <c r="D161" s="1" t="s">
        <v>334</v>
      </c>
      <c r="E161" s="1" t="s">
        <v>140</v>
      </c>
      <c r="F161" s="1" t="s">
        <v>130</v>
      </c>
      <c r="G161" s="1" t="s">
        <v>371</v>
      </c>
      <c r="H161" s="1" t="s">
        <v>24</v>
      </c>
      <c r="I161" s="1" t="s">
        <v>133</v>
      </c>
      <c r="J161" s="1" t="s">
        <v>85</v>
      </c>
      <c r="K161" s="1"/>
      <c r="L161" s="1" t="str">
        <f t="shared" si="25"/>
        <v>No</v>
      </c>
      <c r="M161" s="1">
        <f t="shared" si="33"/>
        <v>66</v>
      </c>
      <c r="N161" s="1">
        <f t="shared" si="26"/>
        <v>61</v>
      </c>
      <c r="O161" s="1">
        <f t="shared" si="27"/>
        <v>4</v>
      </c>
      <c r="P161" s="1">
        <f t="shared" si="28"/>
        <v>1</v>
      </c>
      <c r="Q161" s="1">
        <f t="shared" si="29"/>
        <v>86.88</v>
      </c>
      <c r="R161" s="1" t="str">
        <f t="shared" si="30"/>
        <v>caught</v>
      </c>
      <c r="S161" s="1" t="str">
        <f t="shared" si="31"/>
        <v xml:space="preserve"> Sri Lanka</v>
      </c>
      <c r="T161" s="1" t="str">
        <f t="shared" si="32"/>
        <v>Hyderabad</v>
      </c>
      <c r="U161" s="1" t="str">
        <f t="shared" si="34"/>
        <v>Yes</v>
      </c>
      <c r="V161" s="1"/>
      <c r="W161" s="1"/>
      <c r="X161" s="1"/>
      <c r="Y161" s="1"/>
      <c r="Z161" s="1"/>
    </row>
    <row r="162" spans="1:26" ht="14.25" customHeight="1">
      <c r="A162" s="1"/>
      <c r="B162" s="1">
        <v>145</v>
      </c>
      <c r="C162" s="1" t="s">
        <v>143</v>
      </c>
      <c r="D162" s="1" t="s">
        <v>218</v>
      </c>
      <c r="E162" s="1" t="s">
        <v>136</v>
      </c>
      <c r="F162" s="1" t="s">
        <v>131</v>
      </c>
      <c r="G162" s="1" t="s">
        <v>372</v>
      </c>
      <c r="H162" s="1" t="s">
        <v>26</v>
      </c>
      <c r="I162" s="1" t="s">
        <v>133</v>
      </c>
      <c r="J162" s="1" t="s">
        <v>51</v>
      </c>
      <c r="K162" s="1"/>
      <c r="L162" s="1" t="str">
        <f t="shared" si="25"/>
        <v>No</v>
      </c>
      <c r="M162" s="1">
        <f t="shared" si="33"/>
        <v>139</v>
      </c>
      <c r="N162" s="1">
        <f t="shared" si="26"/>
        <v>64</v>
      </c>
      <c r="O162" s="1">
        <f t="shared" si="27"/>
        <v>6</v>
      </c>
      <c r="P162" s="1">
        <f t="shared" si="28"/>
        <v>0</v>
      </c>
      <c r="Q162" s="1">
        <f t="shared" si="29"/>
        <v>103.12</v>
      </c>
      <c r="R162" s="1" t="str">
        <f t="shared" si="30"/>
        <v>run out</v>
      </c>
      <c r="S162" s="1" t="str">
        <f t="shared" si="31"/>
        <v xml:space="preserve"> Sri Lanka</v>
      </c>
      <c r="T162" s="1" t="str">
        <f t="shared" si="32"/>
        <v>Eden Gardens</v>
      </c>
      <c r="U162" s="1" t="str">
        <f t="shared" si="34"/>
        <v>Yes</v>
      </c>
      <c r="V162" s="1"/>
      <c r="W162" s="1"/>
      <c r="X162" s="1"/>
      <c r="Y162" s="1"/>
      <c r="Z162" s="1"/>
    </row>
    <row r="163" spans="1:26" ht="14.25" customHeight="1">
      <c r="A163" s="1"/>
      <c r="B163" s="1">
        <v>146</v>
      </c>
      <c r="C163" s="1" t="s">
        <v>373</v>
      </c>
      <c r="D163" s="1" t="s">
        <v>374</v>
      </c>
      <c r="E163" s="1" t="s">
        <v>128</v>
      </c>
      <c r="F163" s="1" t="s">
        <v>148</v>
      </c>
      <c r="G163" s="1" t="s">
        <v>375</v>
      </c>
      <c r="H163" s="1" t="s">
        <v>32</v>
      </c>
      <c r="I163" s="1" t="s">
        <v>133</v>
      </c>
      <c r="J163" s="1" t="s">
        <v>97</v>
      </c>
      <c r="K163" s="1"/>
      <c r="L163" s="1" t="str">
        <f t="shared" si="25"/>
        <v>No</v>
      </c>
      <c r="M163" s="1">
        <f t="shared" si="33"/>
        <v>9</v>
      </c>
      <c r="N163" s="1">
        <f t="shared" si="26"/>
        <v>126</v>
      </c>
      <c r="O163" s="1">
        <f t="shared" si="27"/>
        <v>12</v>
      </c>
      <c r="P163" s="1">
        <f t="shared" si="28"/>
        <v>3</v>
      </c>
      <c r="Q163" s="1">
        <f t="shared" si="29"/>
        <v>110.31</v>
      </c>
      <c r="R163" s="1" t="str">
        <f t="shared" si="30"/>
        <v>not out</v>
      </c>
      <c r="S163" s="1" t="str">
        <f t="shared" si="31"/>
        <v xml:space="preserve"> Sri Lanka</v>
      </c>
      <c r="T163" s="1" t="str">
        <f t="shared" si="32"/>
        <v>Ranchi</v>
      </c>
      <c r="U163" s="1" t="str">
        <f t="shared" si="34"/>
        <v>No</v>
      </c>
      <c r="V163" s="1"/>
      <c r="W163" s="1"/>
      <c r="X163" s="1"/>
      <c r="Y163" s="1"/>
      <c r="Z163" s="1"/>
    </row>
    <row r="164" spans="1:26" ht="14.25" customHeight="1">
      <c r="A164" s="1"/>
      <c r="B164" s="1">
        <v>147</v>
      </c>
      <c r="C164" s="1" t="s">
        <v>161</v>
      </c>
      <c r="D164" s="1" t="s">
        <v>153</v>
      </c>
      <c r="E164" s="1" t="s">
        <v>131</v>
      </c>
      <c r="F164" s="1" t="s">
        <v>131</v>
      </c>
      <c r="G164" s="1" t="s">
        <v>376</v>
      </c>
      <c r="H164" s="1" t="s">
        <v>24</v>
      </c>
      <c r="I164" s="1" t="s">
        <v>158</v>
      </c>
      <c r="J164" s="1" t="s">
        <v>88</v>
      </c>
      <c r="K164" s="1"/>
      <c r="L164" s="1" t="str">
        <f t="shared" si="25"/>
        <v>No</v>
      </c>
      <c r="M164" s="1">
        <f t="shared" si="33"/>
        <v>4</v>
      </c>
      <c r="N164" s="1">
        <f t="shared" si="26"/>
        <v>16</v>
      </c>
      <c r="O164" s="1">
        <f t="shared" si="27"/>
        <v>0</v>
      </c>
      <c r="P164" s="1">
        <f t="shared" si="28"/>
        <v>0</v>
      </c>
      <c r="Q164" s="1">
        <f t="shared" si="29"/>
        <v>56.25</v>
      </c>
      <c r="R164" s="1" t="str">
        <f t="shared" si="30"/>
        <v>caught</v>
      </c>
      <c r="S164" s="1" t="str">
        <f t="shared" si="31"/>
        <v xml:space="preserve"> Australia</v>
      </c>
      <c r="T164" s="1" t="str">
        <f t="shared" si="32"/>
        <v>Melbourne</v>
      </c>
      <c r="U164" s="1" t="str">
        <f t="shared" si="34"/>
        <v>Yes</v>
      </c>
      <c r="V164" s="1"/>
      <c r="W164" s="1"/>
      <c r="X164" s="1"/>
      <c r="Y164" s="1"/>
      <c r="Z164" s="1"/>
    </row>
    <row r="165" spans="1:26" ht="14.25" customHeight="1">
      <c r="A165" s="1"/>
      <c r="B165" s="1">
        <v>148</v>
      </c>
      <c r="C165" s="1" t="s">
        <v>140</v>
      </c>
      <c r="D165" s="1" t="s">
        <v>189</v>
      </c>
      <c r="E165" s="1" t="s">
        <v>131</v>
      </c>
      <c r="F165" s="1" t="s">
        <v>131</v>
      </c>
      <c r="G165" s="1" t="s">
        <v>204</v>
      </c>
      <c r="H165" s="1" t="s">
        <v>24</v>
      </c>
      <c r="I165" s="1" t="s">
        <v>234</v>
      </c>
      <c r="J165" s="1" t="s">
        <v>91</v>
      </c>
      <c r="K165" s="1"/>
      <c r="L165" s="1" t="str">
        <f t="shared" si="25"/>
        <v>No</v>
      </c>
      <c r="M165" s="1">
        <f t="shared" si="33"/>
        <v>3</v>
      </c>
      <c r="N165" s="1">
        <f t="shared" si="26"/>
        <v>8</v>
      </c>
      <c r="O165" s="1">
        <f t="shared" si="27"/>
        <v>0</v>
      </c>
      <c r="P165" s="1">
        <f t="shared" si="28"/>
        <v>0</v>
      </c>
      <c r="Q165" s="1">
        <f t="shared" si="29"/>
        <v>50</v>
      </c>
      <c r="R165" s="1" t="str">
        <f t="shared" si="30"/>
        <v>caught</v>
      </c>
      <c r="S165" s="1" t="str">
        <f t="shared" si="31"/>
        <v xml:space="preserve"> England</v>
      </c>
      <c r="T165" s="1" t="str">
        <f t="shared" si="32"/>
        <v>Brisbane</v>
      </c>
      <c r="U165" s="1" t="str">
        <f t="shared" si="34"/>
        <v>Yes</v>
      </c>
      <c r="V165" s="1"/>
      <c r="W165" s="1"/>
      <c r="X165" s="1"/>
      <c r="Y165" s="1"/>
      <c r="Z165" s="1"/>
    </row>
    <row r="166" spans="1:26" ht="14.25" customHeight="1">
      <c r="A166" s="1"/>
      <c r="B166" s="1">
        <v>149</v>
      </c>
      <c r="C166" s="1" t="s">
        <v>377</v>
      </c>
      <c r="D166" s="1" t="s">
        <v>161</v>
      </c>
      <c r="E166" s="1" t="s">
        <v>131</v>
      </c>
      <c r="F166" s="1" t="s">
        <v>131</v>
      </c>
      <c r="G166" s="1" t="s">
        <v>229</v>
      </c>
      <c r="H166" s="1" t="s">
        <v>32</v>
      </c>
      <c r="I166" s="1" t="s">
        <v>158</v>
      </c>
      <c r="J166" s="1" t="s">
        <v>92</v>
      </c>
      <c r="K166" s="1"/>
      <c r="L166" s="1" t="str">
        <f t="shared" si="25"/>
        <v>No</v>
      </c>
      <c r="M166" s="1">
        <f t="shared" si="33"/>
        <v>8</v>
      </c>
      <c r="N166" s="1">
        <f t="shared" si="26"/>
        <v>9</v>
      </c>
      <c r="O166" s="1">
        <f t="shared" si="27"/>
        <v>0</v>
      </c>
      <c r="P166" s="1">
        <f t="shared" si="28"/>
        <v>0</v>
      </c>
      <c r="Q166" s="1">
        <f t="shared" si="29"/>
        <v>33.33</v>
      </c>
      <c r="R166" s="1" t="str">
        <f t="shared" si="30"/>
        <v>not out</v>
      </c>
      <c r="S166" s="1" t="str">
        <f t="shared" si="31"/>
        <v xml:space="preserve"> Australia</v>
      </c>
      <c r="T166" s="1" t="str">
        <f t="shared" si="32"/>
        <v>Sydney</v>
      </c>
      <c r="U166" s="1" t="str">
        <f t="shared" si="34"/>
        <v>No</v>
      </c>
      <c r="V166" s="1"/>
      <c r="W166" s="1"/>
      <c r="X166" s="1"/>
      <c r="Y166" s="1"/>
      <c r="Z166" s="1"/>
    </row>
    <row r="167" spans="1:26" ht="14.25" customHeight="1">
      <c r="A167" s="1"/>
      <c r="B167" s="1">
        <v>150</v>
      </c>
      <c r="C167" s="1" t="s">
        <v>189</v>
      </c>
      <c r="D167" s="1" t="s">
        <v>170</v>
      </c>
      <c r="E167" s="1" t="s">
        <v>131</v>
      </c>
      <c r="F167" s="1" t="s">
        <v>131</v>
      </c>
      <c r="G167" s="1" t="s">
        <v>378</v>
      </c>
      <c r="H167" s="1" t="s">
        <v>24</v>
      </c>
      <c r="I167" s="1" t="s">
        <v>234</v>
      </c>
      <c r="J167" s="1" t="s">
        <v>89</v>
      </c>
      <c r="K167" s="1"/>
      <c r="L167" s="1" t="str">
        <f t="shared" si="25"/>
        <v>No</v>
      </c>
      <c r="M167" s="1">
        <f t="shared" si="33"/>
        <v>107</v>
      </c>
      <c r="N167" s="1">
        <f t="shared" si="26"/>
        <v>19</v>
      </c>
      <c r="O167" s="1">
        <f t="shared" si="27"/>
        <v>0</v>
      </c>
      <c r="P167" s="1">
        <f t="shared" si="28"/>
        <v>0</v>
      </c>
      <c r="Q167" s="1">
        <f t="shared" si="29"/>
        <v>42.1</v>
      </c>
      <c r="R167" s="1" t="str">
        <f t="shared" si="30"/>
        <v>caught</v>
      </c>
      <c r="S167" s="1" t="str">
        <f t="shared" si="31"/>
        <v xml:space="preserve"> England</v>
      </c>
      <c r="T167" s="1" t="str">
        <f t="shared" si="32"/>
        <v>W.A.C.A</v>
      </c>
      <c r="U167" s="1" t="str">
        <f t="shared" si="34"/>
        <v>Yes</v>
      </c>
      <c r="V167" s="1"/>
      <c r="W167" s="1"/>
      <c r="X167" s="1"/>
      <c r="Y167" s="1"/>
      <c r="Z167" s="1"/>
    </row>
    <row r="168" spans="1:26" ht="14.25" customHeight="1">
      <c r="A168" s="1"/>
      <c r="B168" s="1">
        <v>151</v>
      </c>
      <c r="C168" s="1" t="s">
        <v>174</v>
      </c>
      <c r="D168" s="1" t="s">
        <v>374</v>
      </c>
      <c r="E168" s="1" t="s">
        <v>189</v>
      </c>
      <c r="F168" s="1" t="s">
        <v>131</v>
      </c>
      <c r="G168" s="1" t="s">
        <v>379</v>
      </c>
      <c r="H168" s="1" t="s">
        <v>24</v>
      </c>
      <c r="I168" s="1" t="s">
        <v>156</v>
      </c>
      <c r="J168" s="1" t="s">
        <v>90</v>
      </c>
      <c r="K168" s="1"/>
      <c r="L168" s="1" t="str">
        <f t="shared" si="25"/>
        <v>No</v>
      </c>
      <c r="M168" s="1">
        <f t="shared" si="33"/>
        <v>46</v>
      </c>
      <c r="N168" s="1">
        <f t="shared" si="26"/>
        <v>126</v>
      </c>
      <c r="O168" s="1">
        <f t="shared" si="27"/>
        <v>8</v>
      </c>
      <c r="P168" s="1">
        <f t="shared" si="28"/>
        <v>0</v>
      </c>
      <c r="Q168" s="1">
        <f t="shared" si="29"/>
        <v>84.92</v>
      </c>
      <c r="R168" s="1" t="str">
        <f t="shared" si="30"/>
        <v>caught</v>
      </c>
      <c r="S168" s="1" t="str">
        <f t="shared" si="31"/>
        <v xml:space="preserve"> Pakistan</v>
      </c>
      <c r="T168" s="1" t="str">
        <f t="shared" si="32"/>
        <v>Adelaide</v>
      </c>
      <c r="U168" s="1" t="str">
        <f t="shared" si="34"/>
        <v>Yes</v>
      </c>
      <c r="V168" s="1"/>
      <c r="W168" s="1"/>
      <c r="X168" s="1"/>
      <c r="Y168" s="1"/>
      <c r="Z168" s="1"/>
    </row>
    <row r="169" spans="1:26" ht="14.25" customHeight="1">
      <c r="A169" s="1"/>
      <c r="B169" s="1">
        <v>152</v>
      </c>
      <c r="C169" s="1" t="s">
        <v>147</v>
      </c>
      <c r="D169" s="1" t="s">
        <v>380</v>
      </c>
      <c r="E169" s="1" t="s">
        <v>148</v>
      </c>
      <c r="F169" s="1" t="s">
        <v>131</v>
      </c>
      <c r="G169" s="1" t="s">
        <v>381</v>
      </c>
      <c r="H169" s="1" t="s">
        <v>24</v>
      </c>
      <c r="I169" s="1" t="s">
        <v>191</v>
      </c>
      <c r="J169" s="1" t="s">
        <v>88</v>
      </c>
      <c r="K169" s="1"/>
      <c r="L169" s="1" t="str">
        <f t="shared" si="25"/>
        <v>No</v>
      </c>
      <c r="M169" s="1">
        <f t="shared" si="33"/>
        <v>33</v>
      </c>
      <c r="N169" s="1">
        <f t="shared" si="26"/>
        <v>60</v>
      </c>
      <c r="O169" s="1">
        <f t="shared" si="27"/>
        <v>3</v>
      </c>
      <c r="P169" s="1">
        <f t="shared" si="28"/>
        <v>0</v>
      </c>
      <c r="Q169" s="1">
        <f t="shared" si="29"/>
        <v>76.66</v>
      </c>
      <c r="R169" s="1" t="str">
        <f t="shared" si="30"/>
        <v>caught</v>
      </c>
      <c r="S169" s="1" t="str">
        <f t="shared" si="31"/>
        <v xml:space="preserve"> South Africa</v>
      </c>
      <c r="T169" s="1" t="str">
        <f t="shared" si="32"/>
        <v>Melbourne</v>
      </c>
      <c r="U169" s="1" t="str">
        <f t="shared" si="34"/>
        <v>Yes</v>
      </c>
      <c r="V169" s="1"/>
      <c r="W169" s="1"/>
      <c r="X169" s="1"/>
      <c r="Y169" s="1"/>
      <c r="Z169" s="1"/>
    </row>
    <row r="170" spans="1:26" ht="14.25" customHeight="1">
      <c r="A170" s="1"/>
      <c r="B170" s="1">
        <v>153</v>
      </c>
      <c r="C170" s="1" t="s">
        <v>382</v>
      </c>
      <c r="D170" s="1" t="s">
        <v>165</v>
      </c>
      <c r="E170" s="1" t="s">
        <v>202</v>
      </c>
      <c r="F170" s="1" t="s">
        <v>131</v>
      </c>
      <c r="G170" s="1" t="s">
        <v>292</v>
      </c>
      <c r="H170" s="1" t="s">
        <v>32</v>
      </c>
      <c r="I170" s="1" t="s">
        <v>383</v>
      </c>
      <c r="J170" s="1" t="s">
        <v>89</v>
      </c>
      <c r="K170" s="1"/>
      <c r="L170" s="1" t="str">
        <f t="shared" si="25"/>
        <v>No</v>
      </c>
      <c r="M170" s="1">
        <f t="shared" si="33"/>
        <v>33</v>
      </c>
      <c r="N170" s="1">
        <f t="shared" si="26"/>
        <v>41</v>
      </c>
      <c r="O170" s="1">
        <f t="shared" si="27"/>
        <v>5</v>
      </c>
      <c r="P170" s="1">
        <f t="shared" si="28"/>
        <v>0</v>
      </c>
      <c r="Q170" s="1">
        <f t="shared" si="29"/>
        <v>80.48</v>
      </c>
      <c r="R170" s="1" t="str">
        <f t="shared" si="30"/>
        <v>not out</v>
      </c>
      <c r="S170" s="1" t="str">
        <f t="shared" si="31"/>
        <v xml:space="preserve"> U.A.E.</v>
      </c>
      <c r="T170" s="1" t="str">
        <f t="shared" si="32"/>
        <v>W.A.C.A</v>
      </c>
      <c r="U170" s="1" t="str">
        <f t="shared" si="34"/>
        <v>No</v>
      </c>
      <c r="V170" s="1"/>
      <c r="W170" s="1"/>
      <c r="X170" s="1"/>
      <c r="Y170" s="1"/>
      <c r="Z170" s="1"/>
    </row>
    <row r="171" spans="1:26" ht="14.25" customHeight="1">
      <c r="A171" s="1"/>
      <c r="B171" s="1">
        <v>154</v>
      </c>
      <c r="C171" s="1" t="s">
        <v>244</v>
      </c>
      <c r="D171" s="1" t="s">
        <v>258</v>
      </c>
      <c r="E171" s="1" t="s">
        <v>202</v>
      </c>
      <c r="F171" s="1" t="s">
        <v>131</v>
      </c>
      <c r="G171" s="1" t="s">
        <v>384</v>
      </c>
      <c r="H171" s="1" t="s">
        <v>24</v>
      </c>
      <c r="I171" s="1" t="s">
        <v>163</v>
      </c>
      <c r="J171" s="1" t="s">
        <v>89</v>
      </c>
      <c r="K171" s="1"/>
      <c r="L171" s="1" t="str">
        <f t="shared" si="25"/>
        <v>No</v>
      </c>
      <c r="M171" s="1">
        <f t="shared" si="33"/>
        <v>44</v>
      </c>
      <c r="N171" s="1">
        <f t="shared" si="26"/>
        <v>36</v>
      </c>
      <c r="O171" s="1">
        <f t="shared" si="27"/>
        <v>5</v>
      </c>
      <c r="P171" s="1">
        <f t="shared" si="28"/>
        <v>0</v>
      </c>
      <c r="Q171" s="1">
        <f t="shared" si="29"/>
        <v>91.66</v>
      </c>
      <c r="R171" s="1" t="str">
        <f t="shared" si="30"/>
        <v>caught</v>
      </c>
      <c r="S171" s="1" t="str">
        <f t="shared" si="31"/>
        <v xml:space="preserve"> West Indies</v>
      </c>
      <c r="T171" s="1" t="str">
        <f t="shared" si="32"/>
        <v>W.A.C.A</v>
      </c>
      <c r="U171" s="1" t="str">
        <f t="shared" si="34"/>
        <v>Yes</v>
      </c>
      <c r="V171" s="1"/>
      <c r="W171" s="1"/>
      <c r="X171" s="1"/>
      <c r="Y171" s="1"/>
      <c r="Z171" s="1"/>
    </row>
    <row r="172" spans="1:26" ht="14.25" customHeight="1">
      <c r="A172" s="1"/>
      <c r="B172" s="1">
        <v>155</v>
      </c>
      <c r="C172" s="1" t="s">
        <v>385</v>
      </c>
      <c r="D172" s="1" t="s">
        <v>386</v>
      </c>
      <c r="E172" s="1" t="s">
        <v>140</v>
      </c>
      <c r="F172" s="1" t="s">
        <v>130</v>
      </c>
      <c r="G172" s="1" t="s">
        <v>368</v>
      </c>
      <c r="H172" s="1" t="s">
        <v>32</v>
      </c>
      <c r="I172" s="1" t="s">
        <v>237</v>
      </c>
      <c r="J172" s="1" t="s">
        <v>103</v>
      </c>
      <c r="K172" s="1"/>
      <c r="L172" s="1" t="str">
        <f t="shared" si="25"/>
        <v>No</v>
      </c>
      <c r="M172" s="1">
        <f t="shared" si="33"/>
        <v>38</v>
      </c>
      <c r="N172" s="1">
        <f t="shared" si="26"/>
        <v>42</v>
      </c>
      <c r="O172" s="1">
        <f t="shared" si="27"/>
        <v>4</v>
      </c>
      <c r="P172" s="1">
        <f t="shared" si="28"/>
        <v>1</v>
      </c>
      <c r="Q172" s="1">
        <f t="shared" si="29"/>
        <v>104.76</v>
      </c>
      <c r="R172" s="1" t="str">
        <f t="shared" si="30"/>
        <v>not out</v>
      </c>
      <c r="S172" s="1" t="str">
        <f t="shared" si="31"/>
        <v xml:space="preserve"> Ireland</v>
      </c>
      <c r="T172" s="1" t="str">
        <f t="shared" si="32"/>
        <v>Hamilton</v>
      </c>
      <c r="U172" s="1" t="str">
        <f t="shared" si="34"/>
        <v>No</v>
      </c>
      <c r="V172" s="1"/>
      <c r="W172" s="1"/>
      <c r="X172" s="1"/>
      <c r="Y172" s="1"/>
      <c r="Z172" s="1"/>
    </row>
    <row r="173" spans="1:26" ht="14.25" customHeight="1">
      <c r="A173" s="1"/>
      <c r="B173" s="1">
        <v>156</v>
      </c>
      <c r="C173" s="1" t="s">
        <v>139</v>
      </c>
      <c r="D173" s="1" t="s">
        <v>355</v>
      </c>
      <c r="E173" s="1" t="s">
        <v>140</v>
      </c>
      <c r="F173" s="1" t="s">
        <v>131</v>
      </c>
      <c r="G173" s="1" t="s">
        <v>387</v>
      </c>
      <c r="H173" s="1" t="s">
        <v>29</v>
      </c>
      <c r="I173" s="1" t="s">
        <v>195</v>
      </c>
      <c r="J173" s="1" t="s">
        <v>104</v>
      </c>
      <c r="K173" s="1"/>
      <c r="L173" s="1" t="str">
        <f t="shared" si="25"/>
        <v>No</v>
      </c>
      <c r="M173" s="1">
        <f t="shared" si="33"/>
        <v>3</v>
      </c>
      <c r="N173" s="1">
        <f t="shared" si="26"/>
        <v>48</v>
      </c>
      <c r="O173" s="1">
        <f t="shared" si="27"/>
        <v>4</v>
      </c>
      <c r="P173" s="1">
        <f t="shared" si="28"/>
        <v>0</v>
      </c>
      <c r="Q173" s="1">
        <f t="shared" si="29"/>
        <v>79.16</v>
      </c>
      <c r="R173" s="1" t="str">
        <f t="shared" si="30"/>
        <v>bowled</v>
      </c>
      <c r="S173" s="1" t="str">
        <f t="shared" si="31"/>
        <v xml:space="preserve"> Zimbabwe</v>
      </c>
      <c r="T173" s="1" t="str">
        <f t="shared" si="32"/>
        <v>Auckland</v>
      </c>
      <c r="U173" s="1" t="str">
        <f t="shared" si="34"/>
        <v>Yes</v>
      </c>
      <c r="V173" s="1"/>
      <c r="W173" s="1"/>
      <c r="X173" s="1"/>
      <c r="Y173" s="1"/>
      <c r="Z173" s="1"/>
    </row>
    <row r="174" spans="1:26" ht="14.25" customHeight="1">
      <c r="A174" s="1"/>
      <c r="B174" s="1">
        <v>157</v>
      </c>
      <c r="C174" s="1" t="s">
        <v>148</v>
      </c>
      <c r="D174" s="1" t="s">
        <v>189</v>
      </c>
      <c r="E174" s="1" t="s">
        <v>131</v>
      </c>
      <c r="F174" s="1" t="s">
        <v>131</v>
      </c>
      <c r="G174" s="1" t="s">
        <v>388</v>
      </c>
      <c r="H174" s="1" t="s">
        <v>24</v>
      </c>
      <c r="I174" s="1" t="s">
        <v>182</v>
      </c>
      <c r="J174" s="1" t="s">
        <v>88</v>
      </c>
      <c r="K174" s="1"/>
      <c r="L174" s="1" t="str">
        <f t="shared" si="25"/>
        <v>No</v>
      </c>
      <c r="M174" s="1">
        <f t="shared" si="33"/>
        <v>1</v>
      </c>
      <c r="N174" s="1">
        <f t="shared" si="26"/>
        <v>8</v>
      </c>
      <c r="O174" s="1">
        <f t="shared" si="27"/>
        <v>0</v>
      </c>
      <c r="P174" s="1">
        <f t="shared" si="28"/>
        <v>0</v>
      </c>
      <c r="Q174" s="1">
        <f t="shared" si="29"/>
        <v>37.5</v>
      </c>
      <c r="R174" s="1" t="str">
        <f t="shared" si="30"/>
        <v>caught</v>
      </c>
      <c r="S174" s="1" t="str">
        <f t="shared" si="31"/>
        <v xml:space="preserve"> Bangladesh</v>
      </c>
      <c r="T174" s="1" t="str">
        <f t="shared" si="32"/>
        <v>Melbourne</v>
      </c>
      <c r="U174" s="1" t="str">
        <f t="shared" si="34"/>
        <v>Yes</v>
      </c>
      <c r="V174" s="1"/>
      <c r="W174" s="1"/>
      <c r="X174" s="1"/>
      <c r="Y174" s="1"/>
      <c r="Z174" s="1"/>
    </row>
    <row r="175" spans="1:26" ht="14.25" customHeight="1">
      <c r="A175" s="1"/>
      <c r="B175" s="1">
        <v>158</v>
      </c>
      <c r="C175" s="1" t="s">
        <v>130</v>
      </c>
      <c r="D175" s="1" t="s">
        <v>325</v>
      </c>
      <c r="E175" s="1" t="s">
        <v>131</v>
      </c>
      <c r="F175" s="1" t="s">
        <v>131</v>
      </c>
      <c r="G175" s="1" t="s">
        <v>389</v>
      </c>
      <c r="H175" s="1" t="s">
        <v>24</v>
      </c>
      <c r="I175" s="1" t="s">
        <v>158</v>
      </c>
      <c r="J175" s="1" t="s">
        <v>92</v>
      </c>
      <c r="K175" s="1"/>
      <c r="L175" s="1" t="str">
        <f t="shared" si="25"/>
        <v>No</v>
      </c>
      <c r="M175" s="1">
        <f t="shared" si="33"/>
        <v>1</v>
      </c>
      <c r="N175" s="1">
        <f t="shared" si="26"/>
        <v>13</v>
      </c>
      <c r="O175" s="1">
        <f t="shared" si="27"/>
        <v>0</v>
      </c>
      <c r="P175" s="1">
        <f t="shared" si="28"/>
        <v>0</v>
      </c>
      <c r="Q175" s="1">
        <f t="shared" si="29"/>
        <v>7.69</v>
      </c>
      <c r="R175" s="1" t="str">
        <f t="shared" si="30"/>
        <v>caught</v>
      </c>
      <c r="S175" s="1" t="str">
        <f t="shared" si="31"/>
        <v xml:space="preserve"> Australia</v>
      </c>
      <c r="T175" s="1" t="str">
        <f t="shared" si="32"/>
        <v>Sydney</v>
      </c>
      <c r="U175" s="1" t="str">
        <f t="shared" si="34"/>
        <v>Yes</v>
      </c>
      <c r="V175" s="1"/>
      <c r="W175" s="1"/>
      <c r="X175" s="1"/>
      <c r="Y175" s="1"/>
      <c r="Z175" s="1"/>
    </row>
    <row r="176" spans="1:26" ht="14.25" customHeight="1">
      <c r="A176" s="1"/>
      <c r="B176" s="1">
        <v>159</v>
      </c>
      <c r="C176" s="1" t="s">
        <v>130</v>
      </c>
      <c r="D176" s="1" t="s">
        <v>140</v>
      </c>
      <c r="E176" s="1" t="s">
        <v>131</v>
      </c>
      <c r="F176" s="1" t="s">
        <v>131</v>
      </c>
      <c r="G176" s="1" t="s">
        <v>190</v>
      </c>
      <c r="H176" s="1" t="s">
        <v>24</v>
      </c>
      <c r="I176" s="1" t="s">
        <v>182</v>
      </c>
      <c r="J176" s="1" t="s">
        <v>53</v>
      </c>
      <c r="K176" s="1"/>
      <c r="L176" s="1" t="str">
        <f t="shared" si="25"/>
        <v>No</v>
      </c>
      <c r="M176" s="1">
        <f t="shared" si="33"/>
        <v>23</v>
      </c>
      <c r="N176" s="1">
        <f t="shared" si="26"/>
        <v>4</v>
      </c>
      <c r="O176" s="1">
        <f t="shared" si="27"/>
        <v>0</v>
      </c>
      <c r="P176" s="1">
        <f t="shared" si="28"/>
        <v>0</v>
      </c>
      <c r="Q176" s="1">
        <f t="shared" si="29"/>
        <v>25</v>
      </c>
      <c r="R176" s="1" t="str">
        <f t="shared" si="30"/>
        <v>caught</v>
      </c>
      <c r="S176" s="1" t="str">
        <f t="shared" si="31"/>
        <v xml:space="preserve"> Bangladesh</v>
      </c>
      <c r="T176" s="1" t="str">
        <f t="shared" si="32"/>
        <v>Mirpur</v>
      </c>
      <c r="U176" s="1" t="str">
        <f t="shared" si="34"/>
        <v>Yes</v>
      </c>
      <c r="V176" s="1"/>
      <c r="W176" s="1"/>
      <c r="X176" s="1"/>
      <c r="Y176" s="1"/>
      <c r="Z176" s="1"/>
    </row>
    <row r="177" spans="1:26" ht="14.25" customHeight="1">
      <c r="A177" s="1"/>
      <c r="B177" s="1">
        <v>160</v>
      </c>
      <c r="C177" s="1" t="s">
        <v>304</v>
      </c>
      <c r="D177" s="1" t="s">
        <v>169</v>
      </c>
      <c r="E177" s="1" t="s">
        <v>148</v>
      </c>
      <c r="F177" s="1" t="s">
        <v>130</v>
      </c>
      <c r="G177" s="1" t="s">
        <v>390</v>
      </c>
      <c r="H177" s="1" t="s">
        <v>19</v>
      </c>
      <c r="I177" s="1" t="s">
        <v>182</v>
      </c>
      <c r="J177" s="1" t="s">
        <v>53</v>
      </c>
      <c r="K177" s="1"/>
      <c r="L177" s="1" t="str">
        <f t="shared" si="25"/>
        <v>No</v>
      </c>
      <c r="M177" s="1">
        <f t="shared" si="33"/>
        <v>25</v>
      </c>
      <c r="N177" s="1">
        <f t="shared" si="26"/>
        <v>27</v>
      </c>
      <c r="O177" s="1">
        <f t="shared" si="27"/>
        <v>3</v>
      </c>
      <c r="P177" s="1">
        <f t="shared" si="28"/>
        <v>1</v>
      </c>
      <c r="Q177" s="1">
        <f t="shared" si="29"/>
        <v>85.18</v>
      </c>
      <c r="R177" s="1" t="str">
        <f t="shared" si="30"/>
        <v>lbw</v>
      </c>
      <c r="S177" s="1" t="str">
        <f t="shared" si="31"/>
        <v xml:space="preserve"> Bangladesh</v>
      </c>
      <c r="T177" s="1" t="str">
        <f t="shared" si="32"/>
        <v>Mirpur</v>
      </c>
      <c r="U177" s="1" t="str">
        <f t="shared" si="34"/>
        <v>Yes</v>
      </c>
      <c r="V177" s="1"/>
      <c r="W177" s="1"/>
      <c r="X177" s="1"/>
      <c r="Y177" s="1"/>
      <c r="Z177" s="1"/>
    </row>
    <row r="178" spans="1:26" ht="14.25" customHeight="1">
      <c r="A178" s="1"/>
      <c r="B178" s="1">
        <v>161</v>
      </c>
      <c r="C178" s="1" t="s">
        <v>138</v>
      </c>
      <c r="D178" s="1" t="s">
        <v>248</v>
      </c>
      <c r="E178" s="1" t="s">
        <v>130</v>
      </c>
      <c r="F178" s="1" t="s">
        <v>131</v>
      </c>
      <c r="G178" s="1" t="s">
        <v>206</v>
      </c>
      <c r="H178" s="1" t="s">
        <v>29</v>
      </c>
      <c r="I178" s="1" t="s">
        <v>182</v>
      </c>
      <c r="J178" s="1" t="s">
        <v>53</v>
      </c>
      <c r="K178" s="1"/>
      <c r="L178" s="1" t="str">
        <f t="shared" si="25"/>
        <v>No</v>
      </c>
      <c r="M178" s="1">
        <f t="shared" si="33"/>
        <v>11</v>
      </c>
      <c r="N178" s="1">
        <f t="shared" si="26"/>
        <v>35</v>
      </c>
      <c r="O178" s="1">
        <f t="shared" si="27"/>
        <v>1</v>
      </c>
      <c r="P178" s="1">
        <f t="shared" si="28"/>
        <v>0</v>
      </c>
      <c r="Q178" s="1">
        <f t="shared" si="29"/>
        <v>71.42</v>
      </c>
      <c r="R178" s="1" t="str">
        <f t="shared" si="30"/>
        <v>bowled</v>
      </c>
      <c r="S178" s="1" t="str">
        <f t="shared" si="31"/>
        <v xml:space="preserve"> Bangladesh</v>
      </c>
      <c r="T178" s="1" t="str">
        <f t="shared" si="32"/>
        <v>Mirpur</v>
      </c>
      <c r="U178" s="1" t="str">
        <f t="shared" si="34"/>
        <v>Yes</v>
      </c>
      <c r="V178" s="1"/>
      <c r="W178" s="1"/>
      <c r="X178" s="1"/>
      <c r="Y178" s="1"/>
      <c r="Z178" s="1"/>
    </row>
    <row r="179" spans="1:26" ht="14.25" customHeight="1">
      <c r="A179" s="1"/>
      <c r="B179" s="1">
        <v>162</v>
      </c>
      <c r="C179" s="1" t="s">
        <v>176</v>
      </c>
      <c r="D179" s="1" t="s">
        <v>199</v>
      </c>
      <c r="E179" s="1" t="s">
        <v>131</v>
      </c>
      <c r="F179" s="1" t="s">
        <v>131</v>
      </c>
      <c r="G179" s="1" t="s">
        <v>391</v>
      </c>
      <c r="H179" s="1" t="s">
        <v>24</v>
      </c>
      <c r="I179" s="1" t="s">
        <v>191</v>
      </c>
      <c r="J179" s="1" t="s">
        <v>101</v>
      </c>
      <c r="K179" s="1"/>
      <c r="L179" s="1" t="str">
        <f t="shared" si="25"/>
        <v>No</v>
      </c>
      <c r="M179" s="1">
        <f t="shared" si="33"/>
        <v>12</v>
      </c>
      <c r="N179" s="1">
        <f t="shared" si="26"/>
        <v>18</v>
      </c>
      <c r="O179" s="1">
        <f t="shared" si="27"/>
        <v>0</v>
      </c>
      <c r="P179" s="1">
        <f t="shared" si="28"/>
        <v>0</v>
      </c>
      <c r="Q179" s="1">
        <f t="shared" si="29"/>
        <v>61.11</v>
      </c>
      <c r="R179" s="1" t="str">
        <f t="shared" si="30"/>
        <v>caught</v>
      </c>
      <c r="S179" s="1" t="str">
        <f t="shared" si="31"/>
        <v xml:space="preserve"> South Africa</v>
      </c>
      <c r="T179" s="1" t="str">
        <f t="shared" si="32"/>
        <v>Kanpur</v>
      </c>
      <c r="U179" s="1" t="str">
        <f t="shared" si="34"/>
        <v>Yes</v>
      </c>
      <c r="V179" s="1"/>
      <c r="W179" s="1"/>
      <c r="X179" s="1"/>
      <c r="Y179" s="1"/>
      <c r="Z179" s="1"/>
    </row>
    <row r="180" spans="1:26" ht="14.25" customHeight="1">
      <c r="A180" s="1"/>
      <c r="B180" s="1">
        <v>163</v>
      </c>
      <c r="C180" s="1" t="s">
        <v>128</v>
      </c>
      <c r="D180" s="1" t="s">
        <v>199</v>
      </c>
      <c r="E180" s="1" t="s">
        <v>131</v>
      </c>
      <c r="F180" s="1" t="s">
        <v>131</v>
      </c>
      <c r="G180" s="1" t="s">
        <v>155</v>
      </c>
      <c r="H180" s="1" t="s">
        <v>26</v>
      </c>
      <c r="I180" s="1" t="s">
        <v>191</v>
      </c>
      <c r="J180" s="1" t="s">
        <v>87</v>
      </c>
      <c r="K180" s="1"/>
      <c r="L180" s="1" t="str">
        <f t="shared" si="25"/>
        <v>No</v>
      </c>
      <c r="M180" s="1">
        <f t="shared" si="33"/>
        <v>77</v>
      </c>
      <c r="N180" s="1">
        <f t="shared" si="26"/>
        <v>18</v>
      </c>
      <c r="O180" s="1">
        <f t="shared" si="27"/>
        <v>0</v>
      </c>
      <c r="P180" s="1">
        <f t="shared" si="28"/>
        <v>0</v>
      </c>
      <c r="Q180" s="1">
        <f t="shared" si="29"/>
        <v>66.66</v>
      </c>
      <c r="R180" s="1" t="str">
        <f t="shared" si="30"/>
        <v>run out</v>
      </c>
      <c r="S180" s="1" t="str">
        <f t="shared" si="31"/>
        <v xml:space="preserve"> South Africa</v>
      </c>
      <c r="T180" s="1" t="str">
        <f t="shared" si="32"/>
        <v>Indore</v>
      </c>
      <c r="U180" s="1" t="str">
        <f t="shared" si="34"/>
        <v>Yes</v>
      </c>
      <c r="V180" s="1"/>
      <c r="W180" s="1"/>
      <c r="X180" s="1"/>
      <c r="Y180" s="1"/>
      <c r="Z180" s="1"/>
    </row>
    <row r="181" spans="1:26" ht="14.25" customHeight="1">
      <c r="A181" s="1"/>
      <c r="B181" s="1">
        <v>164</v>
      </c>
      <c r="C181" s="1" t="s">
        <v>280</v>
      </c>
      <c r="D181" s="1" t="s">
        <v>269</v>
      </c>
      <c r="E181" s="1" t="s">
        <v>202</v>
      </c>
      <c r="F181" s="1" t="s">
        <v>131</v>
      </c>
      <c r="G181" s="1" t="s">
        <v>286</v>
      </c>
      <c r="H181" s="1" t="s">
        <v>24</v>
      </c>
      <c r="I181" s="1" t="s">
        <v>191</v>
      </c>
      <c r="J181" s="1" t="s">
        <v>48</v>
      </c>
      <c r="K181" s="1"/>
      <c r="L181" s="1" t="str">
        <f t="shared" si="25"/>
        <v>No</v>
      </c>
      <c r="M181" s="1">
        <f t="shared" si="33"/>
        <v>138</v>
      </c>
      <c r="N181" s="1">
        <f t="shared" si="26"/>
        <v>99</v>
      </c>
      <c r="O181" s="1">
        <f t="shared" si="27"/>
        <v>5</v>
      </c>
      <c r="P181" s="1">
        <f t="shared" si="28"/>
        <v>0</v>
      </c>
      <c r="Q181" s="1">
        <f t="shared" si="29"/>
        <v>77.77</v>
      </c>
      <c r="R181" s="1" t="str">
        <f t="shared" si="30"/>
        <v>caught</v>
      </c>
      <c r="S181" s="1" t="str">
        <f t="shared" si="31"/>
        <v xml:space="preserve"> South Africa</v>
      </c>
      <c r="T181" s="1" t="str">
        <f t="shared" si="32"/>
        <v>Rajkot</v>
      </c>
      <c r="U181" s="1" t="str">
        <f t="shared" si="34"/>
        <v>Yes</v>
      </c>
      <c r="V181" s="1"/>
      <c r="W181" s="1"/>
      <c r="X181" s="1"/>
      <c r="Y181" s="1"/>
      <c r="Z181" s="1"/>
    </row>
    <row r="182" spans="1:26" ht="14.25" customHeight="1">
      <c r="A182" s="1"/>
      <c r="B182" s="1">
        <v>165</v>
      </c>
      <c r="C182" s="1" t="s">
        <v>392</v>
      </c>
      <c r="D182" s="1" t="s">
        <v>393</v>
      </c>
      <c r="E182" s="1" t="s">
        <v>136</v>
      </c>
      <c r="F182" s="1" t="s">
        <v>202</v>
      </c>
      <c r="G182" s="1" t="s">
        <v>394</v>
      </c>
      <c r="H182" s="1" t="s">
        <v>24</v>
      </c>
      <c r="I182" s="1" t="s">
        <v>191</v>
      </c>
      <c r="J182" s="1" t="s">
        <v>68</v>
      </c>
      <c r="K182" s="1"/>
      <c r="L182" s="1" t="str">
        <f t="shared" si="25"/>
        <v>No</v>
      </c>
      <c r="M182" s="1">
        <f t="shared" si="33"/>
        <v>7</v>
      </c>
      <c r="N182" s="1">
        <f t="shared" si="26"/>
        <v>140</v>
      </c>
      <c r="O182" s="1">
        <f t="shared" si="27"/>
        <v>6</v>
      </c>
      <c r="P182" s="1">
        <f t="shared" si="28"/>
        <v>5</v>
      </c>
      <c r="Q182" s="1">
        <f t="shared" si="29"/>
        <v>98.57</v>
      </c>
      <c r="R182" s="1" t="str">
        <f t="shared" si="30"/>
        <v>caught</v>
      </c>
      <c r="S182" s="1" t="str">
        <f t="shared" si="31"/>
        <v xml:space="preserve"> South Africa</v>
      </c>
      <c r="T182" s="1" t="str">
        <f t="shared" si="32"/>
        <v>Chennai</v>
      </c>
      <c r="U182" s="1" t="str">
        <f t="shared" si="34"/>
        <v>Yes</v>
      </c>
      <c r="V182" s="1"/>
      <c r="W182" s="1"/>
      <c r="X182" s="1"/>
      <c r="Y182" s="1"/>
      <c r="Z182" s="1"/>
    </row>
    <row r="183" spans="1:26" ht="14.25" customHeight="1">
      <c r="A183" s="1"/>
      <c r="B183" s="1">
        <v>166</v>
      </c>
      <c r="C183" s="1" t="s">
        <v>144</v>
      </c>
      <c r="D183" s="1" t="s">
        <v>136</v>
      </c>
      <c r="E183" s="1" t="s">
        <v>131</v>
      </c>
      <c r="F183" s="1" t="s">
        <v>130</v>
      </c>
      <c r="G183" s="1" t="s">
        <v>267</v>
      </c>
      <c r="H183" s="1" t="s">
        <v>24</v>
      </c>
      <c r="I183" s="1" t="s">
        <v>191</v>
      </c>
      <c r="J183" s="1" t="s">
        <v>75</v>
      </c>
      <c r="K183" s="1"/>
      <c r="L183" s="1" t="str">
        <f t="shared" si="25"/>
        <v>No</v>
      </c>
      <c r="M183" s="1">
        <f t="shared" si="33"/>
        <v>91</v>
      </c>
      <c r="N183" s="1">
        <f t="shared" si="26"/>
        <v>6</v>
      </c>
      <c r="O183" s="1">
        <f t="shared" si="27"/>
        <v>0</v>
      </c>
      <c r="P183" s="1">
        <f t="shared" si="28"/>
        <v>1</v>
      </c>
      <c r="Q183" s="1">
        <f t="shared" si="29"/>
        <v>116.66</v>
      </c>
      <c r="R183" s="1" t="str">
        <f t="shared" si="30"/>
        <v>caught</v>
      </c>
      <c r="S183" s="1" t="str">
        <f t="shared" si="31"/>
        <v xml:space="preserve"> South Africa</v>
      </c>
      <c r="T183" s="1" t="str">
        <f t="shared" si="32"/>
        <v>Wankhede</v>
      </c>
      <c r="U183" s="1" t="str">
        <f t="shared" si="34"/>
        <v>Yes</v>
      </c>
      <c r="V183" s="1"/>
      <c r="W183" s="1"/>
      <c r="X183" s="1"/>
      <c r="Y183" s="1"/>
      <c r="Z183" s="1"/>
    </row>
    <row r="184" spans="1:26" ht="14.25" customHeight="1">
      <c r="A184" s="1"/>
      <c r="B184" s="1">
        <v>167</v>
      </c>
      <c r="C184" s="1" t="s">
        <v>179</v>
      </c>
      <c r="D184" s="1" t="s">
        <v>395</v>
      </c>
      <c r="E184" s="1" t="s">
        <v>161</v>
      </c>
      <c r="F184" s="1" t="s">
        <v>130</v>
      </c>
      <c r="G184" s="1" t="s">
        <v>396</v>
      </c>
      <c r="H184" s="1" t="s">
        <v>24</v>
      </c>
      <c r="I184" s="1" t="s">
        <v>158</v>
      </c>
      <c r="J184" s="1" t="s">
        <v>89</v>
      </c>
      <c r="K184" s="1"/>
      <c r="L184" s="1" t="str">
        <f t="shared" si="25"/>
        <v>No</v>
      </c>
      <c r="M184" s="1">
        <f t="shared" si="33"/>
        <v>59</v>
      </c>
      <c r="N184" s="1">
        <f t="shared" si="26"/>
        <v>97</v>
      </c>
      <c r="O184" s="1">
        <f t="shared" si="27"/>
        <v>9</v>
      </c>
      <c r="P184" s="1">
        <f t="shared" si="28"/>
        <v>1</v>
      </c>
      <c r="Q184" s="1">
        <f t="shared" si="29"/>
        <v>93.81</v>
      </c>
      <c r="R184" s="1" t="str">
        <f t="shared" si="30"/>
        <v>caught</v>
      </c>
      <c r="S184" s="1" t="str">
        <f t="shared" si="31"/>
        <v xml:space="preserve"> Australia</v>
      </c>
      <c r="T184" s="1" t="str">
        <f t="shared" si="32"/>
        <v>W.A.C.A</v>
      </c>
      <c r="U184" s="1" t="str">
        <f t="shared" si="34"/>
        <v>Yes</v>
      </c>
      <c r="V184" s="1"/>
      <c r="W184" s="1"/>
      <c r="X184" s="1"/>
      <c r="Y184" s="1"/>
      <c r="Z184" s="1"/>
    </row>
    <row r="185" spans="1:26" ht="14.25" customHeight="1">
      <c r="A185" s="1"/>
      <c r="B185" s="1">
        <v>168</v>
      </c>
      <c r="C185" s="1" t="s">
        <v>241</v>
      </c>
      <c r="D185" s="1" t="s">
        <v>135</v>
      </c>
      <c r="E185" s="1" t="s">
        <v>140</v>
      </c>
      <c r="F185" s="1" t="s">
        <v>131</v>
      </c>
      <c r="G185" s="1" t="s">
        <v>397</v>
      </c>
      <c r="H185" s="1" t="s">
        <v>26</v>
      </c>
      <c r="I185" s="1" t="s">
        <v>158</v>
      </c>
      <c r="J185" s="1" t="s">
        <v>91</v>
      </c>
      <c r="K185" s="1"/>
      <c r="L185" s="1" t="str">
        <f t="shared" si="25"/>
        <v>No</v>
      </c>
      <c r="M185" s="1">
        <f t="shared" si="33"/>
        <v>117</v>
      </c>
      <c r="N185" s="1">
        <f t="shared" si="26"/>
        <v>67</v>
      </c>
      <c r="O185" s="1">
        <f t="shared" si="27"/>
        <v>4</v>
      </c>
      <c r="P185" s="1">
        <f t="shared" si="28"/>
        <v>0</v>
      </c>
      <c r="Q185" s="1">
        <f t="shared" si="29"/>
        <v>88.05</v>
      </c>
      <c r="R185" s="1" t="str">
        <f t="shared" si="30"/>
        <v>run out</v>
      </c>
      <c r="S185" s="1" t="str">
        <f t="shared" si="31"/>
        <v xml:space="preserve"> Australia</v>
      </c>
      <c r="T185" s="1" t="str">
        <f t="shared" si="32"/>
        <v>Brisbane</v>
      </c>
      <c r="U185" s="1" t="str">
        <f t="shared" si="34"/>
        <v>Yes</v>
      </c>
      <c r="V185" s="1"/>
      <c r="W185" s="1"/>
      <c r="X185" s="1"/>
      <c r="Y185" s="1"/>
      <c r="Z185" s="1"/>
    </row>
    <row r="186" spans="1:26" ht="14.25" customHeight="1">
      <c r="A186" s="1"/>
      <c r="B186" s="1">
        <v>169</v>
      </c>
      <c r="C186" s="1" t="s">
        <v>271</v>
      </c>
      <c r="D186" s="1" t="s">
        <v>271</v>
      </c>
      <c r="E186" s="1" t="s">
        <v>144</v>
      </c>
      <c r="F186" s="1" t="s">
        <v>151</v>
      </c>
      <c r="G186" s="1" t="s">
        <v>152</v>
      </c>
      <c r="H186" s="1" t="s">
        <v>24</v>
      </c>
      <c r="I186" s="1" t="s">
        <v>158</v>
      </c>
      <c r="J186" s="1" t="s">
        <v>88</v>
      </c>
      <c r="K186" s="1"/>
      <c r="L186" s="1" t="str">
        <f t="shared" si="25"/>
        <v>No</v>
      </c>
      <c r="M186" s="1">
        <f t="shared" si="33"/>
        <v>106</v>
      </c>
      <c r="N186" s="1">
        <f t="shared" si="26"/>
        <v>117</v>
      </c>
      <c r="O186" s="1">
        <f t="shared" si="27"/>
        <v>7</v>
      </c>
      <c r="P186" s="1">
        <f t="shared" si="28"/>
        <v>2</v>
      </c>
      <c r="Q186" s="1">
        <f t="shared" si="29"/>
        <v>100</v>
      </c>
      <c r="R186" s="1" t="str">
        <f t="shared" si="30"/>
        <v>caught</v>
      </c>
      <c r="S186" s="1" t="str">
        <f t="shared" si="31"/>
        <v xml:space="preserve"> Australia</v>
      </c>
      <c r="T186" s="1" t="str">
        <f t="shared" si="32"/>
        <v>Melbourne</v>
      </c>
      <c r="U186" s="1" t="str">
        <f t="shared" si="34"/>
        <v>Yes</v>
      </c>
      <c r="V186" s="1"/>
      <c r="W186" s="1"/>
      <c r="X186" s="1"/>
      <c r="Y186" s="1"/>
      <c r="Z186" s="1"/>
    </row>
    <row r="187" spans="1:26" ht="14.25" customHeight="1">
      <c r="A187" s="1"/>
      <c r="B187" s="1">
        <v>170</v>
      </c>
      <c r="C187" s="1" t="s">
        <v>296</v>
      </c>
      <c r="D187" s="1" t="s">
        <v>197</v>
      </c>
      <c r="E187" s="1" t="s">
        <v>176</v>
      </c>
      <c r="F187" s="1" t="s">
        <v>130</v>
      </c>
      <c r="G187" s="1" t="s">
        <v>398</v>
      </c>
      <c r="H187" s="1" t="s">
        <v>24</v>
      </c>
      <c r="I187" s="1" t="s">
        <v>158</v>
      </c>
      <c r="J187" s="1" t="s">
        <v>111</v>
      </c>
      <c r="K187" s="1"/>
      <c r="L187" s="1" t="str">
        <f t="shared" si="25"/>
        <v>No</v>
      </c>
      <c r="M187" s="1">
        <f t="shared" si="33"/>
        <v>8</v>
      </c>
      <c r="N187" s="1">
        <f t="shared" si="26"/>
        <v>92</v>
      </c>
      <c r="O187" s="1">
        <f t="shared" si="27"/>
        <v>11</v>
      </c>
      <c r="P187" s="1">
        <f t="shared" si="28"/>
        <v>1</v>
      </c>
      <c r="Q187" s="1">
        <f t="shared" si="29"/>
        <v>115.21</v>
      </c>
      <c r="R187" s="1" t="str">
        <f t="shared" si="30"/>
        <v>caught</v>
      </c>
      <c r="S187" s="1" t="str">
        <f t="shared" si="31"/>
        <v xml:space="preserve"> Australia</v>
      </c>
      <c r="T187" s="1" t="str">
        <f t="shared" si="32"/>
        <v>Canberra</v>
      </c>
      <c r="U187" s="1" t="str">
        <f t="shared" si="34"/>
        <v>Yes</v>
      </c>
      <c r="V187" s="1"/>
      <c r="W187" s="1"/>
      <c r="X187" s="1"/>
      <c r="Y187" s="1"/>
      <c r="Z187" s="1"/>
    </row>
    <row r="188" spans="1:26" ht="14.25" customHeight="1">
      <c r="A188" s="1"/>
      <c r="B188" s="1">
        <v>171</v>
      </c>
      <c r="C188" s="1" t="s">
        <v>189</v>
      </c>
      <c r="D188" s="1" t="s">
        <v>176</v>
      </c>
      <c r="E188" s="1" t="s">
        <v>130</v>
      </c>
      <c r="F188" s="1" t="s">
        <v>131</v>
      </c>
      <c r="G188" s="1" t="s">
        <v>245</v>
      </c>
      <c r="H188" s="1" t="s">
        <v>24</v>
      </c>
      <c r="I188" s="1" t="s">
        <v>158</v>
      </c>
      <c r="J188" s="1" t="s">
        <v>92</v>
      </c>
      <c r="K188" s="1"/>
      <c r="L188" s="1" t="str">
        <f t="shared" si="25"/>
        <v>No</v>
      </c>
      <c r="M188" s="1">
        <f t="shared" si="33"/>
        <v>85</v>
      </c>
      <c r="N188" s="1">
        <f t="shared" si="26"/>
        <v>11</v>
      </c>
      <c r="O188" s="1">
        <f t="shared" si="27"/>
        <v>1</v>
      </c>
      <c r="P188" s="1">
        <f t="shared" si="28"/>
        <v>0</v>
      </c>
      <c r="Q188" s="1">
        <f t="shared" si="29"/>
        <v>72.72</v>
      </c>
      <c r="R188" s="1" t="str">
        <f t="shared" si="30"/>
        <v>caught</v>
      </c>
      <c r="S188" s="1" t="str">
        <f t="shared" si="31"/>
        <v xml:space="preserve"> Australia</v>
      </c>
      <c r="T188" s="1" t="str">
        <f t="shared" si="32"/>
        <v>Sydney</v>
      </c>
      <c r="U188" s="1" t="str">
        <f t="shared" si="34"/>
        <v>Yes</v>
      </c>
      <c r="V188" s="1"/>
      <c r="W188" s="1"/>
      <c r="X188" s="1"/>
      <c r="Y188" s="1"/>
      <c r="Z188" s="1"/>
    </row>
    <row r="189" spans="1:26" ht="14.25" customHeight="1">
      <c r="A189" s="1"/>
      <c r="B189" s="1">
        <v>172</v>
      </c>
      <c r="C189" s="1" t="s">
        <v>399</v>
      </c>
      <c r="D189" s="1" t="s">
        <v>250</v>
      </c>
      <c r="E189" s="1" t="s">
        <v>161</v>
      </c>
      <c r="F189" s="1" t="s">
        <v>130</v>
      </c>
      <c r="G189" s="1" t="s">
        <v>400</v>
      </c>
      <c r="H189" s="1" t="s">
        <v>32</v>
      </c>
      <c r="I189" s="1" t="s">
        <v>211</v>
      </c>
      <c r="J189" s="1" t="s">
        <v>98</v>
      </c>
      <c r="K189" s="1"/>
      <c r="L189" s="1" t="str">
        <f t="shared" si="25"/>
        <v>No</v>
      </c>
      <c r="M189" s="1">
        <f t="shared" si="33"/>
        <v>9</v>
      </c>
      <c r="N189" s="1">
        <f t="shared" si="26"/>
        <v>81</v>
      </c>
      <c r="O189" s="1">
        <f t="shared" si="27"/>
        <v>9</v>
      </c>
      <c r="P189" s="1">
        <f t="shared" si="28"/>
        <v>1</v>
      </c>
      <c r="Q189" s="1">
        <f t="shared" si="29"/>
        <v>104.93</v>
      </c>
      <c r="R189" s="1" t="str">
        <f t="shared" si="30"/>
        <v>not out</v>
      </c>
      <c r="S189" s="1" t="str">
        <f t="shared" si="31"/>
        <v xml:space="preserve"> New Zealand</v>
      </c>
      <c r="T189" s="1" t="str">
        <f t="shared" si="32"/>
        <v>Dharamsala</v>
      </c>
      <c r="U189" s="1" t="str">
        <f t="shared" si="34"/>
        <v>No</v>
      </c>
      <c r="V189" s="1"/>
      <c r="W189" s="1"/>
      <c r="X189" s="1"/>
      <c r="Y189" s="1"/>
      <c r="Z189" s="1"/>
    </row>
    <row r="190" spans="1:26" ht="14.25" customHeight="1">
      <c r="A190" s="1"/>
      <c r="B190" s="1">
        <v>173</v>
      </c>
      <c r="C190" s="1" t="s">
        <v>161</v>
      </c>
      <c r="D190" s="1" t="s">
        <v>325</v>
      </c>
      <c r="E190" s="1" t="s">
        <v>130</v>
      </c>
      <c r="F190" s="1" t="s">
        <v>131</v>
      </c>
      <c r="G190" s="1" t="s">
        <v>401</v>
      </c>
      <c r="H190" s="1" t="s">
        <v>24</v>
      </c>
      <c r="I190" s="1" t="s">
        <v>211</v>
      </c>
      <c r="J190" s="1" t="s">
        <v>52</v>
      </c>
      <c r="K190" s="1"/>
      <c r="L190" s="1" t="str">
        <f t="shared" si="25"/>
        <v>No</v>
      </c>
      <c r="M190" s="1">
        <f t="shared" si="33"/>
        <v>154</v>
      </c>
      <c r="N190" s="1">
        <f t="shared" si="26"/>
        <v>13</v>
      </c>
      <c r="O190" s="1">
        <f t="shared" si="27"/>
        <v>1</v>
      </c>
      <c r="P190" s="1">
        <f t="shared" si="28"/>
        <v>0</v>
      </c>
      <c r="Q190" s="1">
        <f t="shared" si="29"/>
        <v>69.23</v>
      </c>
      <c r="R190" s="1" t="str">
        <f t="shared" si="30"/>
        <v>caught</v>
      </c>
      <c r="S190" s="1" t="str">
        <f t="shared" si="31"/>
        <v xml:space="preserve"> New Zealand</v>
      </c>
      <c r="T190" s="1" t="str">
        <f t="shared" si="32"/>
        <v>Delhi</v>
      </c>
      <c r="U190" s="1" t="str">
        <f t="shared" si="34"/>
        <v>Yes</v>
      </c>
      <c r="V190" s="1"/>
      <c r="W190" s="1"/>
      <c r="X190" s="1"/>
      <c r="Y190" s="1"/>
      <c r="Z190" s="1"/>
    </row>
    <row r="191" spans="1:26" ht="14.25" customHeight="1">
      <c r="A191" s="1"/>
      <c r="B191" s="1">
        <v>174</v>
      </c>
      <c r="C191" s="1" t="s">
        <v>402</v>
      </c>
      <c r="D191" s="1" t="s">
        <v>403</v>
      </c>
      <c r="E191" s="1" t="s">
        <v>153</v>
      </c>
      <c r="F191" s="1" t="s">
        <v>130</v>
      </c>
      <c r="G191" s="1" t="s">
        <v>404</v>
      </c>
      <c r="H191" s="1" t="s">
        <v>32</v>
      </c>
      <c r="I191" s="1" t="s">
        <v>211</v>
      </c>
      <c r="J191" s="1" t="s">
        <v>46</v>
      </c>
      <c r="K191" s="1"/>
      <c r="L191" s="1" t="str">
        <f t="shared" si="25"/>
        <v>No</v>
      </c>
      <c r="M191" s="1">
        <f t="shared" si="33"/>
        <v>45</v>
      </c>
      <c r="N191" s="1">
        <f t="shared" si="26"/>
        <v>134</v>
      </c>
      <c r="O191" s="1">
        <f t="shared" si="27"/>
        <v>16</v>
      </c>
      <c r="P191" s="1">
        <f t="shared" si="28"/>
        <v>1</v>
      </c>
      <c r="Q191" s="1">
        <f t="shared" si="29"/>
        <v>114.92</v>
      </c>
      <c r="R191" s="1" t="str">
        <f t="shared" si="30"/>
        <v>not out</v>
      </c>
      <c r="S191" s="1" t="str">
        <f t="shared" si="31"/>
        <v xml:space="preserve"> New Zealand</v>
      </c>
      <c r="T191" s="1" t="str">
        <f t="shared" si="32"/>
        <v>Mohali</v>
      </c>
      <c r="U191" s="1" t="str">
        <f t="shared" si="34"/>
        <v>No</v>
      </c>
      <c r="V191" s="1"/>
      <c r="W191" s="1"/>
      <c r="X191" s="1"/>
      <c r="Y191" s="1"/>
      <c r="Z191" s="1"/>
    </row>
    <row r="192" spans="1:26" ht="14.25" customHeight="1">
      <c r="A192" s="1"/>
      <c r="B192" s="1">
        <v>175</v>
      </c>
      <c r="C192" s="1" t="s">
        <v>405</v>
      </c>
      <c r="D192" s="1" t="s">
        <v>356</v>
      </c>
      <c r="E192" s="1" t="s">
        <v>151</v>
      </c>
      <c r="F192" s="1" t="s">
        <v>130</v>
      </c>
      <c r="G192" s="1" t="s">
        <v>406</v>
      </c>
      <c r="H192" s="1" t="s">
        <v>24</v>
      </c>
      <c r="I192" s="1" t="s">
        <v>211</v>
      </c>
      <c r="J192" s="1" t="s">
        <v>97</v>
      </c>
      <c r="K192" s="1"/>
      <c r="L192" s="1" t="str">
        <f t="shared" si="25"/>
        <v>No</v>
      </c>
      <c r="M192" s="1">
        <f t="shared" si="33"/>
        <v>65</v>
      </c>
      <c r="N192" s="1">
        <f t="shared" si="26"/>
        <v>51</v>
      </c>
      <c r="O192" s="1">
        <f t="shared" si="27"/>
        <v>2</v>
      </c>
      <c r="P192" s="1">
        <f t="shared" si="28"/>
        <v>1</v>
      </c>
      <c r="Q192" s="1">
        <f t="shared" si="29"/>
        <v>88.23</v>
      </c>
      <c r="R192" s="1" t="str">
        <f t="shared" si="30"/>
        <v>caught</v>
      </c>
      <c r="S192" s="1" t="str">
        <f t="shared" si="31"/>
        <v xml:space="preserve"> New Zealand</v>
      </c>
      <c r="T192" s="1" t="str">
        <f t="shared" si="32"/>
        <v>Ranchi</v>
      </c>
      <c r="U192" s="1" t="str">
        <f t="shared" si="34"/>
        <v>Yes</v>
      </c>
      <c r="V192" s="1"/>
      <c r="W192" s="1"/>
      <c r="X192" s="1"/>
      <c r="Y192" s="1"/>
      <c r="Z192" s="1"/>
    </row>
    <row r="193" spans="1:26" ht="14.25" customHeight="1">
      <c r="A193" s="1"/>
      <c r="B193" s="1">
        <v>176</v>
      </c>
      <c r="C193" s="1" t="s">
        <v>172</v>
      </c>
      <c r="D193" s="1" t="s">
        <v>242</v>
      </c>
      <c r="E193" s="1" t="s">
        <v>151</v>
      </c>
      <c r="F193" s="1" t="s">
        <v>130</v>
      </c>
      <c r="G193" s="1" t="s">
        <v>407</v>
      </c>
      <c r="H193" s="1" t="s">
        <v>24</v>
      </c>
      <c r="I193" s="1" t="s">
        <v>211</v>
      </c>
      <c r="J193" s="1" t="s">
        <v>65</v>
      </c>
      <c r="K193" s="1"/>
      <c r="L193" s="1" t="str">
        <f t="shared" si="25"/>
        <v>No</v>
      </c>
      <c r="M193" s="1">
        <f t="shared" si="33"/>
        <v>122</v>
      </c>
      <c r="N193" s="1">
        <f t="shared" si="26"/>
        <v>76</v>
      </c>
      <c r="O193" s="1">
        <f t="shared" si="27"/>
        <v>2</v>
      </c>
      <c r="P193" s="1">
        <f t="shared" si="28"/>
        <v>1</v>
      </c>
      <c r="Q193" s="1">
        <f t="shared" si="29"/>
        <v>85.52</v>
      </c>
      <c r="R193" s="1" t="str">
        <f t="shared" si="30"/>
        <v>caught</v>
      </c>
      <c r="S193" s="1" t="str">
        <f t="shared" si="31"/>
        <v xml:space="preserve"> New Zealand</v>
      </c>
      <c r="T193" s="1" t="str">
        <f t="shared" si="32"/>
        <v>Visakhapatnam</v>
      </c>
      <c r="U193" s="1" t="str">
        <f t="shared" si="34"/>
        <v>Yes</v>
      </c>
      <c r="V193" s="1"/>
      <c r="W193" s="1"/>
      <c r="X193" s="1"/>
      <c r="Y193" s="1"/>
      <c r="Z193" s="1"/>
    </row>
    <row r="194" spans="1:26" ht="14.25" customHeight="1">
      <c r="A194" s="1"/>
      <c r="B194" s="1">
        <v>177</v>
      </c>
      <c r="C194" s="1" t="s">
        <v>353</v>
      </c>
      <c r="D194" s="1" t="s">
        <v>216</v>
      </c>
      <c r="E194" s="1" t="s">
        <v>189</v>
      </c>
      <c r="F194" s="1" t="s">
        <v>202</v>
      </c>
      <c r="G194" s="1" t="s">
        <v>408</v>
      </c>
      <c r="H194" s="1" t="s">
        <v>24</v>
      </c>
      <c r="I194" s="1" t="s">
        <v>234</v>
      </c>
      <c r="J194" s="1" t="s">
        <v>100</v>
      </c>
      <c r="K194" s="1"/>
      <c r="L194" s="1" t="str">
        <f t="shared" si="25"/>
        <v>No</v>
      </c>
      <c r="M194" s="1">
        <f t="shared" si="33"/>
        <v>8</v>
      </c>
      <c r="N194" s="1">
        <f t="shared" si="26"/>
        <v>105</v>
      </c>
      <c r="O194" s="1">
        <f t="shared" si="27"/>
        <v>8</v>
      </c>
      <c r="P194" s="1">
        <f t="shared" si="28"/>
        <v>5</v>
      </c>
      <c r="Q194" s="1">
        <f t="shared" si="29"/>
        <v>116.19</v>
      </c>
      <c r="R194" s="1" t="str">
        <f t="shared" si="30"/>
        <v>caught</v>
      </c>
      <c r="S194" s="1" t="str">
        <f t="shared" si="31"/>
        <v xml:space="preserve"> England</v>
      </c>
      <c r="T194" s="1" t="str">
        <f t="shared" si="32"/>
        <v>Pune</v>
      </c>
      <c r="U194" s="1" t="str">
        <f t="shared" si="34"/>
        <v>Yes</v>
      </c>
      <c r="V194" s="1"/>
      <c r="W194" s="1"/>
      <c r="X194" s="1"/>
      <c r="Y194" s="1"/>
      <c r="Z194" s="1"/>
    </row>
    <row r="195" spans="1:26" ht="14.25" customHeight="1">
      <c r="A195" s="1"/>
      <c r="B195" s="1">
        <v>178</v>
      </c>
      <c r="C195" s="1" t="s">
        <v>189</v>
      </c>
      <c r="D195" s="1" t="s">
        <v>202</v>
      </c>
      <c r="E195" s="1" t="s">
        <v>151</v>
      </c>
      <c r="F195" s="1" t="s">
        <v>131</v>
      </c>
      <c r="G195" s="1" t="s">
        <v>233</v>
      </c>
      <c r="H195" s="1" t="s">
        <v>24</v>
      </c>
      <c r="I195" s="1" t="s">
        <v>234</v>
      </c>
      <c r="J195" s="1" t="s">
        <v>86</v>
      </c>
      <c r="K195" s="1"/>
      <c r="L195" s="1" t="str">
        <f t="shared" si="25"/>
        <v>No</v>
      </c>
      <c r="M195" s="1">
        <f t="shared" si="33"/>
        <v>55</v>
      </c>
      <c r="N195" s="1">
        <f t="shared" si="26"/>
        <v>5</v>
      </c>
      <c r="O195" s="1">
        <f t="shared" si="27"/>
        <v>2</v>
      </c>
      <c r="P195" s="1">
        <f t="shared" si="28"/>
        <v>0</v>
      </c>
      <c r="Q195" s="1">
        <f t="shared" si="29"/>
        <v>160</v>
      </c>
      <c r="R195" s="1" t="str">
        <f t="shared" si="30"/>
        <v>caught</v>
      </c>
      <c r="S195" s="1" t="str">
        <f t="shared" si="31"/>
        <v xml:space="preserve"> England</v>
      </c>
      <c r="T195" s="1" t="str">
        <f t="shared" si="32"/>
        <v>Cuttack</v>
      </c>
      <c r="U195" s="1" t="str">
        <f t="shared" si="34"/>
        <v>Yes</v>
      </c>
      <c r="V195" s="1"/>
      <c r="W195" s="1"/>
      <c r="X195" s="1"/>
      <c r="Y195" s="1"/>
      <c r="Z195" s="1"/>
    </row>
    <row r="196" spans="1:26" ht="14.25" customHeight="1">
      <c r="A196" s="1"/>
      <c r="B196" s="1">
        <v>179</v>
      </c>
      <c r="C196" s="1" t="s">
        <v>255</v>
      </c>
      <c r="D196" s="1" t="s">
        <v>262</v>
      </c>
      <c r="E196" s="1" t="s">
        <v>189</v>
      </c>
      <c r="F196" s="1" t="s">
        <v>131</v>
      </c>
      <c r="G196" s="1" t="s">
        <v>409</v>
      </c>
      <c r="H196" s="1" t="s">
        <v>24</v>
      </c>
      <c r="I196" s="1" t="s">
        <v>234</v>
      </c>
      <c r="J196" s="1" t="s">
        <v>51</v>
      </c>
      <c r="K196" s="1"/>
      <c r="L196" s="1" t="str">
        <f t="shared" si="25"/>
        <v>No</v>
      </c>
      <c r="M196" s="1">
        <f t="shared" si="33"/>
        <v>81</v>
      </c>
      <c r="N196" s="1">
        <f t="shared" si="26"/>
        <v>63</v>
      </c>
      <c r="O196" s="1">
        <f t="shared" si="27"/>
        <v>8</v>
      </c>
      <c r="P196" s="1">
        <f t="shared" si="28"/>
        <v>0</v>
      </c>
      <c r="Q196" s="1">
        <f t="shared" si="29"/>
        <v>87.3</v>
      </c>
      <c r="R196" s="1" t="str">
        <f t="shared" si="30"/>
        <v>caught</v>
      </c>
      <c r="S196" s="1" t="str">
        <f t="shared" si="31"/>
        <v xml:space="preserve"> England</v>
      </c>
      <c r="T196" s="1" t="str">
        <f t="shared" si="32"/>
        <v>Eden Gardens</v>
      </c>
      <c r="U196" s="1" t="str">
        <f t="shared" si="34"/>
        <v>Yes</v>
      </c>
      <c r="V196" s="1"/>
      <c r="W196" s="1"/>
      <c r="X196" s="1"/>
      <c r="Y196" s="1"/>
      <c r="Z196" s="1"/>
    </row>
    <row r="197" spans="1:26" ht="14.25" customHeight="1">
      <c r="A197" s="1"/>
      <c r="B197" s="1">
        <v>180</v>
      </c>
      <c r="C197" s="1" t="s">
        <v>410</v>
      </c>
      <c r="D197" s="1" t="s">
        <v>184</v>
      </c>
      <c r="E197" s="1" t="s">
        <v>136</v>
      </c>
      <c r="F197" s="1" t="s">
        <v>148</v>
      </c>
      <c r="G197" s="1" t="s">
        <v>411</v>
      </c>
      <c r="H197" s="1" t="s">
        <v>32</v>
      </c>
      <c r="I197" s="1" t="s">
        <v>156</v>
      </c>
      <c r="J197" s="1" t="s">
        <v>99</v>
      </c>
      <c r="K197" s="1"/>
      <c r="L197" s="1" t="str">
        <f t="shared" si="25"/>
        <v>No</v>
      </c>
      <c r="M197" s="1">
        <f t="shared" si="33"/>
        <v>0</v>
      </c>
      <c r="N197" s="1">
        <f t="shared" si="26"/>
        <v>68</v>
      </c>
      <c r="O197" s="1">
        <f t="shared" si="27"/>
        <v>6</v>
      </c>
      <c r="P197" s="1">
        <f t="shared" si="28"/>
        <v>3</v>
      </c>
      <c r="Q197" s="1">
        <f t="shared" si="29"/>
        <v>119.11</v>
      </c>
      <c r="R197" s="1" t="str">
        <f t="shared" si="30"/>
        <v>not out</v>
      </c>
      <c r="S197" s="1" t="str">
        <f t="shared" si="31"/>
        <v xml:space="preserve"> Pakistan</v>
      </c>
      <c r="T197" s="1" t="str">
        <f t="shared" si="32"/>
        <v>Birmingham</v>
      </c>
      <c r="U197" s="1" t="str">
        <f t="shared" si="34"/>
        <v>No</v>
      </c>
      <c r="V197" s="1"/>
      <c r="W197" s="1"/>
      <c r="X197" s="1"/>
      <c r="Y197" s="1"/>
      <c r="Z197" s="1"/>
    </row>
    <row r="198" spans="1:26" ht="14.25" customHeight="1">
      <c r="A198" s="1"/>
      <c r="B198" s="1">
        <v>181</v>
      </c>
      <c r="C198" s="1" t="s">
        <v>131</v>
      </c>
      <c r="D198" s="1" t="s">
        <v>202</v>
      </c>
      <c r="E198" s="1" t="s">
        <v>131</v>
      </c>
      <c r="F198" s="1" t="s">
        <v>131</v>
      </c>
      <c r="G198" s="1" t="s">
        <v>210</v>
      </c>
      <c r="H198" s="1" t="s">
        <v>24</v>
      </c>
      <c r="I198" s="1" t="s">
        <v>133</v>
      </c>
      <c r="J198" s="1" t="s">
        <v>81</v>
      </c>
      <c r="K198" s="1"/>
      <c r="L198" s="1" t="str">
        <f t="shared" si="25"/>
        <v>No</v>
      </c>
      <c r="M198" s="1">
        <f t="shared" si="33"/>
        <v>76</v>
      </c>
      <c r="N198" s="1">
        <f t="shared" si="26"/>
        <v>5</v>
      </c>
      <c r="O198" s="1">
        <f t="shared" si="27"/>
        <v>0</v>
      </c>
      <c r="P198" s="1">
        <f t="shared" si="28"/>
        <v>0</v>
      </c>
      <c r="Q198" s="1">
        <f t="shared" si="29"/>
        <v>0</v>
      </c>
      <c r="R198" s="1" t="str">
        <f t="shared" si="30"/>
        <v>caught</v>
      </c>
      <c r="S198" s="1" t="str">
        <f t="shared" si="31"/>
        <v xml:space="preserve"> Sri Lanka</v>
      </c>
      <c r="T198" s="1" t="str">
        <f t="shared" si="32"/>
        <v>The Oval</v>
      </c>
      <c r="U198" s="1" t="str">
        <f t="shared" si="34"/>
        <v>Yes</v>
      </c>
      <c r="V198" s="1"/>
      <c r="W198" s="1"/>
      <c r="X198" s="1"/>
      <c r="Y198" s="1"/>
      <c r="Z198" s="1"/>
    </row>
    <row r="199" spans="1:26" ht="14.25" customHeight="1">
      <c r="A199" s="1"/>
      <c r="B199" s="1">
        <v>182</v>
      </c>
      <c r="C199" s="1" t="s">
        <v>412</v>
      </c>
      <c r="D199" s="1" t="s">
        <v>413</v>
      </c>
      <c r="E199" s="1" t="s">
        <v>144</v>
      </c>
      <c r="F199" s="1" t="s">
        <v>130</v>
      </c>
      <c r="G199" s="1" t="s">
        <v>414</v>
      </c>
      <c r="H199" s="1" t="s">
        <v>32</v>
      </c>
      <c r="I199" s="1" t="s">
        <v>191</v>
      </c>
      <c r="J199" s="1" t="s">
        <v>81</v>
      </c>
      <c r="K199" s="1"/>
      <c r="L199" s="1" t="str">
        <f t="shared" si="25"/>
        <v>No</v>
      </c>
      <c r="M199" s="1">
        <f t="shared" si="33"/>
        <v>96</v>
      </c>
      <c r="N199" s="1">
        <f t="shared" si="26"/>
        <v>101</v>
      </c>
      <c r="O199" s="1">
        <f t="shared" si="27"/>
        <v>7</v>
      </c>
      <c r="P199" s="1">
        <f t="shared" si="28"/>
        <v>1</v>
      </c>
      <c r="Q199" s="1">
        <f t="shared" si="29"/>
        <v>75.239999999999995</v>
      </c>
      <c r="R199" s="1" t="str">
        <f t="shared" si="30"/>
        <v>not out</v>
      </c>
      <c r="S199" s="1" t="str">
        <f t="shared" si="31"/>
        <v xml:space="preserve"> South Africa</v>
      </c>
      <c r="T199" s="1" t="str">
        <f t="shared" si="32"/>
        <v>The Oval</v>
      </c>
      <c r="U199" s="1" t="str">
        <f t="shared" si="34"/>
        <v>No</v>
      </c>
      <c r="V199" s="1"/>
      <c r="W199" s="1"/>
      <c r="X199" s="1"/>
      <c r="Y199" s="1"/>
      <c r="Z199" s="1"/>
    </row>
    <row r="200" spans="1:26" ht="14.25" customHeight="1">
      <c r="A200" s="1"/>
      <c r="B200" s="1">
        <v>183</v>
      </c>
      <c r="C200" s="1" t="s">
        <v>415</v>
      </c>
      <c r="D200" s="1" t="s">
        <v>348</v>
      </c>
      <c r="E200" s="1" t="s">
        <v>325</v>
      </c>
      <c r="F200" s="1" t="s">
        <v>131</v>
      </c>
      <c r="G200" s="1" t="s">
        <v>416</v>
      </c>
      <c r="H200" s="1" t="s">
        <v>32</v>
      </c>
      <c r="I200" s="1" t="s">
        <v>182</v>
      </c>
      <c r="J200" s="1" t="s">
        <v>99</v>
      </c>
      <c r="K200" s="1"/>
      <c r="L200" s="1" t="str">
        <f t="shared" si="25"/>
        <v>No</v>
      </c>
      <c r="M200" s="1">
        <f t="shared" si="33"/>
        <v>5</v>
      </c>
      <c r="N200" s="1">
        <f t="shared" si="26"/>
        <v>78</v>
      </c>
      <c r="O200" s="1">
        <f t="shared" si="27"/>
        <v>13</v>
      </c>
      <c r="P200" s="1">
        <f t="shared" si="28"/>
        <v>0</v>
      </c>
      <c r="Q200" s="1">
        <f t="shared" si="29"/>
        <v>123.07</v>
      </c>
      <c r="R200" s="1" t="str">
        <f t="shared" si="30"/>
        <v>not out</v>
      </c>
      <c r="S200" s="1" t="str">
        <f t="shared" si="31"/>
        <v xml:space="preserve"> Bangladesh</v>
      </c>
      <c r="T200" s="1" t="str">
        <f t="shared" si="32"/>
        <v>Birmingham</v>
      </c>
      <c r="U200" s="1" t="str">
        <f t="shared" si="34"/>
        <v>No</v>
      </c>
      <c r="V200" s="1"/>
      <c r="W200" s="1"/>
      <c r="X200" s="1"/>
      <c r="Y200" s="1"/>
      <c r="Z200" s="1"/>
    </row>
    <row r="201" spans="1:26" ht="14.25" customHeight="1">
      <c r="A201" s="1"/>
      <c r="B201" s="1">
        <v>184</v>
      </c>
      <c r="C201" s="1" t="s">
        <v>202</v>
      </c>
      <c r="D201" s="1" t="s">
        <v>161</v>
      </c>
      <c r="E201" s="1" t="s">
        <v>131</v>
      </c>
      <c r="F201" s="1" t="s">
        <v>131</v>
      </c>
      <c r="G201" s="1" t="s">
        <v>417</v>
      </c>
      <c r="H201" s="1" t="s">
        <v>24</v>
      </c>
      <c r="I201" s="1" t="s">
        <v>156</v>
      </c>
      <c r="J201" s="1" t="s">
        <v>81</v>
      </c>
      <c r="K201" s="1"/>
      <c r="L201" s="1" t="str">
        <f t="shared" si="25"/>
        <v>No</v>
      </c>
      <c r="M201" s="1">
        <f t="shared" si="33"/>
        <v>32</v>
      </c>
      <c r="N201" s="1">
        <f t="shared" si="26"/>
        <v>9</v>
      </c>
      <c r="O201" s="1">
        <f t="shared" si="27"/>
        <v>0</v>
      </c>
      <c r="P201" s="1">
        <f t="shared" si="28"/>
        <v>0</v>
      </c>
      <c r="Q201" s="1">
        <f t="shared" si="29"/>
        <v>55.55</v>
      </c>
      <c r="R201" s="1" t="str">
        <f t="shared" si="30"/>
        <v>caught</v>
      </c>
      <c r="S201" s="1" t="str">
        <f t="shared" si="31"/>
        <v xml:space="preserve"> Pakistan</v>
      </c>
      <c r="T201" s="1" t="str">
        <f t="shared" si="32"/>
        <v>The Oval</v>
      </c>
      <c r="U201" s="1" t="str">
        <f t="shared" si="34"/>
        <v>Yes</v>
      </c>
      <c r="V201" s="1"/>
      <c r="W201" s="1"/>
      <c r="X201" s="1"/>
      <c r="Y201" s="1"/>
      <c r="Z201" s="1"/>
    </row>
    <row r="202" spans="1:26" ht="14.25" customHeight="1">
      <c r="A202" s="1"/>
      <c r="B202" s="1">
        <v>185</v>
      </c>
      <c r="C202" s="1" t="s">
        <v>418</v>
      </c>
      <c r="D202" s="1" t="s">
        <v>419</v>
      </c>
      <c r="E202" s="1" t="s">
        <v>130</v>
      </c>
      <c r="F202" s="1" t="s">
        <v>131</v>
      </c>
      <c r="G202" s="1" t="s">
        <v>420</v>
      </c>
      <c r="H202" s="1" t="s">
        <v>32</v>
      </c>
      <c r="I202" s="1" t="s">
        <v>163</v>
      </c>
      <c r="J202" s="1" t="s">
        <v>76</v>
      </c>
      <c r="K202" s="1"/>
      <c r="L202" s="1" t="str">
        <f t="shared" si="25"/>
        <v>No</v>
      </c>
      <c r="M202" s="1">
        <f t="shared" si="33"/>
        <v>87</v>
      </c>
      <c r="N202" s="1">
        <f t="shared" si="26"/>
        <v>47</v>
      </c>
      <c r="O202" s="1">
        <f t="shared" si="27"/>
        <v>1</v>
      </c>
      <c r="P202" s="1">
        <f t="shared" si="28"/>
        <v>0</v>
      </c>
      <c r="Q202" s="1">
        <f t="shared" si="29"/>
        <v>68.08</v>
      </c>
      <c r="R202" s="1" t="str">
        <f t="shared" si="30"/>
        <v>not out</v>
      </c>
      <c r="S202" s="1" t="str">
        <f t="shared" si="31"/>
        <v xml:space="preserve"> West Indies</v>
      </c>
      <c r="T202" s="1" t="str">
        <f t="shared" si="32"/>
        <v>Port of Spain</v>
      </c>
      <c r="U202" s="1" t="str">
        <f t="shared" si="34"/>
        <v>No</v>
      </c>
      <c r="V202" s="1"/>
      <c r="W202" s="1"/>
      <c r="X202" s="1"/>
      <c r="Y202" s="1"/>
      <c r="Z202" s="1"/>
    </row>
    <row r="203" spans="1:26" ht="14.25" customHeight="1">
      <c r="A203" s="1"/>
      <c r="B203" s="1">
        <v>186</v>
      </c>
      <c r="C203" s="1" t="s">
        <v>421</v>
      </c>
      <c r="D203" s="1" t="s">
        <v>143</v>
      </c>
      <c r="E203" s="1" t="s">
        <v>140</v>
      </c>
      <c r="F203" s="1" t="s">
        <v>140</v>
      </c>
      <c r="G203" s="1" t="s">
        <v>422</v>
      </c>
      <c r="H203" s="1" t="s">
        <v>24</v>
      </c>
      <c r="I203" s="1" t="s">
        <v>163</v>
      </c>
      <c r="J203" s="1" t="s">
        <v>76</v>
      </c>
      <c r="K203" s="1"/>
      <c r="L203" s="1" t="str">
        <f t="shared" si="25"/>
        <v>No</v>
      </c>
      <c r="M203" s="1">
        <f t="shared" si="33"/>
        <v>11</v>
      </c>
      <c r="N203" s="1">
        <f t="shared" si="26"/>
        <v>66</v>
      </c>
      <c r="O203" s="1">
        <f t="shared" si="27"/>
        <v>4</v>
      </c>
      <c r="P203" s="1">
        <f t="shared" si="28"/>
        <v>4</v>
      </c>
      <c r="Q203" s="1">
        <f t="shared" si="29"/>
        <v>131.81</v>
      </c>
      <c r="R203" s="1" t="str">
        <f t="shared" si="30"/>
        <v>caught</v>
      </c>
      <c r="S203" s="1" t="str">
        <f t="shared" si="31"/>
        <v xml:space="preserve"> West Indies</v>
      </c>
      <c r="T203" s="1" t="str">
        <f t="shared" si="32"/>
        <v>Port of Spain</v>
      </c>
      <c r="U203" s="1" t="str">
        <f t="shared" si="34"/>
        <v>Yes</v>
      </c>
      <c r="V203" s="1"/>
      <c r="W203" s="1"/>
      <c r="X203" s="1"/>
      <c r="Y203" s="1"/>
      <c r="Z203" s="1"/>
    </row>
    <row r="204" spans="1:26" ht="14.25" customHeight="1">
      <c r="A204" s="1"/>
      <c r="B204" s="1">
        <v>187</v>
      </c>
      <c r="C204" s="1" t="s">
        <v>176</v>
      </c>
      <c r="D204" s="1" t="s">
        <v>129</v>
      </c>
      <c r="E204" s="1" t="s">
        <v>151</v>
      </c>
      <c r="F204" s="1" t="s">
        <v>131</v>
      </c>
      <c r="G204" s="1" t="s">
        <v>204</v>
      </c>
      <c r="H204" s="1" t="s">
        <v>24</v>
      </c>
      <c r="I204" s="1" t="s">
        <v>163</v>
      </c>
      <c r="J204" s="1" t="s">
        <v>77</v>
      </c>
      <c r="K204" s="1"/>
      <c r="L204" s="1" t="str">
        <f t="shared" si="25"/>
        <v>No</v>
      </c>
      <c r="M204" s="1">
        <f t="shared" si="33"/>
        <v>3</v>
      </c>
      <c r="N204" s="1">
        <f t="shared" si="26"/>
        <v>22</v>
      </c>
      <c r="O204" s="1">
        <f t="shared" si="27"/>
        <v>2</v>
      </c>
      <c r="P204" s="1">
        <f t="shared" si="28"/>
        <v>0</v>
      </c>
      <c r="Q204" s="1">
        <f t="shared" si="29"/>
        <v>50</v>
      </c>
      <c r="R204" s="1" t="str">
        <f t="shared" si="30"/>
        <v>caught</v>
      </c>
      <c r="S204" s="1" t="str">
        <f t="shared" si="31"/>
        <v xml:space="preserve"> West Indies</v>
      </c>
      <c r="T204" s="1" t="str">
        <f t="shared" si="32"/>
        <v>North Sound</v>
      </c>
      <c r="U204" s="1" t="str">
        <f t="shared" si="34"/>
        <v>Yes</v>
      </c>
      <c r="V204" s="1"/>
      <c r="W204" s="1"/>
      <c r="X204" s="1"/>
      <c r="Y204" s="1"/>
      <c r="Z204" s="1"/>
    </row>
    <row r="205" spans="1:26" ht="14.25" customHeight="1">
      <c r="A205" s="1"/>
      <c r="B205" s="1">
        <v>188</v>
      </c>
      <c r="C205" s="1" t="s">
        <v>148</v>
      </c>
      <c r="D205" s="1" t="s">
        <v>128</v>
      </c>
      <c r="E205" s="1" t="s">
        <v>131</v>
      </c>
      <c r="F205" s="1" t="s">
        <v>131</v>
      </c>
      <c r="G205" s="1" t="s">
        <v>190</v>
      </c>
      <c r="H205" s="1" t="s">
        <v>24</v>
      </c>
      <c r="I205" s="1" t="s">
        <v>163</v>
      </c>
      <c r="J205" s="1" t="s">
        <v>77</v>
      </c>
      <c r="K205" s="1"/>
      <c r="L205" s="1" t="str">
        <f t="shared" si="25"/>
        <v>No</v>
      </c>
      <c r="M205" s="1">
        <f t="shared" si="33"/>
        <v>111</v>
      </c>
      <c r="N205" s="1">
        <f t="shared" si="26"/>
        <v>12</v>
      </c>
      <c r="O205" s="1">
        <f t="shared" si="27"/>
        <v>0</v>
      </c>
      <c r="P205" s="1">
        <f t="shared" si="28"/>
        <v>0</v>
      </c>
      <c r="Q205" s="1">
        <f t="shared" si="29"/>
        <v>25</v>
      </c>
      <c r="R205" s="1" t="str">
        <f t="shared" si="30"/>
        <v>caught</v>
      </c>
      <c r="S205" s="1" t="str">
        <f t="shared" si="31"/>
        <v xml:space="preserve"> West Indies</v>
      </c>
      <c r="T205" s="1" t="str">
        <f t="shared" si="32"/>
        <v>North Sound</v>
      </c>
      <c r="U205" s="1" t="str">
        <f t="shared" si="34"/>
        <v>Yes</v>
      </c>
      <c r="V205" s="1"/>
      <c r="W205" s="1"/>
      <c r="X205" s="1"/>
      <c r="Y205" s="1"/>
      <c r="Z205" s="1"/>
    </row>
    <row r="206" spans="1:26" ht="14.25" customHeight="1">
      <c r="A206" s="1"/>
      <c r="B206" s="1">
        <v>189</v>
      </c>
      <c r="C206" s="1" t="s">
        <v>423</v>
      </c>
      <c r="D206" s="1" t="s">
        <v>329</v>
      </c>
      <c r="E206" s="1" t="s">
        <v>128</v>
      </c>
      <c r="F206" s="1" t="s">
        <v>151</v>
      </c>
      <c r="G206" s="1" t="s">
        <v>424</v>
      </c>
      <c r="H206" s="1" t="s">
        <v>32</v>
      </c>
      <c r="I206" s="1" t="s">
        <v>163</v>
      </c>
      <c r="J206" s="1" t="s">
        <v>78</v>
      </c>
      <c r="K206" s="1"/>
      <c r="L206" s="1" t="str">
        <f t="shared" si="25"/>
        <v>No</v>
      </c>
      <c r="M206" s="1">
        <f t="shared" si="33"/>
        <v>82</v>
      </c>
      <c r="N206" s="1">
        <f t="shared" si="26"/>
        <v>115</v>
      </c>
      <c r="O206" s="1">
        <f t="shared" si="27"/>
        <v>12</v>
      </c>
      <c r="P206" s="1">
        <f t="shared" si="28"/>
        <v>2</v>
      </c>
      <c r="Q206" s="1">
        <f t="shared" si="29"/>
        <v>96.52</v>
      </c>
      <c r="R206" s="1" t="str">
        <f t="shared" si="30"/>
        <v>not out</v>
      </c>
      <c r="S206" s="1" t="str">
        <f t="shared" si="31"/>
        <v xml:space="preserve"> West Indies</v>
      </c>
      <c r="T206" s="1" t="str">
        <f t="shared" si="32"/>
        <v>Kingston</v>
      </c>
      <c r="U206" s="1" t="str">
        <f t="shared" si="34"/>
        <v>No</v>
      </c>
      <c r="V206" s="1"/>
      <c r="W206" s="1"/>
      <c r="X206" s="1"/>
      <c r="Y206" s="1"/>
      <c r="Z206" s="1"/>
    </row>
    <row r="207" spans="1:26" ht="14.25" customHeight="1">
      <c r="A207" s="1"/>
      <c r="B207" s="1">
        <v>190</v>
      </c>
      <c r="C207" s="1" t="s">
        <v>425</v>
      </c>
      <c r="D207" s="1" t="s">
        <v>222</v>
      </c>
      <c r="E207" s="1" t="s">
        <v>167</v>
      </c>
      <c r="F207" s="1" t="s">
        <v>130</v>
      </c>
      <c r="G207" s="1" t="s">
        <v>426</v>
      </c>
      <c r="H207" s="1" t="s">
        <v>32</v>
      </c>
      <c r="I207" s="1" t="s">
        <v>133</v>
      </c>
      <c r="J207" s="1" t="s">
        <v>21</v>
      </c>
      <c r="K207" s="1"/>
      <c r="L207" s="1" t="str">
        <f t="shared" si="25"/>
        <v>No</v>
      </c>
      <c r="M207" s="1">
        <f t="shared" si="33"/>
        <v>4</v>
      </c>
      <c r="N207" s="1">
        <f t="shared" si="26"/>
        <v>70</v>
      </c>
      <c r="O207" s="1">
        <f t="shared" si="27"/>
        <v>10</v>
      </c>
      <c r="P207" s="1">
        <f t="shared" si="28"/>
        <v>1</v>
      </c>
      <c r="Q207" s="1">
        <f t="shared" si="29"/>
        <v>117.14</v>
      </c>
      <c r="R207" s="1" t="str">
        <f t="shared" si="30"/>
        <v>not out</v>
      </c>
      <c r="S207" s="1" t="str">
        <f t="shared" si="31"/>
        <v xml:space="preserve"> Sri Lanka</v>
      </c>
      <c r="T207" s="1" t="str">
        <f t="shared" si="32"/>
        <v>Dambulla</v>
      </c>
      <c r="U207" s="1" t="str">
        <f t="shared" si="34"/>
        <v>No</v>
      </c>
      <c r="V207" s="1"/>
      <c r="W207" s="1"/>
      <c r="X207" s="1"/>
      <c r="Y207" s="1"/>
      <c r="Z207" s="1"/>
    </row>
    <row r="208" spans="1:26" ht="14.25" customHeight="1">
      <c r="A208" s="1"/>
      <c r="B208" s="1">
        <v>191</v>
      </c>
      <c r="C208" s="1" t="s">
        <v>140</v>
      </c>
      <c r="D208" s="1" t="s">
        <v>151</v>
      </c>
      <c r="E208" s="1" t="s">
        <v>130</v>
      </c>
      <c r="F208" s="1" t="s">
        <v>131</v>
      </c>
      <c r="G208" s="1" t="s">
        <v>427</v>
      </c>
      <c r="H208" s="1" t="s">
        <v>29</v>
      </c>
      <c r="I208" s="1" t="s">
        <v>133</v>
      </c>
      <c r="J208" s="1" t="s">
        <v>95</v>
      </c>
      <c r="K208" s="1"/>
      <c r="L208" s="1" t="str">
        <f t="shared" si="25"/>
        <v>No</v>
      </c>
      <c r="M208" s="1">
        <f t="shared" si="33"/>
        <v>3</v>
      </c>
      <c r="N208" s="1">
        <f t="shared" si="26"/>
        <v>2</v>
      </c>
      <c r="O208" s="1">
        <f t="shared" si="27"/>
        <v>1</v>
      </c>
      <c r="P208" s="1">
        <f t="shared" si="28"/>
        <v>0</v>
      </c>
      <c r="Q208" s="1">
        <f t="shared" si="29"/>
        <v>200</v>
      </c>
      <c r="R208" s="1" t="str">
        <f t="shared" si="30"/>
        <v>bowled</v>
      </c>
      <c r="S208" s="1" t="str">
        <f t="shared" si="31"/>
        <v xml:space="preserve"> Sri Lanka</v>
      </c>
      <c r="T208" s="1" t="str">
        <f t="shared" si="32"/>
        <v>Pallekele</v>
      </c>
      <c r="U208" s="1" t="str">
        <f t="shared" si="34"/>
        <v>Yes</v>
      </c>
      <c r="V208" s="1"/>
      <c r="W208" s="1"/>
      <c r="X208" s="1"/>
      <c r="Y208" s="1"/>
      <c r="Z208" s="1"/>
    </row>
    <row r="209" spans="1:26" ht="14.25" customHeight="1">
      <c r="A209" s="1"/>
      <c r="B209" s="1">
        <v>192</v>
      </c>
      <c r="C209" s="1" t="s">
        <v>148</v>
      </c>
      <c r="D209" s="1" t="s">
        <v>176</v>
      </c>
      <c r="E209" s="1" t="s">
        <v>131</v>
      </c>
      <c r="F209" s="1" t="s">
        <v>131</v>
      </c>
      <c r="G209" s="1" t="s">
        <v>428</v>
      </c>
      <c r="H209" s="1" t="s">
        <v>24</v>
      </c>
      <c r="I209" s="1" t="s">
        <v>133</v>
      </c>
      <c r="J209" s="1" t="s">
        <v>95</v>
      </c>
      <c r="K209" s="1"/>
      <c r="L209" s="1" t="str">
        <f t="shared" si="25"/>
        <v>No</v>
      </c>
      <c r="M209" s="1">
        <f t="shared" si="33"/>
        <v>131</v>
      </c>
      <c r="N209" s="1">
        <f t="shared" si="26"/>
        <v>11</v>
      </c>
      <c r="O209" s="1">
        <f t="shared" si="27"/>
        <v>0</v>
      </c>
      <c r="P209" s="1">
        <f t="shared" si="28"/>
        <v>0</v>
      </c>
      <c r="Q209" s="1">
        <f t="shared" si="29"/>
        <v>27.27</v>
      </c>
      <c r="R209" s="1" t="str">
        <f t="shared" si="30"/>
        <v>caught</v>
      </c>
      <c r="S209" s="1" t="str">
        <f t="shared" si="31"/>
        <v xml:space="preserve"> Sri Lanka</v>
      </c>
      <c r="T209" s="1" t="str">
        <f t="shared" si="32"/>
        <v>Pallekele</v>
      </c>
      <c r="U209" s="1" t="str">
        <f t="shared" si="34"/>
        <v>Yes</v>
      </c>
      <c r="V209" s="1"/>
      <c r="W209" s="1"/>
      <c r="X209" s="1"/>
      <c r="Y209" s="1"/>
      <c r="Z209" s="1"/>
    </row>
    <row r="210" spans="1:26" ht="14.25" customHeight="1">
      <c r="A210" s="1"/>
      <c r="B210" s="1">
        <v>193</v>
      </c>
      <c r="C210" s="1" t="s">
        <v>429</v>
      </c>
      <c r="D210" s="1" t="s">
        <v>430</v>
      </c>
      <c r="E210" s="1" t="s">
        <v>306</v>
      </c>
      <c r="F210" s="1" t="s">
        <v>151</v>
      </c>
      <c r="G210" s="1" t="s">
        <v>431</v>
      </c>
      <c r="H210" s="1" t="s">
        <v>24</v>
      </c>
      <c r="I210" s="1" t="s">
        <v>133</v>
      </c>
      <c r="J210" s="1" t="s">
        <v>27</v>
      </c>
      <c r="K210" s="1"/>
      <c r="L210" s="1" t="str">
        <f t="shared" ref="L210:L273" si="35">IF(OR(C210="DNB",C210="TDNB"),"Yes","No")</f>
        <v>No</v>
      </c>
      <c r="M210" s="1">
        <f t="shared" si="33"/>
        <v>110</v>
      </c>
      <c r="N210" s="1">
        <f t="shared" ref="N210:N273" si="36">IF(D210="-","NA",D210*1)</f>
        <v>96</v>
      </c>
      <c r="O210" s="1">
        <f t="shared" ref="O210:O273" si="37">IF(E210="-","NA",E210*1)</f>
        <v>17</v>
      </c>
      <c r="P210" s="1">
        <f t="shared" ref="P210:P273" si="38">IF(F210="-","NA",F210*1)</f>
        <v>2</v>
      </c>
      <c r="Q210" s="1">
        <f t="shared" ref="Q210:Q273" si="39">IF(G210="-","NA",G210*1)</f>
        <v>136.44999999999999</v>
      </c>
      <c r="R210" s="1" t="str">
        <f t="shared" ref="R210:R273" si="40">IF(H210="-","NA",H210)</f>
        <v>caught</v>
      </c>
      <c r="S210" s="1" t="str">
        <f t="shared" ref="S210:S273" si="41">SUBSTITUTE(I210,"v","")</f>
        <v xml:space="preserve"> Sri Lanka</v>
      </c>
      <c r="T210" s="1" t="str">
        <f t="shared" ref="T210:T273" si="42">J210</f>
        <v>Colombo (RPS)</v>
      </c>
      <c r="U210" s="1" t="str">
        <f t="shared" si="34"/>
        <v>Yes</v>
      </c>
      <c r="V210" s="1"/>
      <c r="W210" s="1"/>
      <c r="X210" s="1"/>
      <c r="Y210" s="1"/>
      <c r="Z210" s="1"/>
    </row>
    <row r="211" spans="1:26" ht="14.25" customHeight="1">
      <c r="A211" s="1"/>
      <c r="B211" s="1">
        <v>194</v>
      </c>
      <c r="C211" s="1" t="s">
        <v>432</v>
      </c>
      <c r="D211" s="1" t="s">
        <v>433</v>
      </c>
      <c r="E211" s="1" t="s">
        <v>161</v>
      </c>
      <c r="F211" s="1" t="s">
        <v>131</v>
      </c>
      <c r="G211" s="1" t="s">
        <v>434</v>
      </c>
      <c r="H211" s="1" t="s">
        <v>32</v>
      </c>
      <c r="I211" s="1" t="s">
        <v>133</v>
      </c>
      <c r="J211" s="1" t="s">
        <v>27</v>
      </c>
      <c r="K211" s="1"/>
      <c r="L211" s="1" t="str">
        <f t="shared" si="35"/>
        <v>No</v>
      </c>
      <c r="M211" s="1">
        <f t="shared" ref="M211:M274" si="43">IF(L212="Yes", "NA",SUBSTITUTE(C212,"*","")*1)</f>
        <v>0</v>
      </c>
      <c r="N211" s="1">
        <f t="shared" si="36"/>
        <v>116</v>
      </c>
      <c r="O211" s="1">
        <f t="shared" si="37"/>
        <v>9</v>
      </c>
      <c r="P211" s="1">
        <f t="shared" si="38"/>
        <v>0</v>
      </c>
      <c r="Q211" s="1">
        <f t="shared" si="39"/>
        <v>94.82</v>
      </c>
      <c r="R211" s="1" t="str">
        <f t="shared" si="40"/>
        <v>not out</v>
      </c>
      <c r="S211" s="1" t="str">
        <f t="shared" si="41"/>
        <v xml:space="preserve"> Sri Lanka</v>
      </c>
      <c r="T211" s="1" t="str">
        <f t="shared" si="42"/>
        <v>Colombo (RPS)</v>
      </c>
      <c r="U211" s="1" t="str">
        <f t="shared" ref="U211:U274" si="44">IF(L211="Yes","No",IF(R211="not out","No","Yes"))</f>
        <v>No</v>
      </c>
      <c r="V211" s="1"/>
      <c r="W211" s="1"/>
      <c r="X211" s="1"/>
      <c r="Y211" s="1"/>
      <c r="Z211" s="1"/>
    </row>
    <row r="212" spans="1:26" ht="14.25" customHeight="1">
      <c r="A212" s="1"/>
      <c r="B212" s="1">
        <v>195</v>
      </c>
      <c r="C212" s="1" t="s">
        <v>131</v>
      </c>
      <c r="D212" s="1" t="s">
        <v>140</v>
      </c>
      <c r="E212" s="1" t="s">
        <v>131</v>
      </c>
      <c r="F212" s="1" t="s">
        <v>131</v>
      </c>
      <c r="G212" s="1" t="s">
        <v>210</v>
      </c>
      <c r="H212" s="1" t="s">
        <v>24</v>
      </c>
      <c r="I212" s="1" t="s">
        <v>158</v>
      </c>
      <c r="J212" s="1" t="s">
        <v>68</v>
      </c>
      <c r="K212" s="1"/>
      <c r="L212" s="1" t="str">
        <f t="shared" si="35"/>
        <v>No</v>
      </c>
      <c r="M212" s="1">
        <f t="shared" si="43"/>
        <v>92</v>
      </c>
      <c r="N212" s="1">
        <f t="shared" si="36"/>
        <v>4</v>
      </c>
      <c r="O212" s="1">
        <f t="shared" si="37"/>
        <v>0</v>
      </c>
      <c r="P212" s="1">
        <f t="shared" si="38"/>
        <v>0</v>
      </c>
      <c r="Q212" s="1">
        <f t="shared" si="39"/>
        <v>0</v>
      </c>
      <c r="R212" s="1" t="str">
        <f t="shared" si="40"/>
        <v>caught</v>
      </c>
      <c r="S212" s="1" t="str">
        <f t="shared" si="41"/>
        <v xml:space="preserve"> Australia</v>
      </c>
      <c r="T212" s="1" t="str">
        <f t="shared" si="42"/>
        <v>Chennai</v>
      </c>
      <c r="U212" s="1" t="str">
        <f t="shared" si="44"/>
        <v>Yes</v>
      </c>
      <c r="V212" s="1"/>
      <c r="W212" s="1"/>
      <c r="X212" s="1"/>
      <c r="Y212" s="1"/>
      <c r="Z212" s="1"/>
    </row>
    <row r="213" spans="1:26" ht="14.25" customHeight="1">
      <c r="A213" s="1"/>
      <c r="B213" s="1">
        <v>196</v>
      </c>
      <c r="C213" s="1" t="s">
        <v>197</v>
      </c>
      <c r="D213" s="1" t="s">
        <v>174</v>
      </c>
      <c r="E213" s="1" t="s">
        <v>189</v>
      </c>
      <c r="F213" s="1" t="s">
        <v>131</v>
      </c>
      <c r="G213" s="1" t="s">
        <v>435</v>
      </c>
      <c r="H213" s="1" t="s">
        <v>29</v>
      </c>
      <c r="I213" s="1" t="s">
        <v>158</v>
      </c>
      <c r="J213" s="1" t="s">
        <v>51</v>
      </c>
      <c r="K213" s="1"/>
      <c r="L213" s="1" t="str">
        <f t="shared" si="35"/>
        <v>No</v>
      </c>
      <c r="M213" s="1">
        <f t="shared" si="43"/>
        <v>28</v>
      </c>
      <c r="N213" s="1">
        <f t="shared" si="36"/>
        <v>107</v>
      </c>
      <c r="O213" s="1">
        <f t="shared" si="37"/>
        <v>8</v>
      </c>
      <c r="P213" s="1">
        <f t="shared" si="38"/>
        <v>0</v>
      </c>
      <c r="Q213" s="1">
        <f t="shared" si="39"/>
        <v>85.98</v>
      </c>
      <c r="R213" s="1" t="str">
        <f t="shared" si="40"/>
        <v>bowled</v>
      </c>
      <c r="S213" s="1" t="str">
        <f t="shared" si="41"/>
        <v xml:space="preserve"> Australia</v>
      </c>
      <c r="T213" s="1" t="str">
        <f t="shared" si="42"/>
        <v>Eden Gardens</v>
      </c>
      <c r="U213" s="1" t="str">
        <f t="shared" si="44"/>
        <v>Yes</v>
      </c>
      <c r="V213" s="1"/>
      <c r="W213" s="1"/>
      <c r="X213" s="1"/>
      <c r="Y213" s="1"/>
      <c r="Z213" s="1"/>
    </row>
    <row r="214" spans="1:26" ht="14.25" customHeight="1">
      <c r="A214" s="1"/>
      <c r="B214" s="1">
        <v>197</v>
      </c>
      <c r="C214" s="1" t="s">
        <v>207</v>
      </c>
      <c r="D214" s="1" t="s">
        <v>248</v>
      </c>
      <c r="E214" s="1" t="s">
        <v>151</v>
      </c>
      <c r="F214" s="1" t="s">
        <v>131</v>
      </c>
      <c r="G214" s="1" t="s">
        <v>361</v>
      </c>
      <c r="H214" s="1" t="s">
        <v>24</v>
      </c>
      <c r="I214" s="1" t="s">
        <v>158</v>
      </c>
      <c r="J214" s="1" t="s">
        <v>87</v>
      </c>
      <c r="K214" s="1"/>
      <c r="L214" s="1" t="str">
        <f t="shared" si="35"/>
        <v>No</v>
      </c>
      <c r="M214" s="1">
        <f t="shared" si="43"/>
        <v>21</v>
      </c>
      <c r="N214" s="1">
        <f t="shared" si="36"/>
        <v>35</v>
      </c>
      <c r="O214" s="1">
        <f t="shared" si="37"/>
        <v>2</v>
      </c>
      <c r="P214" s="1">
        <f t="shared" si="38"/>
        <v>0</v>
      </c>
      <c r="Q214" s="1">
        <f t="shared" si="39"/>
        <v>80</v>
      </c>
      <c r="R214" s="1" t="str">
        <f t="shared" si="40"/>
        <v>caught</v>
      </c>
      <c r="S214" s="1" t="str">
        <f t="shared" si="41"/>
        <v xml:space="preserve"> Australia</v>
      </c>
      <c r="T214" s="1" t="str">
        <f t="shared" si="42"/>
        <v>Indore</v>
      </c>
      <c r="U214" s="1" t="str">
        <f t="shared" si="44"/>
        <v>Yes</v>
      </c>
      <c r="V214" s="1"/>
      <c r="W214" s="1"/>
      <c r="X214" s="1"/>
      <c r="Y214" s="1"/>
      <c r="Z214" s="1"/>
    </row>
    <row r="215" spans="1:26" ht="14.25" customHeight="1">
      <c r="A215" s="1"/>
      <c r="B215" s="1">
        <v>198</v>
      </c>
      <c r="C215" s="1" t="s">
        <v>246</v>
      </c>
      <c r="D215" s="1" t="s">
        <v>246</v>
      </c>
      <c r="E215" s="1" t="s">
        <v>148</v>
      </c>
      <c r="F215" s="1" t="s">
        <v>131</v>
      </c>
      <c r="G215" s="1" t="s">
        <v>152</v>
      </c>
      <c r="H215" s="1" t="s">
        <v>29</v>
      </c>
      <c r="I215" s="1" t="s">
        <v>158</v>
      </c>
      <c r="J215" s="1" t="s">
        <v>67</v>
      </c>
      <c r="K215" s="1"/>
      <c r="L215" s="1" t="str">
        <f t="shared" si="35"/>
        <v>No</v>
      </c>
      <c r="M215" s="1">
        <f t="shared" si="43"/>
        <v>39</v>
      </c>
      <c r="N215" s="1">
        <f t="shared" si="36"/>
        <v>21</v>
      </c>
      <c r="O215" s="1">
        <f t="shared" si="37"/>
        <v>3</v>
      </c>
      <c r="P215" s="1">
        <f t="shared" si="38"/>
        <v>0</v>
      </c>
      <c r="Q215" s="1">
        <f t="shared" si="39"/>
        <v>100</v>
      </c>
      <c r="R215" s="1" t="str">
        <f t="shared" si="40"/>
        <v>bowled</v>
      </c>
      <c r="S215" s="1" t="str">
        <f t="shared" si="41"/>
        <v xml:space="preserve"> Australia</v>
      </c>
      <c r="T215" s="1" t="str">
        <f t="shared" si="42"/>
        <v>Bengaluru</v>
      </c>
      <c r="U215" s="1" t="str">
        <f t="shared" si="44"/>
        <v>Yes</v>
      </c>
      <c r="V215" s="1"/>
      <c r="W215" s="1"/>
      <c r="X215" s="1"/>
      <c r="Y215" s="1"/>
      <c r="Z215" s="1"/>
    </row>
    <row r="216" spans="1:26" ht="14.25" customHeight="1">
      <c r="A216" s="1"/>
      <c r="B216" s="1">
        <v>199</v>
      </c>
      <c r="C216" s="1" t="s">
        <v>436</v>
      </c>
      <c r="D216" s="1" t="s">
        <v>255</v>
      </c>
      <c r="E216" s="1" t="s">
        <v>151</v>
      </c>
      <c r="F216" s="1" t="s">
        <v>131</v>
      </c>
      <c r="G216" s="1" t="s">
        <v>437</v>
      </c>
      <c r="H216" s="1" t="s">
        <v>24</v>
      </c>
      <c r="I216" s="1" t="s">
        <v>158</v>
      </c>
      <c r="J216" s="1" t="s">
        <v>50</v>
      </c>
      <c r="K216" s="1"/>
      <c r="L216" s="1" t="str">
        <f t="shared" si="35"/>
        <v>No</v>
      </c>
      <c r="M216" s="1">
        <f t="shared" si="43"/>
        <v>121</v>
      </c>
      <c r="N216" s="1">
        <f t="shared" si="36"/>
        <v>55</v>
      </c>
      <c r="O216" s="1">
        <f t="shared" si="37"/>
        <v>2</v>
      </c>
      <c r="P216" s="1">
        <f t="shared" si="38"/>
        <v>0</v>
      </c>
      <c r="Q216" s="1">
        <f t="shared" si="39"/>
        <v>70.900000000000006</v>
      </c>
      <c r="R216" s="1" t="str">
        <f t="shared" si="40"/>
        <v>caught</v>
      </c>
      <c r="S216" s="1" t="str">
        <f t="shared" si="41"/>
        <v xml:space="preserve"> Australia</v>
      </c>
      <c r="T216" s="1" t="str">
        <f t="shared" si="42"/>
        <v>Nagpur</v>
      </c>
      <c r="U216" s="1" t="str">
        <f t="shared" si="44"/>
        <v>Yes</v>
      </c>
      <c r="V216" s="1"/>
      <c r="W216" s="1"/>
      <c r="X216" s="1"/>
      <c r="Y216" s="1"/>
      <c r="Z216" s="1"/>
    </row>
    <row r="217" spans="1:26" ht="14.25" customHeight="1">
      <c r="A217" s="1"/>
      <c r="B217" s="1">
        <v>200</v>
      </c>
      <c r="C217" s="1" t="s">
        <v>214</v>
      </c>
      <c r="D217" s="1" t="s">
        <v>438</v>
      </c>
      <c r="E217" s="1" t="s">
        <v>161</v>
      </c>
      <c r="F217" s="1" t="s">
        <v>151</v>
      </c>
      <c r="G217" s="1" t="s">
        <v>439</v>
      </c>
      <c r="H217" s="1" t="s">
        <v>24</v>
      </c>
      <c r="I217" s="1" t="s">
        <v>211</v>
      </c>
      <c r="J217" s="1" t="s">
        <v>75</v>
      </c>
      <c r="K217" s="1"/>
      <c r="L217" s="1" t="str">
        <f t="shared" si="35"/>
        <v>No</v>
      </c>
      <c r="M217" s="1">
        <f t="shared" si="43"/>
        <v>29</v>
      </c>
      <c r="N217" s="1">
        <f t="shared" si="36"/>
        <v>125</v>
      </c>
      <c r="O217" s="1">
        <f t="shared" si="37"/>
        <v>9</v>
      </c>
      <c r="P217" s="1">
        <f t="shared" si="38"/>
        <v>2</v>
      </c>
      <c r="Q217" s="1">
        <f t="shared" si="39"/>
        <v>96.8</v>
      </c>
      <c r="R217" s="1" t="str">
        <f t="shared" si="40"/>
        <v>caught</v>
      </c>
      <c r="S217" s="1" t="str">
        <f t="shared" si="41"/>
        <v xml:space="preserve"> New Zealand</v>
      </c>
      <c r="T217" s="1" t="str">
        <f t="shared" si="42"/>
        <v>Wankhede</v>
      </c>
      <c r="U217" s="1" t="str">
        <f t="shared" si="44"/>
        <v>Yes</v>
      </c>
      <c r="V217" s="1"/>
      <c r="W217" s="1"/>
      <c r="X217" s="1"/>
      <c r="Y217" s="1"/>
      <c r="Z217" s="1"/>
    </row>
    <row r="218" spans="1:26" ht="14.25" customHeight="1">
      <c r="A218" s="1"/>
      <c r="B218" s="1">
        <v>201</v>
      </c>
      <c r="C218" s="1" t="s">
        <v>200</v>
      </c>
      <c r="D218" s="1" t="s">
        <v>200</v>
      </c>
      <c r="E218" s="1" t="s">
        <v>148</v>
      </c>
      <c r="F218" s="1" t="s">
        <v>130</v>
      </c>
      <c r="G218" s="1" t="s">
        <v>152</v>
      </c>
      <c r="H218" s="1" t="s">
        <v>24</v>
      </c>
      <c r="I218" s="1" t="s">
        <v>211</v>
      </c>
      <c r="J218" s="1" t="s">
        <v>100</v>
      </c>
      <c r="K218" s="1"/>
      <c r="L218" s="1" t="str">
        <f t="shared" si="35"/>
        <v>No</v>
      </c>
      <c r="M218" s="1">
        <f t="shared" si="43"/>
        <v>113</v>
      </c>
      <c r="N218" s="1">
        <f t="shared" si="36"/>
        <v>29</v>
      </c>
      <c r="O218" s="1">
        <f t="shared" si="37"/>
        <v>3</v>
      </c>
      <c r="P218" s="1">
        <f t="shared" si="38"/>
        <v>1</v>
      </c>
      <c r="Q218" s="1">
        <f t="shared" si="39"/>
        <v>100</v>
      </c>
      <c r="R218" s="1" t="str">
        <f t="shared" si="40"/>
        <v>caught</v>
      </c>
      <c r="S218" s="1" t="str">
        <f t="shared" si="41"/>
        <v xml:space="preserve"> New Zealand</v>
      </c>
      <c r="T218" s="1" t="str">
        <f t="shared" si="42"/>
        <v>Pune</v>
      </c>
      <c r="U218" s="1" t="str">
        <f t="shared" si="44"/>
        <v>Yes</v>
      </c>
      <c r="V218" s="1"/>
      <c r="W218" s="1"/>
      <c r="X218" s="1"/>
      <c r="Y218" s="1"/>
      <c r="Z218" s="1"/>
    </row>
    <row r="219" spans="1:26" ht="14.25" customHeight="1">
      <c r="A219" s="1"/>
      <c r="B219" s="1">
        <v>202</v>
      </c>
      <c r="C219" s="1" t="s">
        <v>297</v>
      </c>
      <c r="D219" s="1" t="s">
        <v>296</v>
      </c>
      <c r="E219" s="1" t="s">
        <v>161</v>
      </c>
      <c r="F219" s="1" t="s">
        <v>130</v>
      </c>
      <c r="G219" s="1" t="s">
        <v>440</v>
      </c>
      <c r="H219" s="1" t="s">
        <v>24</v>
      </c>
      <c r="I219" s="1" t="s">
        <v>211</v>
      </c>
      <c r="J219" s="1" t="s">
        <v>101</v>
      </c>
      <c r="K219" s="1"/>
      <c r="L219" s="1" t="str">
        <f t="shared" si="35"/>
        <v>No</v>
      </c>
      <c r="M219" s="1">
        <f t="shared" si="43"/>
        <v>112</v>
      </c>
      <c r="N219" s="1">
        <f t="shared" si="36"/>
        <v>106</v>
      </c>
      <c r="O219" s="1">
        <f t="shared" si="37"/>
        <v>9</v>
      </c>
      <c r="P219" s="1">
        <f t="shared" si="38"/>
        <v>1</v>
      </c>
      <c r="Q219" s="1">
        <f t="shared" si="39"/>
        <v>106.6</v>
      </c>
      <c r="R219" s="1" t="str">
        <f t="shared" si="40"/>
        <v>caught</v>
      </c>
      <c r="S219" s="1" t="str">
        <f t="shared" si="41"/>
        <v xml:space="preserve"> New Zealand</v>
      </c>
      <c r="T219" s="1" t="str">
        <f t="shared" si="42"/>
        <v>Kanpur</v>
      </c>
      <c r="U219" s="1" t="str">
        <f t="shared" si="44"/>
        <v>Yes</v>
      </c>
      <c r="V219" s="1"/>
      <c r="W219" s="1"/>
      <c r="X219" s="1"/>
      <c r="Y219" s="1"/>
      <c r="Z219" s="1"/>
    </row>
    <row r="220" spans="1:26" ht="14.25" customHeight="1">
      <c r="A220" s="1"/>
      <c r="B220" s="1">
        <v>203</v>
      </c>
      <c r="C220" s="1" t="s">
        <v>441</v>
      </c>
      <c r="D220" s="1" t="s">
        <v>302</v>
      </c>
      <c r="E220" s="1" t="s">
        <v>167</v>
      </c>
      <c r="F220" s="1" t="s">
        <v>131</v>
      </c>
      <c r="G220" s="1" t="s">
        <v>278</v>
      </c>
      <c r="H220" s="1" t="s">
        <v>24</v>
      </c>
      <c r="I220" s="1" t="s">
        <v>191</v>
      </c>
      <c r="J220" s="1" t="s">
        <v>69</v>
      </c>
      <c r="K220" s="1"/>
      <c r="L220" s="1" t="str">
        <f t="shared" si="35"/>
        <v>No</v>
      </c>
      <c r="M220" s="1">
        <f t="shared" si="43"/>
        <v>46</v>
      </c>
      <c r="N220" s="1">
        <f t="shared" si="36"/>
        <v>119</v>
      </c>
      <c r="O220" s="1">
        <f t="shared" si="37"/>
        <v>10</v>
      </c>
      <c r="P220" s="1">
        <f t="shared" si="38"/>
        <v>0</v>
      </c>
      <c r="Q220" s="1">
        <f t="shared" si="39"/>
        <v>94.11</v>
      </c>
      <c r="R220" s="1" t="str">
        <f t="shared" si="40"/>
        <v>caught</v>
      </c>
      <c r="S220" s="1" t="str">
        <f t="shared" si="41"/>
        <v xml:space="preserve"> South Africa</v>
      </c>
      <c r="T220" s="1" t="str">
        <f t="shared" si="42"/>
        <v>Durban</v>
      </c>
      <c r="U220" s="1" t="str">
        <f t="shared" si="44"/>
        <v>Yes</v>
      </c>
      <c r="V220" s="1"/>
      <c r="W220" s="1"/>
      <c r="X220" s="1"/>
      <c r="Y220" s="1"/>
      <c r="Z220" s="1"/>
    </row>
    <row r="221" spans="1:26" ht="14.25" customHeight="1">
      <c r="A221" s="1"/>
      <c r="B221" s="1">
        <v>204</v>
      </c>
      <c r="C221" s="1" t="s">
        <v>442</v>
      </c>
      <c r="D221" s="1" t="s">
        <v>360</v>
      </c>
      <c r="E221" s="1" t="s">
        <v>140</v>
      </c>
      <c r="F221" s="1" t="s">
        <v>130</v>
      </c>
      <c r="G221" s="1" t="s">
        <v>443</v>
      </c>
      <c r="H221" s="1" t="s">
        <v>32</v>
      </c>
      <c r="I221" s="1" t="s">
        <v>191</v>
      </c>
      <c r="J221" s="1" t="s">
        <v>36</v>
      </c>
      <c r="K221" s="1"/>
      <c r="L221" s="1" t="str">
        <f t="shared" si="35"/>
        <v>No</v>
      </c>
      <c r="M221" s="1">
        <f t="shared" si="43"/>
        <v>160</v>
      </c>
      <c r="N221" s="1">
        <f t="shared" si="36"/>
        <v>50</v>
      </c>
      <c r="O221" s="1">
        <f t="shared" si="37"/>
        <v>4</v>
      </c>
      <c r="P221" s="1">
        <f t="shared" si="38"/>
        <v>1</v>
      </c>
      <c r="Q221" s="1">
        <f t="shared" si="39"/>
        <v>92</v>
      </c>
      <c r="R221" s="1" t="str">
        <f t="shared" si="40"/>
        <v>not out</v>
      </c>
      <c r="S221" s="1" t="str">
        <f t="shared" si="41"/>
        <v xml:space="preserve"> South Africa</v>
      </c>
      <c r="T221" s="1" t="str">
        <f t="shared" si="42"/>
        <v>Centurion</v>
      </c>
      <c r="U221" s="1" t="str">
        <f t="shared" si="44"/>
        <v>No</v>
      </c>
      <c r="V221" s="1"/>
      <c r="W221" s="1"/>
      <c r="X221" s="1"/>
      <c r="Y221" s="1"/>
      <c r="Z221" s="1"/>
    </row>
    <row r="222" spans="1:26" ht="14.25" customHeight="1">
      <c r="A222" s="1"/>
      <c r="B222" s="1">
        <v>205</v>
      </c>
      <c r="C222" s="1" t="s">
        <v>444</v>
      </c>
      <c r="D222" s="1" t="s">
        <v>445</v>
      </c>
      <c r="E222" s="1" t="s">
        <v>128</v>
      </c>
      <c r="F222" s="1" t="s">
        <v>151</v>
      </c>
      <c r="G222" s="1" t="s">
        <v>446</v>
      </c>
      <c r="H222" s="1" t="s">
        <v>32</v>
      </c>
      <c r="I222" s="1" t="s">
        <v>191</v>
      </c>
      <c r="J222" s="1" t="s">
        <v>70</v>
      </c>
      <c r="K222" s="1"/>
      <c r="L222" s="1" t="str">
        <f t="shared" si="35"/>
        <v>No</v>
      </c>
      <c r="M222" s="1">
        <f t="shared" si="43"/>
        <v>75</v>
      </c>
      <c r="N222" s="1">
        <f t="shared" si="36"/>
        <v>159</v>
      </c>
      <c r="O222" s="1">
        <f t="shared" si="37"/>
        <v>12</v>
      </c>
      <c r="P222" s="1">
        <f t="shared" si="38"/>
        <v>2</v>
      </c>
      <c r="Q222" s="1">
        <f t="shared" si="39"/>
        <v>100.62</v>
      </c>
      <c r="R222" s="1" t="str">
        <f t="shared" si="40"/>
        <v>not out</v>
      </c>
      <c r="S222" s="1" t="str">
        <f t="shared" si="41"/>
        <v xml:space="preserve"> South Africa</v>
      </c>
      <c r="T222" s="1" t="str">
        <f t="shared" si="42"/>
        <v>Cape Town</v>
      </c>
      <c r="U222" s="1" t="str">
        <f t="shared" si="44"/>
        <v>No</v>
      </c>
      <c r="V222" s="1"/>
      <c r="W222" s="1"/>
      <c r="X222" s="1"/>
      <c r="Y222" s="1"/>
      <c r="Z222" s="1"/>
    </row>
    <row r="223" spans="1:26" ht="14.25" customHeight="1">
      <c r="A223" s="1"/>
      <c r="B223" s="1">
        <v>206</v>
      </c>
      <c r="C223" s="1" t="s">
        <v>447</v>
      </c>
      <c r="D223" s="1" t="s">
        <v>231</v>
      </c>
      <c r="E223" s="1" t="s">
        <v>144</v>
      </c>
      <c r="F223" s="1" t="s">
        <v>130</v>
      </c>
      <c r="G223" s="1" t="s">
        <v>448</v>
      </c>
      <c r="H223" s="1" t="s">
        <v>24</v>
      </c>
      <c r="I223" s="1" t="s">
        <v>191</v>
      </c>
      <c r="J223" s="1" t="s">
        <v>43</v>
      </c>
      <c r="K223" s="1"/>
      <c r="L223" s="1" t="str">
        <f t="shared" si="35"/>
        <v>No</v>
      </c>
      <c r="M223" s="1">
        <f t="shared" si="43"/>
        <v>36</v>
      </c>
      <c r="N223" s="1">
        <f t="shared" si="36"/>
        <v>83</v>
      </c>
      <c r="O223" s="1">
        <f t="shared" si="37"/>
        <v>7</v>
      </c>
      <c r="P223" s="1">
        <f t="shared" si="38"/>
        <v>1</v>
      </c>
      <c r="Q223" s="1">
        <f t="shared" si="39"/>
        <v>90.36</v>
      </c>
      <c r="R223" s="1" t="str">
        <f t="shared" si="40"/>
        <v>caught</v>
      </c>
      <c r="S223" s="1" t="str">
        <f t="shared" si="41"/>
        <v xml:space="preserve"> South Africa</v>
      </c>
      <c r="T223" s="1" t="str">
        <f t="shared" si="42"/>
        <v>Johannesburg</v>
      </c>
      <c r="U223" s="1" t="str">
        <f t="shared" si="44"/>
        <v>Yes</v>
      </c>
      <c r="V223" s="1"/>
      <c r="W223" s="1"/>
      <c r="X223" s="1"/>
      <c r="Y223" s="1"/>
      <c r="Z223" s="1"/>
    </row>
    <row r="224" spans="1:26" ht="14.25" customHeight="1">
      <c r="A224" s="1"/>
      <c r="B224" s="1">
        <v>207</v>
      </c>
      <c r="C224" s="1" t="s">
        <v>258</v>
      </c>
      <c r="D224" s="1" t="s">
        <v>142</v>
      </c>
      <c r="E224" s="1" t="s">
        <v>151</v>
      </c>
      <c r="F224" s="1" t="s">
        <v>131</v>
      </c>
      <c r="G224" s="1" t="s">
        <v>155</v>
      </c>
      <c r="H224" s="1" t="s">
        <v>26</v>
      </c>
      <c r="I224" s="1" t="s">
        <v>191</v>
      </c>
      <c r="J224" s="1" t="s">
        <v>71</v>
      </c>
      <c r="K224" s="1"/>
      <c r="L224" s="1" t="str">
        <f t="shared" si="35"/>
        <v>No</v>
      </c>
      <c r="M224" s="1">
        <f t="shared" si="43"/>
        <v>129</v>
      </c>
      <c r="N224" s="1">
        <f t="shared" si="36"/>
        <v>54</v>
      </c>
      <c r="O224" s="1">
        <f t="shared" si="37"/>
        <v>2</v>
      </c>
      <c r="P224" s="1">
        <f t="shared" si="38"/>
        <v>0</v>
      </c>
      <c r="Q224" s="1">
        <f t="shared" si="39"/>
        <v>66.66</v>
      </c>
      <c r="R224" s="1" t="str">
        <f t="shared" si="40"/>
        <v>run out</v>
      </c>
      <c r="S224" s="1" t="str">
        <f t="shared" si="41"/>
        <v xml:space="preserve"> South Africa</v>
      </c>
      <c r="T224" s="1" t="str">
        <f t="shared" si="42"/>
        <v>Gqeberha</v>
      </c>
      <c r="U224" s="1" t="str">
        <f t="shared" si="44"/>
        <v>Yes</v>
      </c>
      <c r="V224" s="1"/>
      <c r="W224" s="1"/>
      <c r="X224" s="1"/>
      <c r="Y224" s="1"/>
      <c r="Z224" s="1"/>
    </row>
    <row r="225" spans="1:26" ht="14.25" customHeight="1">
      <c r="A225" s="1"/>
      <c r="B225" s="1">
        <v>208</v>
      </c>
      <c r="C225" s="1" t="s">
        <v>449</v>
      </c>
      <c r="D225" s="1" t="s">
        <v>430</v>
      </c>
      <c r="E225" s="1" t="s">
        <v>170</v>
      </c>
      <c r="F225" s="1" t="s">
        <v>151</v>
      </c>
      <c r="G225" s="1" t="s">
        <v>450</v>
      </c>
      <c r="H225" s="1" t="s">
        <v>32</v>
      </c>
      <c r="I225" s="1" t="s">
        <v>191</v>
      </c>
      <c r="J225" s="1" t="s">
        <v>36</v>
      </c>
      <c r="K225" s="1"/>
      <c r="L225" s="1" t="str">
        <f t="shared" si="35"/>
        <v>No</v>
      </c>
      <c r="M225" s="1">
        <f t="shared" si="43"/>
        <v>75</v>
      </c>
      <c r="N225" s="1">
        <f t="shared" si="36"/>
        <v>96</v>
      </c>
      <c r="O225" s="1">
        <f t="shared" si="37"/>
        <v>19</v>
      </c>
      <c r="P225" s="1">
        <f t="shared" si="38"/>
        <v>2</v>
      </c>
      <c r="Q225" s="1">
        <f t="shared" si="39"/>
        <v>134.37</v>
      </c>
      <c r="R225" s="1" t="str">
        <f t="shared" si="40"/>
        <v>not out</v>
      </c>
      <c r="S225" s="1" t="str">
        <f t="shared" si="41"/>
        <v xml:space="preserve"> South Africa</v>
      </c>
      <c r="T225" s="1" t="str">
        <f t="shared" si="42"/>
        <v>Centurion</v>
      </c>
      <c r="U225" s="1" t="str">
        <f t="shared" si="44"/>
        <v>No</v>
      </c>
      <c r="V225" s="1"/>
      <c r="W225" s="1"/>
      <c r="X225" s="1"/>
      <c r="Y225" s="1"/>
      <c r="Z225" s="1"/>
    </row>
    <row r="226" spans="1:26" ht="14.25" customHeight="1">
      <c r="A226" s="1"/>
      <c r="B226" s="1">
        <v>209</v>
      </c>
      <c r="C226" s="1" t="s">
        <v>447</v>
      </c>
      <c r="D226" s="1" t="s">
        <v>196</v>
      </c>
      <c r="E226" s="1" t="s">
        <v>144</v>
      </c>
      <c r="F226" s="1" t="s">
        <v>131</v>
      </c>
      <c r="G226" s="1" t="s">
        <v>451</v>
      </c>
      <c r="H226" s="1" t="s">
        <v>63</v>
      </c>
      <c r="I226" s="1" t="s">
        <v>234</v>
      </c>
      <c r="J226" s="1" t="s">
        <v>108</v>
      </c>
      <c r="K226" s="1"/>
      <c r="L226" s="1" t="str">
        <f t="shared" si="35"/>
        <v>No</v>
      </c>
      <c r="M226" s="1">
        <f t="shared" si="43"/>
        <v>45</v>
      </c>
      <c r="N226" s="1">
        <f t="shared" si="36"/>
        <v>82</v>
      </c>
      <c r="O226" s="1">
        <f t="shared" si="37"/>
        <v>7</v>
      </c>
      <c r="P226" s="1">
        <f t="shared" si="38"/>
        <v>0</v>
      </c>
      <c r="Q226" s="1">
        <f t="shared" si="39"/>
        <v>91.46</v>
      </c>
      <c r="R226" s="1" t="str">
        <f t="shared" si="40"/>
        <v>stumped</v>
      </c>
      <c r="S226" s="1" t="str">
        <f t="shared" si="41"/>
        <v xml:space="preserve"> England</v>
      </c>
      <c r="T226" s="1" t="str">
        <f t="shared" si="42"/>
        <v>Nottingham</v>
      </c>
      <c r="U226" s="1" t="str">
        <f t="shared" si="44"/>
        <v>Yes</v>
      </c>
      <c r="V226" s="1"/>
      <c r="W226" s="1"/>
      <c r="X226" s="1"/>
      <c r="Y226" s="1"/>
      <c r="Z226" s="1"/>
    </row>
    <row r="227" spans="1:26" ht="14.25" customHeight="1">
      <c r="A227" s="1"/>
      <c r="B227" s="1">
        <v>210</v>
      </c>
      <c r="C227" s="1" t="s">
        <v>405</v>
      </c>
      <c r="D227" s="1" t="s">
        <v>452</v>
      </c>
      <c r="E227" s="1" t="s">
        <v>151</v>
      </c>
      <c r="F227" s="1" t="s">
        <v>131</v>
      </c>
      <c r="G227" s="1" t="s">
        <v>453</v>
      </c>
      <c r="H227" s="1" t="s">
        <v>19</v>
      </c>
      <c r="I227" s="1" t="s">
        <v>234</v>
      </c>
      <c r="J227" s="1" t="s">
        <v>82</v>
      </c>
      <c r="K227" s="1"/>
      <c r="L227" s="1" t="str">
        <f t="shared" si="35"/>
        <v>No</v>
      </c>
      <c r="M227" s="1">
        <f t="shared" si="43"/>
        <v>71</v>
      </c>
      <c r="N227" s="1">
        <f t="shared" si="36"/>
        <v>56</v>
      </c>
      <c r="O227" s="1">
        <f t="shared" si="37"/>
        <v>2</v>
      </c>
      <c r="P227" s="1">
        <f t="shared" si="38"/>
        <v>0</v>
      </c>
      <c r="Q227" s="1">
        <f t="shared" si="39"/>
        <v>80.349999999999994</v>
      </c>
      <c r="R227" s="1" t="str">
        <f t="shared" si="40"/>
        <v>lbw</v>
      </c>
      <c r="S227" s="1" t="str">
        <f t="shared" si="41"/>
        <v xml:space="preserve"> England</v>
      </c>
      <c r="T227" s="1" t="str">
        <f t="shared" si="42"/>
        <v>Lord's</v>
      </c>
      <c r="U227" s="1" t="str">
        <f t="shared" si="44"/>
        <v>Yes</v>
      </c>
      <c r="V227" s="1"/>
      <c r="W227" s="1"/>
      <c r="X227" s="1"/>
      <c r="Y227" s="1"/>
      <c r="Z227" s="1"/>
    </row>
    <row r="228" spans="1:26" ht="14.25" customHeight="1">
      <c r="A228" s="1"/>
      <c r="B228" s="1">
        <v>211</v>
      </c>
      <c r="C228" s="1" t="s">
        <v>193</v>
      </c>
      <c r="D228" s="1" t="s">
        <v>454</v>
      </c>
      <c r="E228" s="1" t="s">
        <v>189</v>
      </c>
      <c r="F228" s="1" t="s">
        <v>131</v>
      </c>
      <c r="G228" s="1" t="s">
        <v>455</v>
      </c>
      <c r="H228" s="1" t="s">
        <v>29</v>
      </c>
      <c r="I228" s="1" t="s">
        <v>234</v>
      </c>
      <c r="J228" s="1" t="s">
        <v>109</v>
      </c>
      <c r="K228" s="1"/>
      <c r="L228" s="1" t="str">
        <f t="shared" si="35"/>
        <v>No</v>
      </c>
      <c r="M228" s="1">
        <f t="shared" si="43"/>
        <v>140</v>
      </c>
      <c r="N228" s="1">
        <f t="shared" si="36"/>
        <v>72</v>
      </c>
      <c r="O228" s="1">
        <f t="shared" si="37"/>
        <v>8</v>
      </c>
      <c r="P228" s="1">
        <f t="shared" si="38"/>
        <v>0</v>
      </c>
      <c r="Q228" s="1">
        <f t="shared" si="39"/>
        <v>98.61</v>
      </c>
      <c r="R228" s="1" t="str">
        <f t="shared" si="40"/>
        <v>bowled</v>
      </c>
      <c r="S228" s="1" t="str">
        <f t="shared" si="41"/>
        <v xml:space="preserve"> England</v>
      </c>
      <c r="T228" s="1" t="str">
        <f t="shared" si="42"/>
        <v>Leeds</v>
      </c>
      <c r="U228" s="1" t="str">
        <f t="shared" si="44"/>
        <v>Yes</v>
      </c>
      <c r="V228" s="1"/>
      <c r="W228" s="1"/>
      <c r="X228" s="1"/>
      <c r="Y228" s="1"/>
      <c r="Z228" s="1"/>
    </row>
    <row r="229" spans="1:26" ht="14.25" customHeight="1">
      <c r="A229" s="1"/>
      <c r="B229" s="1">
        <v>212</v>
      </c>
      <c r="C229" s="1" t="s">
        <v>393</v>
      </c>
      <c r="D229" s="1" t="s">
        <v>174</v>
      </c>
      <c r="E229" s="1" t="s">
        <v>246</v>
      </c>
      <c r="F229" s="1" t="s">
        <v>151</v>
      </c>
      <c r="G229" s="1" t="s">
        <v>456</v>
      </c>
      <c r="H229" s="1" t="s">
        <v>63</v>
      </c>
      <c r="I229" s="1" t="s">
        <v>163</v>
      </c>
      <c r="J229" s="1" t="s">
        <v>66</v>
      </c>
      <c r="K229" s="1"/>
      <c r="L229" s="1" t="str">
        <f t="shared" si="35"/>
        <v>No</v>
      </c>
      <c r="M229" s="1">
        <f t="shared" si="43"/>
        <v>157</v>
      </c>
      <c r="N229" s="1">
        <f t="shared" si="36"/>
        <v>107</v>
      </c>
      <c r="O229" s="1">
        <f t="shared" si="37"/>
        <v>21</v>
      </c>
      <c r="P229" s="1">
        <f t="shared" si="38"/>
        <v>2</v>
      </c>
      <c r="Q229" s="1">
        <f t="shared" si="39"/>
        <v>130.84</v>
      </c>
      <c r="R229" s="1" t="str">
        <f t="shared" si="40"/>
        <v>stumped</v>
      </c>
      <c r="S229" s="1" t="str">
        <f t="shared" si="41"/>
        <v xml:space="preserve"> West Indies</v>
      </c>
      <c r="T229" s="1" t="str">
        <f t="shared" si="42"/>
        <v>Guwahati</v>
      </c>
      <c r="U229" s="1" t="str">
        <f t="shared" si="44"/>
        <v>Yes</v>
      </c>
      <c r="V229" s="1"/>
      <c r="W229" s="1"/>
      <c r="X229" s="1"/>
      <c r="Y229" s="1"/>
      <c r="Z229" s="1"/>
    </row>
    <row r="230" spans="1:26" ht="14.25" customHeight="1">
      <c r="A230" s="1"/>
      <c r="B230" s="1">
        <v>213</v>
      </c>
      <c r="C230" s="1" t="s">
        <v>457</v>
      </c>
      <c r="D230" s="1" t="s">
        <v>458</v>
      </c>
      <c r="E230" s="1" t="s">
        <v>325</v>
      </c>
      <c r="F230" s="1" t="s">
        <v>140</v>
      </c>
      <c r="G230" s="1" t="s">
        <v>459</v>
      </c>
      <c r="H230" s="1" t="s">
        <v>32</v>
      </c>
      <c r="I230" s="1" t="s">
        <v>163</v>
      </c>
      <c r="J230" s="1" t="s">
        <v>65</v>
      </c>
      <c r="K230" s="1"/>
      <c r="L230" s="1" t="str">
        <f t="shared" si="35"/>
        <v>No</v>
      </c>
      <c r="M230" s="1">
        <f t="shared" si="43"/>
        <v>107</v>
      </c>
      <c r="N230" s="1">
        <f t="shared" si="36"/>
        <v>129</v>
      </c>
      <c r="O230" s="1">
        <f t="shared" si="37"/>
        <v>13</v>
      </c>
      <c r="P230" s="1">
        <f t="shared" si="38"/>
        <v>4</v>
      </c>
      <c r="Q230" s="1">
        <f t="shared" si="39"/>
        <v>121.7</v>
      </c>
      <c r="R230" s="1" t="str">
        <f t="shared" si="40"/>
        <v>not out</v>
      </c>
      <c r="S230" s="1" t="str">
        <f t="shared" si="41"/>
        <v xml:space="preserve"> West Indies</v>
      </c>
      <c r="T230" s="1" t="str">
        <f t="shared" si="42"/>
        <v>Visakhapatnam</v>
      </c>
      <c r="U230" s="1" t="str">
        <f t="shared" si="44"/>
        <v>No</v>
      </c>
      <c r="V230" s="1"/>
      <c r="W230" s="1"/>
      <c r="X230" s="1"/>
      <c r="Y230" s="1"/>
      <c r="Z230" s="1"/>
    </row>
    <row r="231" spans="1:26" ht="14.25" customHeight="1">
      <c r="A231" s="1"/>
      <c r="B231" s="1">
        <v>214</v>
      </c>
      <c r="C231" s="1" t="s">
        <v>174</v>
      </c>
      <c r="D231" s="1" t="s">
        <v>302</v>
      </c>
      <c r="E231" s="1" t="s">
        <v>167</v>
      </c>
      <c r="F231" s="1" t="s">
        <v>130</v>
      </c>
      <c r="G231" s="1" t="s">
        <v>460</v>
      </c>
      <c r="H231" s="1" t="s">
        <v>29</v>
      </c>
      <c r="I231" s="1" t="s">
        <v>163</v>
      </c>
      <c r="J231" s="1" t="s">
        <v>100</v>
      </c>
      <c r="K231" s="1"/>
      <c r="L231" s="1" t="str">
        <f t="shared" si="35"/>
        <v>No</v>
      </c>
      <c r="M231" s="1">
        <f t="shared" si="43"/>
        <v>16</v>
      </c>
      <c r="N231" s="1">
        <f t="shared" si="36"/>
        <v>119</v>
      </c>
      <c r="O231" s="1">
        <f t="shared" si="37"/>
        <v>10</v>
      </c>
      <c r="P231" s="1">
        <f t="shared" si="38"/>
        <v>1</v>
      </c>
      <c r="Q231" s="1">
        <f t="shared" si="39"/>
        <v>89.91</v>
      </c>
      <c r="R231" s="1" t="str">
        <f t="shared" si="40"/>
        <v>bowled</v>
      </c>
      <c r="S231" s="1" t="str">
        <f t="shared" si="41"/>
        <v xml:space="preserve"> West Indies</v>
      </c>
      <c r="T231" s="1" t="str">
        <f t="shared" si="42"/>
        <v>Pune</v>
      </c>
      <c r="U231" s="1" t="str">
        <f t="shared" si="44"/>
        <v>Yes</v>
      </c>
      <c r="V231" s="1"/>
      <c r="W231" s="1"/>
      <c r="X231" s="1"/>
      <c r="Y231" s="1"/>
      <c r="Z231" s="1"/>
    </row>
    <row r="232" spans="1:26" ht="14.25" customHeight="1">
      <c r="A232" s="1"/>
      <c r="B232" s="1">
        <v>215</v>
      </c>
      <c r="C232" s="1" t="s">
        <v>153</v>
      </c>
      <c r="D232" s="1" t="s">
        <v>306</v>
      </c>
      <c r="E232" s="1" t="s">
        <v>151</v>
      </c>
      <c r="F232" s="1" t="s">
        <v>131</v>
      </c>
      <c r="G232" s="1" t="s">
        <v>278</v>
      </c>
      <c r="H232" s="1" t="s">
        <v>24</v>
      </c>
      <c r="I232" s="1" t="s">
        <v>163</v>
      </c>
      <c r="J232" s="1" t="s">
        <v>112</v>
      </c>
      <c r="K232" s="1"/>
      <c r="L232" s="1" t="str">
        <f t="shared" si="35"/>
        <v>No</v>
      </c>
      <c r="M232" s="1">
        <f t="shared" si="43"/>
        <v>33</v>
      </c>
      <c r="N232" s="1">
        <f t="shared" si="36"/>
        <v>17</v>
      </c>
      <c r="O232" s="1">
        <f t="shared" si="37"/>
        <v>2</v>
      </c>
      <c r="P232" s="1">
        <f t="shared" si="38"/>
        <v>0</v>
      </c>
      <c r="Q232" s="1">
        <f t="shared" si="39"/>
        <v>94.11</v>
      </c>
      <c r="R232" s="1" t="str">
        <f t="shared" si="40"/>
        <v>caught</v>
      </c>
      <c r="S232" s="1" t="str">
        <f t="shared" si="41"/>
        <v xml:space="preserve"> West Indies</v>
      </c>
      <c r="T232" s="1" t="str">
        <f t="shared" si="42"/>
        <v>Brabourne</v>
      </c>
      <c r="U232" s="1" t="str">
        <f t="shared" si="44"/>
        <v>Yes</v>
      </c>
      <c r="V232" s="1"/>
      <c r="W232" s="1"/>
      <c r="X232" s="1"/>
      <c r="Y232" s="1"/>
      <c r="Z232" s="1"/>
    </row>
    <row r="233" spans="1:26" ht="14.25" customHeight="1">
      <c r="A233" s="1"/>
      <c r="B233" s="1">
        <v>216</v>
      </c>
      <c r="C233" s="1" t="s">
        <v>382</v>
      </c>
      <c r="D233" s="1" t="s">
        <v>200</v>
      </c>
      <c r="E233" s="1" t="s">
        <v>136</v>
      </c>
      <c r="F233" s="1" t="s">
        <v>131</v>
      </c>
      <c r="G233" s="1" t="s">
        <v>461</v>
      </c>
      <c r="H233" s="1" t="s">
        <v>32</v>
      </c>
      <c r="I233" s="1" t="s">
        <v>163</v>
      </c>
      <c r="J233" s="1" t="s">
        <v>113</v>
      </c>
      <c r="K233" s="1"/>
      <c r="L233" s="1" t="str">
        <f t="shared" si="35"/>
        <v>No</v>
      </c>
      <c r="M233" s="1">
        <f t="shared" si="43"/>
        <v>3</v>
      </c>
      <c r="N233" s="1">
        <f t="shared" si="36"/>
        <v>29</v>
      </c>
      <c r="O233" s="1">
        <f t="shared" si="37"/>
        <v>6</v>
      </c>
      <c r="P233" s="1">
        <f t="shared" si="38"/>
        <v>0</v>
      </c>
      <c r="Q233" s="1">
        <f t="shared" si="39"/>
        <v>113.79</v>
      </c>
      <c r="R233" s="1" t="str">
        <f t="shared" si="40"/>
        <v>not out</v>
      </c>
      <c r="S233" s="1" t="str">
        <f t="shared" si="41"/>
        <v xml:space="preserve"> West Indies</v>
      </c>
      <c r="T233" s="1" t="str">
        <f t="shared" si="42"/>
        <v>Thiruvananthapuram</v>
      </c>
      <c r="U233" s="1" t="str">
        <f t="shared" si="44"/>
        <v>No</v>
      </c>
      <c r="V233" s="1"/>
      <c r="W233" s="1"/>
      <c r="X233" s="1"/>
      <c r="Y233" s="1"/>
      <c r="Z233" s="1"/>
    </row>
    <row r="234" spans="1:26" ht="14.25" customHeight="1">
      <c r="A234" s="1"/>
      <c r="B234" s="1">
        <v>217</v>
      </c>
      <c r="C234" s="1" t="s">
        <v>148</v>
      </c>
      <c r="D234" s="1" t="s">
        <v>189</v>
      </c>
      <c r="E234" s="1" t="s">
        <v>131</v>
      </c>
      <c r="F234" s="1" t="s">
        <v>131</v>
      </c>
      <c r="G234" s="1" t="s">
        <v>388</v>
      </c>
      <c r="H234" s="1" t="s">
        <v>24</v>
      </c>
      <c r="I234" s="1" t="s">
        <v>158</v>
      </c>
      <c r="J234" s="1" t="s">
        <v>92</v>
      </c>
      <c r="K234" s="1"/>
      <c r="L234" s="1" t="str">
        <f t="shared" si="35"/>
        <v>No</v>
      </c>
      <c r="M234" s="1">
        <f t="shared" si="43"/>
        <v>104</v>
      </c>
      <c r="N234" s="1">
        <f t="shared" si="36"/>
        <v>8</v>
      </c>
      <c r="O234" s="1">
        <f t="shared" si="37"/>
        <v>0</v>
      </c>
      <c r="P234" s="1">
        <f t="shared" si="38"/>
        <v>0</v>
      </c>
      <c r="Q234" s="1">
        <f t="shared" si="39"/>
        <v>37.5</v>
      </c>
      <c r="R234" s="1" t="str">
        <f t="shared" si="40"/>
        <v>caught</v>
      </c>
      <c r="S234" s="1" t="str">
        <f t="shared" si="41"/>
        <v xml:space="preserve"> Australia</v>
      </c>
      <c r="T234" s="1" t="str">
        <f t="shared" si="42"/>
        <v>Sydney</v>
      </c>
      <c r="U234" s="1" t="str">
        <f t="shared" si="44"/>
        <v>Yes</v>
      </c>
      <c r="V234" s="1"/>
      <c r="W234" s="1"/>
      <c r="X234" s="1"/>
      <c r="Y234" s="1"/>
      <c r="Z234" s="1"/>
    </row>
    <row r="235" spans="1:26" ht="14.25" customHeight="1">
      <c r="A235" s="1"/>
      <c r="B235" s="1">
        <v>218</v>
      </c>
      <c r="C235" s="1" t="s">
        <v>160</v>
      </c>
      <c r="D235" s="1" t="s">
        <v>441</v>
      </c>
      <c r="E235" s="1" t="s">
        <v>202</v>
      </c>
      <c r="F235" s="1" t="s">
        <v>151</v>
      </c>
      <c r="G235" s="1" t="s">
        <v>462</v>
      </c>
      <c r="H235" s="1" t="s">
        <v>24</v>
      </c>
      <c r="I235" s="1" t="s">
        <v>158</v>
      </c>
      <c r="J235" s="1" t="s">
        <v>90</v>
      </c>
      <c r="K235" s="1"/>
      <c r="L235" s="1" t="str">
        <f t="shared" si="35"/>
        <v>No</v>
      </c>
      <c r="M235" s="1">
        <f t="shared" si="43"/>
        <v>46</v>
      </c>
      <c r="N235" s="1">
        <f t="shared" si="36"/>
        <v>112</v>
      </c>
      <c r="O235" s="1">
        <f t="shared" si="37"/>
        <v>5</v>
      </c>
      <c r="P235" s="1">
        <f t="shared" si="38"/>
        <v>2</v>
      </c>
      <c r="Q235" s="1">
        <f t="shared" si="39"/>
        <v>92.85</v>
      </c>
      <c r="R235" s="1" t="str">
        <f t="shared" si="40"/>
        <v>caught</v>
      </c>
      <c r="S235" s="1" t="str">
        <f t="shared" si="41"/>
        <v xml:space="preserve"> Australia</v>
      </c>
      <c r="T235" s="1" t="str">
        <f t="shared" si="42"/>
        <v>Adelaide</v>
      </c>
      <c r="U235" s="1" t="str">
        <f t="shared" si="44"/>
        <v>Yes</v>
      </c>
      <c r="V235" s="1"/>
      <c r="W235" s="1"/>
      <c r="X235" s="1"/>
      <c r="Y235" s="1"/>
      <c r="Z235" s="1"/>
    </row>
    <row r="236" spans="1:26" ht="14.25" customHeight="1">
      <c r="A236" s="1"/>
      <c r="B236" s="1">
        <v>219</v>
      </c>
      <c r="C236" s="1" t="s">
        <v>147</v>
      </c>
      <c r="D236" s="1" t="s">
        <v>364</v>
      </c>
      <c r="E236" s="1" t="s">
        <v>148</v>
      </c>
      <c r="F236" s="1" t="s">
        <v>131</v>
      </c>
      <c r="G236" s="1" t="s">
        <v>463</v>
      </c>
      <c r="H236" s="1" t="s">
        <v>24</v>
      </c>
      <c r="I236" s="1" t="s">
        <v>158</v>
      </c>
      <c r="J236" s="1" t="s">
        <v>88</v>
      </c>
      <c r="K236" s="1"/>
      <c r="L236" s="1" t="str">
        <f t="shared" si="35"/>
        <v>No</v>
      </c>
      <c r="M236" s="1">
        <f t="shared" si="43"/>
        <v>45</v>
      </c>
      <c r="N236" s="1">
        <f t="shared" si="36"/>
        <v>62</v>
      </c>
      <c r="O236" s="1">
        <f t="shared" si="37"/>
        <v>3</v>
      </c>
      <c r="P236" s="1">
        <f t="shared" si="38"/>
        <v>0</v>
      </c>
      <c r="Q236" s="1">
        <f t="shared" si="39"/>
        <v>74.19</v>
      </c>
      <c r="R236" s="1" t="str">
        <f t="shared" si="40"/>
        <v>caught</v>
      </c>
      <c r="S236" s="1" t="str">
        <f t="shared" si="41"/>
        <v xml:space="preserve"> Australia</v>
      </c>
      <c r="T236" s="1" t="str">
        <f t="shared" si="42"/>
        <v>Melbourne</v>
      </c>
      <c r="U236" s="1" t="str">
        <f t="shared" si="44"/>
        <v>Yes</v>
      </c>
      <c r="V236" s="1"/>
      <c r="W236" s="1"/>
      <c r="X236" s="1"/>
      <c r="Y236" s="1"/>
      <c r="Z236" s="1"/>
    </row>
    <row r="237" spans="1:26" ht="14.25" customHeight="1">
      <c r="A237" s="1"/>
      <c r="B237" s="1">
        <v>220</v>
      </c>
      <c r="C237" s="1" t="s">
        <v>405</v>
      </c>
      <c r="D237" s="1" t="s">
        <v>241</v>
      </c>
      <c r="E237" s="1" t="s">
        <v>148</v>
      </c>
      <c r="F237" s="1" t="s">
        <v>131</v>
      </c>
      <c r="G237" s="1" t="s">
        <v>464</v>
      </c>
      <c r="H237" s="1" t="s">
        <v>24</v>
      </c>
      <c r="I237" s="1" t="s">
        <v>211</v>
      </c>
      <c r="J237" s="1" t="s">
        <v>102</v>
      </c>
      <c r="K237" s="1"/>
      <c r="L237" s="1" t="str">
        <f t="shared" si="35"/>
        <v>No</v>
      </c>
      <c r="M237" s="1">
        <f t="shared" si="43"/>
        <v>43</v>
      </c>
      <c r="N237" s="1">
        <f t="shared" si="36"/>
        <v>59</v>
      </c>
      <c r="O237" s="1">
        <f t="shared" si="37"/>
        <v>3</v>
      </c>
      <c r="P237" s="1">
        <f t="shared" si="38"/>
        <v>0</v>
      </c>
      <c r="Q237" s="1">
        <f t="shared" si="39"/>
        <v>76.27</v>
      </c>
      <c r="R237" s="1" t="str">
        <f t="shared" si="40"/>
        <v>caught</v>
      </c>
      <c r="S237" s="1" t="str">
        <f t="shared" si="41"/>
        <v xml:space="preserve"> New Zealand</v>
      </c>
      <c r="T237" s="1" t="str">
        <f t="shared" si="42"/>
        <v>Napier</v>
      </c>
      <c r="U237" s="1" t="str">
        <f t="shared" si="44"/>
        <v>Yes</v>
      </c>
      <c r="V237" s="1"/>
      <c r="W237" s="1"/>
      <c r="X237" s="1"/>
      <c r="Y237" s="1"/>
      <c r="Z237" s="1"/>
    </row>
    <row r="238" spans="1:26" ht="14.25" customHeight="1">
      <c r="A238" s="1"/>
      <c r="B238" s="1">
        <v>221</v>
      </c>
      <c r="C238" s="1" t="s">
        <v>321</v>
      </c>
      <c r="D238" s="1" t="s">
        <v>405</v>
      </c>
      <c r="E238" s="1" t="s">
        <v>202</v>
      </c>
      <c r="F238" s="1" t="s">
        <v>131</v>
      </c>
      <c r="G238" s="1" t="s">
        <v>465</v>
      </c>
      <c r="H238" s="1" t="s">
        <v>24</v>
      </c>
      <c r="I238" s="1" t="s">
        <v>211</v>
      </c>
      <c r="J238" s="1" t="s">
        <v>114</v>
      </c>
      <c r="K238" s="1"/>
      <c r="L238" s="1" t="str">
        <f t="shared" si="35"/>
        <v>No</v>
      </c>
      <c r="M238" s="1">
        <f t="shared" si="43"/>
        <v>60</v>
      </c>
      <c r="N238" s="1">
        <f t="shared" si="36"/>
        <v>45</v>
      </c>
      <c r="O238" s="1">
        <f t="shared" si="37"/>
        <v>5</v>
      </c>
      <c r="P238" s="1">
        <f t="shared" si="38"/>
        <v>0</v>
      </c>
      <c r="Q238" s="1">
        <f t="shared" si="39"/>
        <v>95.55</v>
      </c>
      <c r="R238" s="1" t="str">
        <f t="shared" si="40"/>
        <v>caught</v>
      </c>
      <c r="S238" s="1" t="str">
        <f t="shared" si="41"/>
        <v xml:space="preserve"> New Zealand</v>
      </c>
      <c r="T238" s="1" t="str">
        <f t="shared" si="42"/>
        <v>Mount Maunganui</v>
      </c>
      <c r="U238" s="1" t="str">
        <f t="shared" si="44"/>
        <v>Yes</v>
      </c>
      <c r="V238" s="1"/>
      <c r="W238" s="1"/>
      <c r="X238" s="1"/>
      <c r="Y238" s="1"/>
      <c r="Z238" s="1"/>
    </row>
    <row r="239" spans="1:26" ht="14.25" customHeight="1">
      <c r="A239" s="1"/>
      <c r="B239" s="1">
        <v>222</v>
      </c>
      <c r="C239" s="1" t="s">
        <v>380</v>
      </c>
      <c r="D239" s="1" t="s">
        <v>466</v>
      </c>
      <c r="E239" s="1" t="s">
        <v>136</v>
      </c>
      <c r="F239" s="1" t="s">
        <v>130</v>
      </c>
      <c r="G239" s="1" t="s">
        <v>467</v>
      </c>
      <c r="H239" s="1" t="s">
        <v>24</v>
      </c>
      <c r="I239" s="1" t="s">
        <v>211</v>
      </c>
      <c r="J239" s="1" t="s">
        <v>114</v>
      </c>
      <c r="K239" s="1"/>
      <c r="L239" s="1" t="str">
        <f t="shared" si="35"/>
        <v>No</v>
      </c>
      <c r="M239" s="1">
        <f t="shared" si="43"/>
        <v>44</v>
      </c>
      <c r="N239" s="1">
        <f t="shared" si="36"/>
        <v>74</v>
      </c>
      <c r="O239" s="1">
        <f t="shared" si="37"/>
        <v>6</v>
      </c>
      <c r="P239" s="1">
        <f t="shared" si="38"/>
        <v>1</v>
      </c>
      <c r="Q239" s="1">
        <f t="shared" si="39"/>
        <v>81.08</v>
      </c>
      <c r="R239" s="1" t="str">
        <f t="shared" si="40"/>
        <v>caught</v>
      </c>
      <c r="S239" s="1" t="str">
        <f t="shared" si="41"/>
        <v xml:space="preserve"> New Zealand</v>
      </c>
      <c r="T239" s="1" t="str">
        <f t="shared" si="42"/>
        <v>Mount Maunganui</v>
      </c>
      <c r="U239" s="1" t="str">
        <f t="shared" si="44"/>
        <v>Yes</v>
      </c>
      <c r="V239" s="1"/>
      <c r="W239" s="1"/>
      <c r="X239" s="1"/>
      <c r="Y239" s="1"/>
      <c r="Z239" s="1"/>
    </row>
    <row r="240" spans="1:26" ht="14.25" customHeight="1">
      <c r="A240" s="1"/>
      <c r="B240" s="1">
        <v>223</v>
      </c>
      <c r="C240" s="1" t="s">
        <v>369</v>
      </c>
      <c r="D240" s="1" t="s">
        <v>405</v>
      </c>
      <c r="E240" s="1" t="s">
        <v>136</v>
      </c>
      <c r="F240" s="1" t="s">
        <v>130</v>
      </c>
      <c r="G240" s="1" t="s">
        <v>468</v>
      </c>
      <c r="H240" s="1" t="s">
        <v>19</v>
      </c>
      <c r="I240" s="1" t="s">
        <v>158</v>
      </c>
      <c r="J240" s="1" t="s">
        <v>85</v>
      </c>
      <c r="K240" s="1"/>
      <c r="L240" s="1" t="str">
        <f t="shared" si="35"/>
        <v>No</v>
      </c>
      <c r="M240" s="1">
        <f t="shared" si="43"/>
        <v>116</v>
      </c>
      <c r="N240" s="1">
        <f t="shared" si="36"/>
        <v>45</v>
      </c>
      <c r="O240" s="1">
        <f t="shared" si="37"/>
        <v>6</v>
      </c>
      <c r="P240" s="1">
        <f t="shared" si="38"/>
        <v>1</v>
      </c>
      <c r="Q240" s="1">
        <f t="shared" si="39"/>
        <v>97.77</v>
      </c>
      <c r="R240" s="1" t="str">
        <f t="shared" si="40"/>
        <v>lbw</v>
      </c>
      <c r="S240" s="1" t="str">
        <f t="shared" si="41"/>
        <v xml:space="preserve"> Australia</v>
      </c>
      <c r="T240" s="1" t="str">
        <f t="shared" si="42"/>
        <v>Hyderabad</v>
      </c>
      <c r="U240" s="1" t="str">
        <f t="shared" si="44"/>
        <v>Yes</v>
      </c>
      <c r="V240" s="1"/>
      <c r="W240" s="1"/>
      <c r="X240" s="1"/>
      <c r="Y240" s="1"/>
      <c r="Z240" s="1"/>
    </row>
    <row r="241" spans="1:26" ht="14.25" customHeight="1">
      <c r="A241" s="1"/>
      <c r="B241" s="1">
        <v>224</v>
      </c>
      <c r="C241" s="1" t="s">
        <v>433</v>
      </c>
      <c r="D241" s="1" t="s">
        <v>291</v>
      </c>
      <c r="E241" s="1" t="s">
        <v>167</v>
      </c>
      <c r="F241" s="1" t="s">
        <v>131</v>
      </c>
      <c r="G241" s="1" t="s">
        <v>469</v>
      </c>
      <c r="H241" s="1" t="s">
        <v>24</v>
      </c>
      <c r="I241" s="1" t="s">
        <v>158</v>
      </c>
      <c r="J241" s="1" t="s">
        <v>50</v>
      </c>
      <c r="K241" s="1"/>
      <c r="L241" s="1" t="str">
        <f t="shared" si="35"/>
        <v>No</v>
      </c>
      <c r="M241" s="1">
        <f t="shared" si="43"/>
        <v>123</v>
      </c>
      <c r="N241" s="1">
        <f t="shared" si="36"/>
        <v>120</v>
      </c>
      <c r="O241" s="1">
        <f t="shared" si="37"/>
        <v>10</v>
      </c>
      <c r="P241" s="1">
        <f t="shared" si="38"/>
        <v>0</v>
      </c>
      <c r="Q241" s="1">
        <f t="shared" si="39"/>
        <v>96.66</v>
      </c>
      <c r="R241" s="1" t="str">
        <f t="shared" si="40"/>
        <v>caught</v>
      </c>
      <c r="S241" s="1" t="str">
        <f t="shared" si="41"/>
        <v xml:space="preserve"> Australia</v>
      </c>
      <c r="T241" s="1" t="str">
        <f t="shared" si="42"/>
        <v>Nagpur</v>
      </c>
      <c r="U241" s="1" t="str">
        <f t="shared" si="44"/>
        <v>Yes</v>
      </c>
      <c r="V241" s="1"/>
      <c r="W241" s="1"/>
      <c r="X241" s="1"/>
      <c r="Y241" s="1"/>
      <c r="Z241" s="1"/>
    </row>
    <row r="242" spans="1:26" ht="14.25" customHeight="1">
      <c r="A242" s="1"/>
      <c r="B242" s="1">
        <v>225</v>
      </c>
      <c r="C242" s="1" t="s">
        <v>272</v>
      </c>
      <c r="D242" s="1" t="s">
        <v>187</v>
      </c>
      <c r="E242" s="1" t="s">
        <v>153</v>
      </c>
      <c r="F242" s="1" t="s">
        <v>130</v>
      </c>
      <c r="G242" s="1" t="s">
        <v>470</v>
      </c>
      <c r="H242" s="1" t="s">
        <v>29</v>
      </c>
      <c r="I242" s="1" t="s">
        <v>158</v>
      </c>
      <c r="J242" s="1" t="s">
        <v>97</v>
      </c>
      <c r="K242" s="1"/>
      <c r="L242" s="1" t="str">
        <f t="shared" si="35"/>
        <v>No</v>
      </c>
      <c r="M242" s="1">
        <f t="shared" si="43"/>
        <v>7</v>
      </c>
      <c r="N242" s="1">
        <f t="shared" si="36"/>
        <v>95</v>
      </c>
      <c r="O242" s="1">
        <f t="shared" si="37"/>
        <v>16</v>
      </c>
      <c r="P242" s="1">
        <f t="shared" si="38"/>
        <v>1</v>
      </c>
      <c r="Q242" s="1">
        <f t="shared" si="39"/>
        <v>129.47</v>
      </c>
      <c r="R242" s="1" t="str">
        <f t="shared" si="40"/>
        <v>bowled</v>
      </c>
      <c r="S242" s="1" t="str">
        <f t="shared" si="41"/>
        <v xml:space="preserve"> Australia</v>
      </c>
      <c r="T242" s="1" t="str">
        <f t="shared" si="42"/>
        <v>Ranchi</v>
      </c>
      <c r="U242" s="1" t="str">
        <f t="shared" si="44"/>
        <v>Yes</v>
      </c>
      <c r="V242" s="1"/>
      <c r="W242" s="1"/>
      <c r="X242" s="1"/>
      <c r="Y242" s="1"/>
      <c r="Z242" s="1"/>
    </row>
    <row r="243" spans="1:26" ht="14.25" customHeight="1">
      <c r="A243" s="1"/>
      <c r="B243" s="1">
        <v>226</v>
      </c>
      <c r="C243" s="1" t="s">
        <v>144</v>
      </c>
      <c r="D243" s="1" t="s">
        <v>136</v>
      </c>
      <c r="E243" s="1" t="s">
        <v>130</v>
      </c>
      <c r="F243" s="1" t="s">
        <v>131</v>
      </c>
      <c r="G243" s="1" t="s">
        <v>267</v>
      </c>
      <c r="H243" s="1" t="s">
        <v>24</v>
      </c>
      <c r="I243" s="1" t="s">
        <v>158</v>
      </c>
      <c r="J243" s="1" t="s">
        <v>46</v>
      </c>
      <c r="K243" s="1"/>
      <c r="L243" s="1" t="str">
        <f t="shared" si="35"/>
        <v>No</v>
      </c>
      <c r="M243" s="1">
        <f t="shared" si="43"/>
        <v>20</v>
      </c>
      <c r="N243" s="1">
        <f t="shared" si="36"/>
        <v>6</v>
      </c>
      <c r="O243" s="1">
        <f t="shared" si="37"/>
        <v>1</v>
      </c>
      <c r="P243" s="1">
        <f t="shared" si="38"/>
        <v>0</v>
      </c>
      <c r="Q243" s="1">
        <f t="shared" si="39"/>
        <v>116.66</v>
      </c>
      <c r="R243" s="1" t="str">
        <f t="shared" si="40"/>
        <v>caught</v>
      </c>
      <c r="S243" s="1" t="str">
        <f t="shared" si="41"/>
        <v xml:space="preserve"> Australia</v>
      </c>
      <c r="T243" s="1" t="str">
        <f t="shared" si="42"/>
        <v>Mohali</v>
      </c>
      <c r="U243" s="1" t="str">
        <f t="shared" si="44"/>
        <v>Yes</v>
      </c>
      <c r="V243" s="1"/>
      <c r="W243" s="1"/>
      <c r="X243" s="1"/>
      <c r="Y243" s="1"/>
      <c r="Z243" s="1"/>
    </row>
    <row r="244" spans="1:26" ht="14.25" customHeight="1">
      <c r="A244" s="1"/>
      <c r="B244" s="1">
        <v>227</v>
      </c>
      <c r="C244" s="1" t="s">
        <v>238</v>
      </c>
      <c r="D244" s="1" t="s">
        <v>129</v>
      </c>
      <c r="E244" s="1" t="s">
        <v>151</v>
      </c>
      <c r="F244" s="1" t="s">
        <v>131</v>
      </c>
      <c r="G244" s="1" t="s">
        <v>471</v>
      </c>
      <c r="H244" s="1" t="s">
        <v>24</v>
      </c>
      <c r="I244" s="1" t="s">
        <v>158</v>
      </c>
      <c r="J244" s="1" t="s">
        <v>52</v>
      </c>
      <c r="K244" s="1"/>
      <c r="L244" s="1" t="str">
        <f t="shared" si="35"/>
        <v>No</v>
      </c>
      <c r="M244" s="1">
        <f t="shared" si="43"/>
        <v>18</v>
      </c>
      <c r="N244" s="1">
        <f t="shared" si="36"/>
        <v>22</v>
      </c>
      <c r="O244" s="1">
        <f t="shared" si="37"/>
        <v>2</v>
      </c>
      <c r="P244" s="1">
        <f t="shared" si="38"/>
        <v>0</v>
      </c>
      <c r="Q244" s="1">
        <f t="shared" si="39"/>
        <v>90.9</v>
      </c>
      <c r="R244" s="1" t="str">
        <f t="shared" si="40"/>
        <v>caught</v>
      </c>
      <c r="S244" s="1" t="str">
        <f t="shared" si="41"/>
        <v xml:space="preserve"> Australia</v>
      </c>
      <c r="T244" s="1" t="str">
        <f t="shared" si="42"/>
        <v>Delhi</v>
      </c>
      <c r="U244" s="1" t="str">
        <f t="shared" si="44"/>
        <v>Yes</v>
      </c>
      <c r="V244" s="1"/>
      <c r="W244" s="1"/>
      <c r="X244" s="1"/>
      <c r="Y244" s="1"/>
      <c r="Z244" s="1"/>
    </row>
    <row r="245" spans="1:26" ht="14.25" customHeight="1">
      <c r="A245" s="1"/>
      <c r="B245" s="1">
        <v>228</v>
      </c>
      <c r="C245" s="1" t="s">
        <v>199</v>
      </c>
      <c r="D245" s="1" t="s">
        <v>208</v>
      </c>
      <c r="E245" s="1" t="s">
        <v>130</v>
      </c>
      <c r="F245" s="1" t="s">
        <v>131</v>
      </c>
      <c r="G245" s="1" t="s">
        <v>472</v>
      </c>
      <c r="H245" s="1" t="s">
        <v>24</v>
      </c>
      <c r="I245" s="1" t="s">
        <v>191</v>
      </c>
      <c r="J245" s="1" t="s">
        <v>80</v>
      </c>
      <c r="K245" s="1"/>
      <c r="L245" s="1" t="str">
        <f t="shared" si="35"/>
        <v>No</v>
      </c>
      <c r="M245" s="1">
        <f t="shared" si="43"/>
        <v>82</v>
      </c>
      <c r="N245" s="1">
        <f t="shared" si="36"/>
        <v>34</v>
      </c>
      <c r="O245" s="1">
        <f t="shared" si="37"/>
        <v>1</v>
      </c>
      <c r="P245" s="1">
        <f t="shared" si="38"/>
        <v>0</v>
      </c>
      <c r="Q245" s="1">
        <f t="shared" si="39"/>
        <v>52.94</v>
      </c>
      <c r="R245" s="1" t="str">
        <f t="shared" si="40"/>
        <v>caught</v>
      </c>
      <c r="S245" s="1" t="str">
        <f t="shared" si="41"/>
        <v xml:space="preserve"> South Africa</v>
      </c>
      <c r="T245" s="1" t="str">
        <f t="shared" si="42"/>
        <v>Southampton</v>
      </c>
      <c r="U245" s="1" t="str">
        <f t="shared" si="44"/>
        <v>Yes</v>
      </c>
      <c r="V245" s="1"/>
      <c r="W245" s="1"/>
      <c r="X245" s="1"/>
      <c r="Y245" s="1"/>
      <c r="Z245" s="1"/>
    </row>
    <row r="246" spans="1:26" ht="14.25" customHeight="1">
      <c r="A246" s="1"/>
      <c r="B246" s="1">
        <v>229</v>
      </c>
      <c r="C246" s="1" t="s">
        <v>196</v>
      </c>
      <c r="D246" s="1" t="s">
        <v>280</v>
      </c>
      <c r="E246" s="1" t="s">
        <v>140</v>
      </c>
      <c r="F246" s="1" t="s">
        <v>151</v>
      </c>
      <c r="G246" s="1" t="s">
        <v>473</v>
      </c>
      <c r="H246" s="1" t="s">
        <v>24</v>
      </c>
      <c r="I246" s="1" t="s">
        <v>158</v>
      </c>
      <c r="J246" s="1" t="s">
        <v>81</v>
      </c>
      <c r="K246" s="1"/>
      <c r="L246" s="1" t="str">
        <f t="shared" si="35"/>
        <v>No</v>
      </c>
      <c r="M246" s="1">
        <f t="shared" si="43"/>
        <v>77</v>
      </c>
      <c r="N246" s="1">
        <f t="shared" si="36"/>
        <v>77</v>
      </c>
      <c r="O246" s="1">
        <f t="shared" si="37"/>
        <v>4</v>
      </c>
      <c r="P246" s="1">
        <f t="shared" si="38"/>
        <v>2</v>
      </c>
      <c r="Q246" s="1">
        <f t="shared" si="39"/>
        <v>106.49</v>
      </c>
      <c r="R246" s="1" t="str">
        <f t="shared" si="40"/>
        <v>caught</v>
      </c>
      <c r="S246" s="1" t="str">
        <f t="shared" si="41"/>
        <v xml:space="preserve"> Australia</v>
      </c>
      <c r="T246" s="1" t="str">
        <f t="shared" si="42"/>
        <v>The Oval</v>
      </c>
      <c r="U246" s="1" t="str">
        <f t="shared" si="44"/>
        <v>Yes</v>
      </c>
      <c r="V246" s="1"/>
      <c r="W246" s="1"/>
      <c r="X246" s="1"/>
      <c r="Y246" s="1"/>
      <c r="Z246" s="1"/>
    </row>
    <row r="247" spans="1:26" ht="14.25" customHeight="1">
      <c r="A247" s="1"/>
      <c r="B247" s="1">
        <v>230</v>
      </c>
      <c r="C247" s="1" t="s">
        <v>280</v>
      </c>
      <c r="D247" s="1" t="s">
        <v>172</v>
      </c>
      <c r="E247" s="1" t="s">
        <v>144</v>
      </c>
      <c r="F247" s="1" t="s">
        <v>131</v>
      </c>
      <c r="G247" s="1" t="s">
        <v>474</v>
      </c>
      <c r="H247" s="1" t="s">
        <v>24</v>
      </c>
      <c r="I247" s="1" t="s">
        <v>156</v>
      </c>
      <c r="J247" s="1" t="s">
        <v>115</v>
      </c>
      <c r="K247" s="1"/>
      <c r="L247" s="1" t="str">
        <f t="shared" si="35"/>
        <v>No</v>
      </c>
      <c r="M247" s="1">
        <f t="shared" si="43"/>
        <v>67</v>
      </c>
      <c r="N247" s="1">
        <f t="shared" si="36"/>
        <v>65</v>
      </c>
      <c r="O247" s="1">
        <f t="shared" si="37"/>
        <v>7</v>
      </c>
      <c r="P247" s="1">
        <f t="shared" si="38"/>
        <v>0</v>
      </c>
      <c r="Q247" s="1">
        <f t="shared" si="39"/>
        <v>118.46</v>
      </c>
      <c r="R247" s="1" t="str">
        <f t="shared" si="40"/>
        <v>caught</v>
      </c>
      <c r="S247" s="1" t="str">
        <f t="shared" si="41"/>
        <v xml:space="preserve"> Pakistan</v>
      </c>
      <c r="T247" s="1" t="str">
        <f t="shared" si="42"/>
        <v>Manchester</v>
      </c>
      <c r="U247" s="1" t="str">
        <f t="shared" si="44"/>
        <v>Yes</v>
      </c>
      <c r="V247" s="1"/>
      <c r="W247" s="1"/>
      <c r="X247" s="1"/>
      <c r="Y247" s="1"/>
      <c r="Z247" s="1"/>
    </row>
    <row r="248" spans="1:26" ht="14.25" customHeight="1">
      <c r="A248" s="1"/>
      <c r="B248" s="1">
        <v>231</v>
      </c>
      <c r="C248" s="1" t="s">
        <v>135</v>
      </c>
      <c r="D248" s="1" t="s">
        <v>262</v>
      </c>
      <c r="E248" s="1" t="s">
        <v>202</v>
      </c>
      <c r="F248" s="1" t="s">
        <v>131</v>
      </c>
      <c r="G248" s="1" t="s">
        <v>475</v>
      </c>
      <c r="H248" s="1" t="s">
        <v>24</v>
      </c>
      <c r="I248" s="1" t="s">
        <v>358</v>
      </c>
      <c r="J248" s="1" t="s">
        <v>80</v>
      </c>
      <c r="K248" s="1"/>
      <c r="L248" s="1" t="str">
        <f t="shared" si="35"/>
        <v>No</v>
      </c>
      <c r="M248" s="1">
        <f t="shared" si="43"/>
        <v>72</v>
      </c>
      <c r="N248" s="1">
        <f t="shared" si="36"/>
        <v>63</v>
      </c>
      <c r="O248" s="1">
        <f t="shared" si="37"/>
        <v>5</v>
      </c>
      <c r="P248" s="1">
        <f t="shared" si="38"/>
        <v>0</v>
      </c>
      <c r="Q248" s="1">
        <f t="shared" si="39"/>
        <v>106.34</v>
      </c>
      <c r="R248" s="1" t="str">
        <f t="shared" si="40"/>
        <v>caught</v>
      </c>
      <c r="S248" s="1" t="str">
        <f t="shared" si="41"/>
        <v xml:space="preserve"> Afghanistan</v>
      </c>
      <c r="T248" s="1" t="str">
        <f t="shared" si="42"/>
        <v>Southampton</v>
      </c>
      <c r="U248" s="1" t="str">
        <f t="shared" si="44"/>
        <v>Yes</v>
      </c>
      <c r="V248" s="1"/>
      <c r="W248" s="1"/>
      <c r="X248" s="1"/>
      <c r="Y248" s="1"/>
      <c r="Z248" s="1"/>
    </row>
    <row r="249" spans="1:26" ht="14.25" customHeight="1">
      <c r="A249" s="1"/>
      <c r="B249" s="1">
        <v>232</v>
      </c>
      <c r="C249" s="1" t="s">
        <v>454</v>
      </c>
      <c r="D249" s="1" t="s">
        <v>196</v>
      </c>
      <c r="E249" s="1" t="s">
        <v>189</v>
      </c>
      <c r="F249" s="1" t="s">
        <v>131</v>
      </c>
      <c r="G249" s="1" t="s">
        <v>476</v>
      </c>
      <c r="H249" s="1" t="s">
        <v>24</v>
      </c>
      <c r="I249" s="1" t="s">
        <v>163</v>
      </c>
      <c r="J249" s="1" t="s">
        <v>115</v>
      </c>
      <c r="K249" s="1"/>
      <c r="L249" s="1" t="str">
        <f t="shared" si="35"/>
        <v>No</v>
      </c>
      <c r="M249" s="1">
        <f t="shared" si="43"/>
        <v>66</v>
      </c>
      <c r="N249" s="1">
        <f t="shared" si="36"/>
        <v>82</v>
      </c>
      <c r="O249" s="1">
        <f t="shared" si="37"/>
        <v>8</v>
      </c>
      <c r="P249" s="1">
        <f t="shared" si="38"/>
        <v>0</v>
      </c>
      <c r="Q249" s="1">
        <f t="shared" si="39"/>
        <v>87.8</v>
      </c>
      <c r="R249" s="1" t="str">
        <f t="shared" si="40"/>
        <v>caught</v>
      </c>
      <c r="S249" s="1" t="str">
        <f t="shared" si="41"/>
        <v xml:space="preserve"> West Indies</v>
      </c>
      <c r="T249" s="1" t="str">
        <f t="shared" si="42"/>
        <v>Manchester</v>
      </c>
      <c r="U249" s="1" t="str">
        <f t="shared" si="44"/>
        <v>Yes</v>
      </c>
      <c r="V249" s="1"/>
      <c r="W249" s="1"/>
      <c r="X249" s="1"/>
      <c r="Y249" s="1"/>
      <c r="Z249" s="1"/>
    </row>
    <row r="250" spans="1:26" ht="14.25" customHeight="1">
      <c r="A250" s="1"/>
      <c r="B250" s="1">
        <v>233</v>
      </c>
      <c r="C250" s="1" t="s">
        <v>143</v>
      </c>
      <c r="D250" s="1" t="s">
        <v>242</v>
      </c>
      <c r="E250" s="1" t="s">
        <v>144</v>
      </c>
      <c r="F250" s="1" t="s">
        <v>131</v>
      </c>
      <c r="G250" s="1" t="s">
        <v>477</v>
      </c>
      <c r="H250" s="1" t="s">
        <v>24</v>
      </c>
      <c r="I250" s="1" t="s">
        <v>234</v>
      </c>
      <c r="J250" s="1" t="s">
        <v>99</v>
      </c>
      <c r="K250" s="1"/>
      <c r="L250" s="1" t="str">
        <f t="shared" si="35"/>
        <v>No</v>
      </c>
      <c r="M250" s="1">
        <f t="shared" si="43"/>
        <v>26</v>
      </c>
      <c r="N250" s="1">
        <f t="shared" si="36"/>
        <v>76</v>
      </c>
      <c r="O250" s="1">
        <f t="shared" si="37"/>
        <v>7</v>
      </c>
      <c r="P250" s="1">
        <f t="shared" si="38"/>
        <v>0</v>
      </c>
      <c r="Q250" s="1">
        <f t="shared" si="39"/>
        <v>86.84</v>
      </c>
      <c r="R250" s="1" t="str">
        <f t="shared" si="40"/>
        <v>caught</v>
      </c>
      <c r="S250" s="1" t="str">
        <f t="shared" si="41"/>
        <v xml:space="preserve"> England</v>
      </c>
      <c r="T250" s="1" t="str">
        <f t="shared" si="42"/>
        <v>Birmingham</v>
      </c>
      <c r="U250" s="1" t="str">
        <f t="shared" si="44"/>
        <v>Yes</v>
      </c>
      <c r="V250" s="1"/>
      <c r="W250" s="1"/>
      <c r="X250" s="1"/>
      <c r="Y250" s="1"/>
      <c r="Z250" s="1"/>
    </row>
    <row r="251" spans="1:26" ht="14.25" customHeight="1">
      <c r="A251" s="1"/>
      <c r="B251" s="1">
        <v>234</v>
      </c>
      <c r="C251" s="1" t="s">
        <v>313</v>
      </c>
      <c r="D251" s="1" t="s">
        <v>169</v>
      </c>
      <c r="E251" s="1" t="s">
        <v>148</v>
      </c>
      <c r="F251" s="1" t="s">
        <v>131</v>
      </c>
      <c r="G251" s="1" t="s">
        <v>478</v>
      </c>
      <c r="H251" s="1" t="s">
        <v>24</v>
      </c>
      <c r="I251" s="1" t="s">
        <v>182</v>
      </c>
      <c r="J251" s="1" t="s">
        <v>99</v>
      </c>
      <c r="K251" s="1"/>
      <c r="L251" s="1" t="str">
        <f t="shared" si="35"/>
        <v>No</v>
      </c>
      <c r="M251" s="1">
        <f t="shared" si="43"/>
        <v>34</v>
      </c>
      <c r="N251" s="1">
        <f t="shared" si="36"/>
        <v>27</v>
      </c>
      <c r="O251" s="1">
        <f t="shared" si="37"/>
        <v>3</v>
      </c>
      <c r="P251" s="1">
        <f t="shared" si="38"/>
        <v>0</v>
      </c>
      <c r="Q251" s="1">
        <f t="shared" si="39"/>
        <v>96.29</v>
      </c>
      <c r="R251" s="1" t="str">
        <f t="shared" si="40"/>
        <v>caught</v>
      </c>
      <c r="S251" s="1" t="str">
        <f t="shared" si="41"/>
        <v xml:space="preserve"> Bangladesh</v>
      </c>
      <c r="T251" s="1" t="str">
        <f t="shared" si="42"/>
        <v>Birmingham</v>
      </c>
      <c r="U251" s="1" t="str">
        <f t="shared" si="44"/>
        <v>Yes</v>
      </c>
      <c r="V251" s="1"/>
      <c r="W251" s="1"/>
      <c r="X251" s="1"/>
      <c r="Y251" s="1"/>
      <c r="Z251" s="1"/>
    </row>
    <row r="252" spans="1:26" ht="14.25" customHeight="1">
      <c r="A252" s="1"/>
      <c r="B252" s="1">
        <v>235</v>
      </c>
      <c r="C252" s="1" t="s">
        <v>479</v>
      </c>
      <c r="D252" s="1" t="s">
        <v>165</v>
      </c>
      <c r="E252" s="1" t="s">
        <v>148</v>
      </c>
      <c r="F252" s="1" t="s">
        <v>131</v>
      </c>
      <c r="G252" s="1" t="s">
        <v>480</v>
      </c>
      <c r="H252" s="1" t="s">
        <v>32</v>
      </c>
      <c r="I252" s="1" t="s">
        <v>133</v>
      </c>
      <c r="J252" s="1" t="s">
        <v>109</v>
      </c>
      <c r="K252" s="1"/>
      <c r="L252" s="1" t="str">
        <f t="shared" si="35"/>
        <v>No</v>
      </c>
      <c r="M252" s="1">
        <f t="shared" si="43"/>
        <v>1</v>
      </c>
      <c r="N252" s="1">
        <f t="shared" si="36"/>
        <v>41</v>
      </c>
      <c r="O252" s="1">
        <f t="shared" si="37"/>
        <v>3</v>
      </c>
      <c r="P252" s="1">
        <f t="shared" si="38"/>
        <v>0</v>
      </c>
      <c r="Q252" s="1">
        <f t="shared" si="39"/>
        <v>82.92</v>
      </c>
      <c r="R252" s="1" t="str">
        <f t="shared" si="40"/>
        <v>not out</v>
      </c>
      <c r="S252" s="1" t="str">
        <f t="shared" si="41"/>
        <v xml:space="preserve"> Sri Lanka</v>
      </c>
      <c r="T252" s="1" t="str">
        <f t="shared" si="42"/>
        <v>Leeds</v>
      </c>
      <c r="U252" s="1" t="str">
        <f t="shared" si="44"/>
        <v>No</v>
      </c>
      <c r="V252" s="1"/>
      <c r="W252" s="1"/>
      <c r="X252" s="1"/>
      <c r="Y252" s="1"/>
      <c r="Z252" s="1"/>
    </row>
    <row r="253" spans="1:26" ht="14.25" customHeight="1">
      <c r="A253" s="1"/>
      <c r="B253" s="1">
        <v>236</v>
      </c>
      <c r="C253" s="1" t="s">
        <v>130</v>
      </c>
      <c r="D253" s="1" t="s">
        <v>136</v>
      </c>
      <c r="E253" s="1" t="s">
        <v>131</v>
      </c>
      <c r="F253" s="1" t="s">
        <v>131</v>
      </c>
      <c r="G253" s="1" t="s">
        <v>481</v>
      </c>
      <c r="H253" s="1" t="s">
        <v>19</v>
      </c>
      <c r="I253" s="1" t="s">
        <v>211</v>
      </c>
      <c r="J253" s="1" t="s">
        <v>115</v>
      </c>
      <c r="K253" s="1"/>
      <c r="L253" s="1" t="str">
        <f t="shared" si="35"/>
        <v>No</v>
      </c>
      <c r="M253" s="1" t="str">
        <f t="shared" si="43"/>
        <v>NA</v>
      </c>
      <c r="N253" s="1">
        <f t="shared" si="36"/>
        <v>6</v>
      </c>
      <c r="O253" s="1">
        <f t="shared" si="37"/>
        <v>0</v>
      </c>
      <c r="P253" s="1">
        <f t="shared" si="38"/>
        <v>0</v>
      </c>
      <c r="Q253" s="1">
        <f t="shared" si="39"/>
        <v>16.66</v>
      </c>
      <c r="R253" s="1" t="str">
        <f t="shared" si="40"/>
        <v>lbw</v>
      </c>
      <c r="S253" s="1" t="str">
        <f t="shared" si="41"/>
        <v xml:space="preserve"> New Zealand</v>
      </c>
      <c r="T253" s="1" t="str">
        <f t="shared" si="42"/>
        <v>Manchester</v>
      </c>
      <c r="U253" s="1" t="str">
        <f t="shared" si="44"/>
        <v>Yes</v>
      </c>
      <c r="V253" s="1"/>
      <c r="W253" s="1"/>
      <c r="X253" s="1"/>
      <c r="Y253" s="1"/>
      <c r="Z253" s="1"/>
    </row>
    <row r="254" spans="1:26" ht="14.25" customHeight="1">
      <c r="A254" s="1"/>
      <c r="B254" s="1">
        <v>237</v>
      </c>
      <c r="C254" s="1" t="s">
        <v>38</v>
      </c>
      <c r="D254" s="1" t="s">
        <v>157</v>
      </c>
      <c r="E254" s="1" t="s">
        <v>157</v>
      </c>
      <c r="F254" s="1" t="s">
        <v>157</v>
      </c>
      <c r="G254" s="1" t="s">
        <v>157</v>
      </c>
      <c r="H254" s="1" t="s">
        <v>157</v>
      </c>
      <c r="I254" s="1" t="s">
        <v>163</v>
      </c>
      <c r="J254" s="1" t="s">
        <v>116</v>
      </c>
      <c r="K254" s="1"/>
      <c r="L254" s="1" t="str">
        <f t="shared" si="35"/>
        <v>Yes</v>
      </c>
      <c r="M254" s="1">
        <f t="shared" si="43"/>
        <v>120</v>
      </c>
      <c r="N254" s="1" t="str">
        <f t="shared" si="36"/>
        <v>NA</v>
      </c>
      <c r="O254" s="1" t="str">
        <f t="shared" si="37"/>
        <v>NA</v>
      </c>
      <c r="P254" s="1" t="str">
        <f t="shared" si="38"/>
        <v>NA</v>
      </c>
      <c r="Q254" s="1" t="str">
        <f t="shared" si="39"/>
        <v>NA</v>
      </c>
      <c r="R254" s="1" t="str">
        <f t="shared" si="40"/>
        <v>NA</v>
      </c>
      <c r="S254" s="1" t="str">
        <f t="shared" si="41"/>
        <v xml:space="preserve"> West Indies</v>
      </c>
      <c r="T254" s="1" t="str">
        <f t="shared" si="42"/>
        <v>Providence</v>
      </c>
      <c r="U254" s="1" t="str">
        <f t="shared" si="44"/>
        <v>No</v>
      </c>
      <c r="V254" s="1"/>
      <c r="W254" s="1"/>
      <c r="X254" s="1"/>
      <c r="Y254" s="1"/>
      <c r="Z254" s="1"/>
    </row>
    <row r="255" spans="1:26" ht="14.25" customHeight="1">
      <c r="A255" s="1"/>
      <c r="B255" s="1">
        <v>238</v>
      </c>
      <c r="C255" s="1" t="s">
        <v>291</v>
      </c>
      <c r="D255" s="1" t="s">
        <v>438</v>
      </c>
      <c r="E255" s="1" t="s">
        <v>205</v>
      </c>
      <c r="F255" s="1" t="s">
        <v>130</v>
      </c>
      <c r="G255" s="1" t="s">
        <v>482</v>
      </c>
      <c r="H255" s="1" t="s">
        <v>24</v>
      </c>
      <c r="I255" s="1" t="s">
        <v>163</v>
      </c>
      <c r="J255" s="1" t="s">
        <v>76</v>
      </c>
      <c r="K255" s="1"/>
      <c r="L255" s="1" t="str">
        <f t="shared" si="35"/>
        <v>No</v>
      </c>
      <c r="M255" s="1">
        <f t="shared" si="43"/>
        <v>114</v>
      </c>
      <c r="N255" s="1">
        <f t="shared" si="36"/>
        <v>125</v>
      </c>
      <c r="O255" s="1">
        <f t="shared" si="37"/>
        <v>14</v>
      </c>
      <c r="P255" s="1">
        <f t="shared" si="38"/>
        <v>1</v>
      </c>
      <c r="Q255" s="1">
        <f t="shared" si="39"/>
        <v>96</v>
      </c>
      <c r="R255" s="1" t="str">
        <f t="shared" si="40"/>
        <v>caught</v>
      </c>
      <c r="S255" s="1" t="str">
        <f t="shared" si="41"/>
        <v xml:space="preserve"> West Indies</v>
      </c>
      <c r="T255" s="1" t="str">
        <f t="shared" si="42"/>
        <v>Port of Spain</v>
      </c>
      <c r="U255" s="1" t="str">
        <f t="shared" si="44"/>
        <v>Yes</v>
      </c>
      <c r="V255" s="1"/>
      <c r="W255" s="1"/>
      <c r="X255" s="1"/>
      <c r="Y255" s="1"/>
      <c r="Z255" s="1"/>
    </row>
    <row r="256" spans="1:26" ht="14.25" customHeight="1">
      <c r="A256" s="1"/>
      <c r="B256" s="1">
        <v>239</v>
      </c>
      <c r="C256" s="1" t="s">
        <v>483</v>
      </c>
      <c r="D256" s="1" t="s">
        <v>269</v>
      </c>
      <c r="E256" s="1" t="s">
        <v>205</v>
      </c>
      <c r="F256" s="1" t="s">
        <v>131</v>
      </c>
      <c r="G256" s="1" t="s">
        <v>484</v>
      </c>
      <c r="H256" s="1" t="s">
        <v>32</v>
      </c>
      <c r="I256" s="1" t="s">
        <v>163</v>
      </c>
      <c r="J256" s="1" t="s">
        <v>76</v>
      </c>
      <c r="K256" s="1"/>
      <c r="L256" s="1" t="str">
        <f t="shared" si="35"/>
        <v>No</v>
      </c>
      <c r="M256" s="1">
        <f t="shared" si="43"/>
        <v>4</v>
      </c>
      <c r="N256" s="1">
        <f t="shared" si="36"/>
        <v>99</v>
      </c>
      <c r="O256" s="1">
        <f t="shared" si="37"/>
        <v>14</v>
      </c>
      <c r="P256" s="1">
        <f t="shared" si="38"/>
        <v>0</v>
      </c>
      <c r="Q256" s="1">
        <f t="shared" si="39"/>
        <v>115.15</v>
      </c>
      <c r="R256" s="1" t="str">
        <f t="shared" si="40"/>
        <v>not out</v>
      </c>
      <c r="S256" s="1" t="str">
        <f t="shared" si="41"/>
        <v xml:space="preserve"> West Indies</v>
      </c>
      <c r="T256" s="1" t="str">
        <f t="shared" si="42"/>
        <v>Port of Spain</v>
      </c>
      <c r="U256" s="1" t="str">
        <f t="shared" si="44"/>
        <v>No</v>
      </c>
      <c r="V256" s="1"/>
      <c r="W256" s="1"/>
      <c r="X256" s="1"/>
      <c r="Y256" s="1"/>
      <c r="Z256" s="1"/>
    </row>
    <row r="257" spans="1:26" ht="14.25" customHeight="1">
      <c r="A257" s="1"/>
      <c r="B257" s="1">
        <v>240</v>
      </c>
      <c r="C257" s="1" t="s">
        <v>140</v>
      </c>
      <c r="D257" s="1" t="s">
        <v>140</v>
      </c>
      <c r="E257" s="1" t="s">
        <v>130</v>
      </c>
      <c r="F257" s="1" t="s">
        <v>131</v>
      </c>
      <c r="G257" s="1" t="s">
        <v>152</v>
      </c>
      <c r="H257" s="1" t="s">
        <v>29</v>
      </c>
      <c r="I257" s="1" t="s">
        <v>163</v>
      </c>
      <c r="J257" s="1" t="s">
        <v>68</v>
      </c>
      <c r="K257" s="1"/>
      <c r="L257" s="1" t="str">
        <f t="shared" si="35"/>
        <v>No</v>
      </c>
      <c r="M257" s="1">
        <f t="shared" si="43"/>
        <v>0</v>
      </c>
      <c r="N257" s="1">
        <f t="shared" si="36"/>
        <v>4</v>
      </c>
      <c r="O257" s="1">
        <f t="shared" si="37"/>
        <v>1</v>
      </c>
      <c r="P257" s="1">
        <f t="shared" si="38"/>
        <v>0</v>
      </c>
      <c r="Q257" s="1">
        <f t="shared" si="39"/>
        <v>100</v>
      </c>
      <c r="R257" s="1" t="str">
        <f t="shared" si="40"/>
        <v>bowled</v>
      </c>
      <c r="S257" s="1" t="str">
        <f t="shared" si="41"/>
        <v xml:space="preserve"> West Indies</v>
      </c>
      <c r="T257" s="1" t="str">
        <f t="shared" si="42"/>
        <v>Chennai</v>
      </c>
      <c r="U257" s="1" t="str">
        <f t="shared" si="44"/>
        <v>Yes</v>
      </c>
      <c r="V257" s="1"/>
      <c r="W257" s="1"/>
      <c r="X257" s="1"/>
      <c r="Y257" s="1"/>
      <c r="Z257" s="1"/>
    </row>
    <row r="258" spans="1:26" ht="14.25" customHeight="1">
      <c r="A258" s="1"/>
      <c r="B258" s="1">
        <v>241</v>
      </c>
      <c r="C258" s="1" t="s">
        <v>131</v>
      </c>
      <c r="D258" s="1" t="s">
        <v>130</v>
      </c>
      <c r="E258" s="1" t="s">
        <v>131</v>
      </c>
      <c r="F258" s="1" t="s">
        <v>131</v>
      </c>
      <c r="G258" s="1" t="s">
        <v>210</v>
      </c>
      <c r="H258" s="1" t="s">
        <v>24</v>
      </c>
      <c r="I258" s="1" t="s">
        <v>163</v>
      </c>
      <c r="J258" s="1" t="s">
        <v>65</v>
      </c>
      <c r="K258" s="1"/>
      <c r="L258" s="1" t="str">
        <f t="shared" si="35"/>
        <v>No</v>
      </c>
      <c r="M258" s="1">
        <f t="shared" si="43"/>
        <v>85</v>
      </c>
      <c r="N258" s="1">
        <f t="shared" si="36"/>
        <v>1</v>
      </c>
      <c r="O258" s="1">
        <f t="shared" si="37"/>
        <v>0</v>
      </c>
      <c r="P258" s="1">
        <f t="shared" si="38"/>
        <v>0</v>
      </c>
      <c r="Q258" s="1">
        <f t="shared" si="39"/>
        <v>0</v>
      </c>
      <c r="R258" s="1" t="str">
        <f t="shared" si="40"/>
        <v>caught</v>
      </c>
      <c r="S258" s="1" t="str">
        <f t="shared" si="41"/>
        <v xml:space="preserve"> West Indies</v>
      </c>
      <c r="T258" s="1" t="str">
        <f t="shared" si="42"/>
        <v>Visakhapatnam</v>
      </c>
      <c r="U258" s="1" t="str">
        <f t="shared" si="44"/>
        <v>Yes</v>
      </c>
      <c r="V258" s="1"/>
      <c r="W258" s="1"/>
      <c r="X258" s="1"/>
      <c r="Y258" s="1"/>
      <c r="Z258" s="1"/>
    </row>
    <row r="259" spans="1:26" ht="14.25" customHeight="1">
      <c r="A259" s="1"/>
      <c r="B259" s="1">
        <v>242</v>
      </c>
      <c r="C259" s="1" t="s">
        <v>277</v>
      </c>
      <c r="D259" s="1" t="s">
        <v>250</v>
      </c>
      <c r="E259" s="1" t="s">
        <v>161</v>
      </c>
      <c r="F259" s="1" t="s">
        <v>131</v>
      </c>
      <c r="G259" s="1" t="s">
        <v>400</v>
      </c>
      <c r="H259" s="1" t="s">
        <v>29</v>
      </c>
      <c r="I259" s="1" t="s">
        <v>163</v>
      </c>
      <c r="J259" s="1" t="s">
        <v>86</v>
      </c>
      <c r="K259" s="1"/>
      <c r="L259" s="1" t="str">
        <f t="shared" si="35"/>
        <v>No</v>
      </c>
      <c r="M259" s="1">
        <f t="shared" si="43"/>
        <v>16</v>
      </c>
      <c r="N259" s="1">
        <f t="shared" si="36"/>
        <v>81</v>
      </c>
      <c r="O259" s="1">
        <f t="shared" si="37"/>
        <v>9</v>
      </c>
      <c r="P259" s="1">
        <f t="shared" si="38"/>
        <v>0</v>
      </c>
      <c r="Q259" s="1">
        <f t="shared" si="39"/>
        <v>104.93</v>
      </c>
      <c r="R259" s="1" t="str">
        <f t="shared" si="40"/>
        <v>bowled</v>
      </c>
      <c r="S259" s="1" t="str">
        <f t="shared" si="41"/>
        <v xml:space="preserve"> West Indies</v>
      </c>
      <c r="T259" s="1" t="str">
        <f t="shared" si="42"/>
        <v>Cuttack</v>
      </c>
      <c r="U259" s="1" t="str">
        <f t="shared" si="44"/>
        <v>Yes</v>
      </c>
      <c r="V259" s="1"/>
      <c r="W259" s="1"/>
      <c r="X259" s="1"/>
      <c r="Y259" s="1"/>
      <c r="Z259" s="1"/>
    </row>
    <row r="260" spans="1:26" ht="14.25" customHeight="1">
      <c r="A260" s="1"/>
      <c r="B260" s="1">
        <v>243</v>
      </c>
      <c r="C260" s="1" t="s">
        <v>153</v>
      </c>
      <c r="D260" s="1" t="s">
        <v>205</v>
      </c>
      <c r="E260" s="1" t="s">
        <v>131</v>
      </c>
      <c r="F260" s="1" t="s">
        <v>130</v>
      </c>
      <c r="G260" s="1" t="s">
        <v>266</v>
      </c>
      <c r="H260" s="1" t="s">
        <v>24</v>
      </c>
      <c r="I260" s="1" t="s">
        <v>158</v>
      </c>
      <c r="J260" s="1" t="s">
        <v>75</v>
      </c>
      <c r="K260" s="1"/>
      <c r="L260" s="1" t="str">
        <f t="shared" si="35"/>
        <v>No</v>
      </c>
      <c r="M260" s="1">
        <f t="shared" si="43"/>
        <v>78</v>
      </c>
      <c r="N260" s="1">
        <f t="shared" si="36"/>
        <v>14</v>
      </c>
      <c r="O260" s="1">
        <f t="shared" si="37"/>
        <v>0</v>
      </c>
      <c r="P260" s="1">
        <f t="shared" si="38"/>
        <v>1</v>
      </c>
      <c r="Q260" s="1">
        <f t="shared" si="39"/>
        <v>114.28</v>
      </c>
      <c r="R260" s="1" t="str">
        <f t="shared" si="40"/>
        <v>caught</v>
      </c>
      <c r="S260" s="1" t="str">
        <f t="shared" si="41"/>
        <v xml:space="preserve"> Australia</v>
      </c>
      <c r="T260" s="1" t="str">
        <f t="shared" si="42"/>
        <v>Wankhede</v>
      </c>
      <c r="U260" s="1" t="str">
        <f t="shared" si="44"/>
        <v>Yes</v>
      </c>
      <c r="V260" s="1"/>
      <c r="W260" s="1"/>
      <c r="X260" s="1"/>
      <c r="Y260" s="1"/>
      <c r="Z260" s="1"/>
    </row>
    <row r="261" spans="1:26" ht="14.25" customHeight="1">
      <c r="A261" s="1"/>
      <c r="B261" s="1">
        <v>244</v>
      </c>
      <c r="C261" s="1" t="s">
        <v>348</v>
      </c>
      <c r="D261" s="1" t="s">
        <v>242</v>
      </c>
      <c r="E261" s="1" t="s">
        <v>136</v>
      </c>
      <c r="F261" s="1" t="s">
        <v>131</v>
      </c>
      <c r="G261" s="1" t="s">
        <v>485</v>
      </c>
      <c r="H261" s="1" t="s">
        <v>24</v>
      </c>
      <c r="I261" s="1" t="s">
        <v>158</v>
      </c>
      <c r="J261" s="1" t="s">
        <v>48</v>
      </c>
      <c r="K261" s="1"/>
      <c r="L261" s="1" t="str">
        <f t="shared" si="35"/>
        <v>No</v>
      </c>
      <c r="M261" s="1">
        <f t="shared" si="43"/>
        <v>89</v>
      </c>
      <c r="N261" s="1">
        <f t="shared" si="36"/>
        <v>76</v>
      </c>
      <c r="O261" s="1">
        <f t="shared" si="37"/>
        <v>6</v>
      </c>
      <c r="P261" s="1">
        <f t="shared" si="38"/>
        <v>0</v>
      </c>
      <c r="Q261" s="1">
        <f t="shared" si="39"/>
        <v>102.63</v>
      </c>
      <c r="R261" s="1" t="str">
        <f t="shared" si="40"/>
        <v>caught</v>
      </c>
      <c r="S261" s="1" t="str">
        <f t="shared" si="41"/>
        <v xml:space="preserve"> Australia</v>
      </c>
      <c r="T261" s="1" t="str">
        <f t="shared" si="42"/>
        <v>Rajkot</v>
      </c>
      <c r="U261" s="1" t="str">
        <f t="shared" si="44"/>
        <v>Yes</v>
      </c>
      <c r="V261" s="1"/>
      <c r="W261" s="1"/>
      <c r="X261" s="1"/>
      <c r="Y261" s="1"/>
      <c r="Z261" s="1"/>
    </row>
    <row r="262" spans="1:26" ht="14.25" customHeight="1">
      <c r="A262" s="1"/>
      <c r="B262" s="1">
        <v>245</v>
      </c>
      <c r="C262" s="1" t="s">
        <v>486</v>
      </c>
      <c r="D262" s="1" t="s">
        <v>179</v>
      </c>
      <c r="E262" s="1" t="s">
        <v>189</v>
      </c>
      <c r="F262" s="1" t="s">
        <v>131</v>
      </c>
      <c r="G262" s="1" t="s">
        <v>487</v>
      </c>
      <c r="H262" s="1" t="s">
        <v>29</v>
      </c>
      <c r="I262" s="1" t="s">
        <v>158</v>
      </c>
      <c r="J262" s="1" t="s">
        <v>67</v>
      </c>
      <c r="K262" s="1"/>
      <c r="L262" s="1" t="str">
        <f t="shared" si="35"/>
        <v>No</v>
      </c>
      <c r="M262" s="1">
        <f t="shared" si="43"/>
        <v>51</v>
      </c>
      <c r="N262" s="1">
        <f t="shared" si="36"/>
        <v>91</v>
      </c>
      <c r="O262" s="1">
        <f t="shared" si="37"/>
        <v>8</v>
      </c>
      <c r="P262" s="1">
        <f t="shared" si="38"/>
        <v>0</v>
      </c>
      <c r="Q262" s="1">
        <f t="shared" si="39"/>
        <v>97.8</v>
      </c>
      <c r="R262" s="1" t="str">
        <f t="shared" si="40"/>
        <v>bowled</v>
      </c>
      <c r="S262" s="1" t="str">
        <f t="shared" si="41"/>
        <v xml:space="preserve"> Australia</v>
      </c>
      <c r="T262" s="1" t="str">
        <f t="shared" si="42"/>
        <v>Bengaluru</v>
      </c>
      <c r="U262" s="1" t="str">
        <f t="shared" si="44"/>
        <v>Yes</v>
      </c>
      <c r="V262" s="1"/>
      <c r="W262" s="1"/>
      <c r="X262" s="1"/>
      <c r="Y262" s="1"/>
      <c r="Z262" s="1"/>
    </row>
    <row r="263" spans="1:26" ht="14.25" customHeight="1">
      <c r="A263" s="1"/>
      <c r="B263" s="1">
        <v>246</v>
      </c>
      <c r="C263" s="1" t="s">
        <v>356</v>
      </c>
      <c r="D263" s="1" t="s">
        <v>262</v>
      </c>
      <c r="E263" s="1" t="s">
        <v>136</v>
      </c>
      <c r="F263" s="1" t="s">
        <v>131</v>
      </c>
      <c r="G263" s="1" t="s">
        <v>488</v>
      </c>
      <c r="H263" s="1" t="s">
        <v>29</v>
      </c>
      <c r="I263" s="1" t="s">
        <v>211</v>
      </c>
      <c r="J263" s="1" t="s">
        <v>103</v>
      </c>
      <c r="K263" s="1"/>
      <c r="L263" s="1" t="str">
        <f t="shared" si="35"/>
        <v>No</v>
      </c>
      <c r="M263" s="1">
        <f t="shared" si="43"/>
        <v>15</v>
      </c>
      <c r="N263" s="1">
        <f t="shared" si="36"/>
        <v>63</v>
      </c>
      <c r="O263" s="1">
        <f t="shared" si="37"/>
        <v>6</v>
      </c>
      <c r="P263" s="1">
        <f t="shared" si="38"/>
        <v>0</v>
      </c>
      <c r="Q263" s="1">
        <f t="shared" si="39"/>
        <v>80.95</v>
      </c>
      <c r="R263" s="1" t="str">
        <f t="shared" si="40"/>
        <v>bowled</v>
      </c>
      <c r="S263" s="1" t="str">
        <f t="shared" si="41"/>
        <v xml:space="preserve"> New Zealand</v>
      </c>
      <c r="T263" s="1" t="str">
        <f t="shared" si="42"/>
        <v>Hamilton</v>
      </c>
      <c r="U263" s="1" t="str">
        <f t="shared" si="44"/>
        <v>Yes</v>
      </c>
      <c r="V263" s="1"/>
      <c r="W263" s="1"/>
      <c r="X263" s="1"/>
      <c r="Y263" s="1"/>
      <c r="Z263" s="1"/>
    </row>
    <row r="264" spans="1:26" ht="14.25" customHeight="1">
      <c r="A264" s="1"/>
      <c r="B264" s="1">
        <v>247</v>
      </c>
      <c r="C264" s="1" t="s">
        <v>283</v>
      </c>
      <c r="D264" s="1" t="s">
        <v>138</v>
      </c>
      <c r="E264" s="1" t="s">
        <v>130</v>
      </c>
      <c r="F264" s="1" t="s">
        <v>131</v>
      </c>
      <c r="G264" s="1" t="s">
        <v>239</v>
      </c>
      <c r="H264" s="1" t="s">
        <v>29</v>
      </c>
      <c r="I264" s="1" t="s">
        <v>211</v>
      </c>
      <c r="J264" s="1" t="s">
        <v>104</v>
      </c>
      <c r="K264" s="1"/>
      <c r="L264" s="1" t="str">
        <f t="shared" si="35"/>
        <v>No</v>
      </c>
      <c r="M264" s="1">
        <f t="shared" si="43"/>
        <v>9</v>
      </c>
      <c r="N264" s="1">
        <f t="shared" si="36"/>
        <v>25</v>
      </c>
      <c r="O264" s="1">
        <f t="shared" si="37"/>
        <v>1</v>
      </c>
      <c r="P264" s="1">
        <f t="shared" si="38"/>
        <v>0</v>
      </c>
      <c r="Q264" s="1">
        <f t="shared" si="39"/>
        <v>60</v>
      </c>
      <c r="R264" s="1" t="str">
        <f t="shared" si="40"/>
        <v>bowled</v>
      </c>
      <c r="S264" s="1" t="str">
        <f t="shared" si="41"/>
        <v xml:space="preserve"> New Zealand</v>
      </c>
      <c r="T264" s="1" t="str">
        <f t="shared" si="42"/>
        <v>Auckland</v>
      </c>
      <c r="U264" s="1" t="str">
        <f t="shared" si="44"/>
        <v>Yes</v>
      </c>
      <c r="V264" s="1"/>
      <c r="W264" s="1"/>
      <c r="X264" s="1"/>
      <c r="Y264" s="1"/>
      <c r="Z264" s="1"/>
    </row>
    <row r="265" spans="1:26" ht="14.25" customHeight="1">
      <c r="A265" s="1"/>
      <c r="B265" s="1">
        <v>248</v>
      </c>
      <c r="C265" s="1" t="s">
        <v>161</v>
      </c>
      <c r="D265" s="1" t="s">
        <v>128</v>
      </c>
      <c r="E265" s="1" t="s">
        <v>131</v>
      </c>
      <c r="F265" s="1" t="s">
        <v>130</v>
      </c>
      <c r="G265" s="1" t="s">
        <v>178</v>
      </c>
      <c r="H265" s="1" t="s">
        <v>24</v>
      </c>
      <c r="I265" s="1" t="s">
        <v>211</v>
      </c>
      <c r="J265" s="1" t="s">
        <v>114</v>
      </c>
      <c r="K265" s="1"/>
      <c r="L265" s="1" t="str">
        <f t="shared" si="35"/>
        <v>No</v>
      </c>
      <c r="M265" s="1">
        <f t="shared" si="43"/>
        <v>21</v>
      </c>
      <c r="N265" s="1">
        <f t="shared" si="36"/>
        <v>12</v>
      </c>
      <c r="O265" s="1">
        <f t="shared" si="37"/>
        <v>0</v>
      </c>
      <c r="P265" s="1">
        <f t="shared" si="38"/>
        <v>1</v>
      </c>
      <c r="Q265" s="1">
        <f t="shared" si="39"/>
        <v>75</v>
      </c>
      <c r="R265" s="1" t="str">
        <f t="shared" si="40"/>
        <v>caught</v>
      </c>
      <c r="S265" s="1" t="str">
        <f t="shared" si="41"/>
        <v xml:space="preserve"> New Zealand</v>
      </c>
      <c r="T265" s="1" t="str">
        <f t="shared" si="42"/>
        <v>Mount Maunganui</v>
      </c>
      <c r="U265" s="1" t="str">
        <f t="shared" si="44"/>
        <v>Yes</v>
      </c>
      <c r="V265" s="1"/>
      <c r="W265" s="1"/>
      <c r="X265" s="1"/>
      <c r="Y265" s="1"/>
      <c r="Z265" s="1"/>
    </row>
    <row r="266" spans="1:26" ht="14.25" customHeight="1">
      <c r="A266" s="1"/>
      <c r="B266" s="1">
        <v>249</v>
      </c>
      <c r="C266" s="1" t="s">
        <v>246</v>
      </c>
      <c r="D266" s="1" t="s">
        <v>246</v>
      </c>
      <c r="E266" s="1" t="s">
        <v>151</v>
      </c>
      <c r="F266" s="1" t="s">
        <v>130</v>
      </c>
      <c r="G266" s="1" t="s">
        <v>152</v>
      </c>
      <c r="H266" s="1" t="s">
        <v>24</v>
      </c>
      <c r="I266" s="1" t="s">
        <v>158</v>
      </c>
      <c r="J266" s="1" t="s">
        <v>92</v>
      </c>
      <c r="K266" s="1"/>
      <c r="L266" s="1" t="str">
        <f t="shared" si="35"/>
        <v>No</v>
      </c>
      <c r="M266" s="1">
        <f t="shared" si="43"/>
        <v>89</v>
      </c>
      <c r="N266" s="1">
        <f t="shared" si="36"/>
        <v>21</v>
      </c>
      <c r="O266" s="1">
        <f t="shared" si="37"/>
        <v>2</v>
      </c>
      <c r="P266" s="1">
        <f t="shared" si="38"/>
        <v>1</v>
      </c>
      <c r="Q266" s="1">
        <f t="shared" si="39"/>
        <v>100</v>
      </c>
      <c r="R266" s="1" t="str">
        <f t="shared" si="40"/>
        <v>caught</v>
      </c>
      <c r="S266" s="1" t="str">
        <f t="shared" si="41"/>
        <v xml:space="preserve"> Australia</v>
      </c>
      <c r="T266" s="1" t="str">
        <f t="shared" si="42"/>
        <v>Sydney</v>
      </c>
      <c r="U266" s="1" t="str">
        <f t="shared" si="44"/>
        <v>Yes</v>
      </c>
      <c r="V266" s="1"/>
      <c r="W266" s="1"/>
      <c r="X266" s="1"/>
      <c r="Y266" s="1"/>
      <c r="Z266" s="1"/>
    </row>
    <row r="267" spans="1:26" ht="14.25" customHeight="1">
      <c r="A267" s="1"/>
      <c r="B267" s="1">
        <v>250</v>
      </c>
      <c r="C267" s="1" t="s">
        <v>486</v>
      </c>
      <c r="D267" s="1" t="s">
        <v>421</v>
      </c>
      <c r="E267" s="1" t="s">
        <v>144</v>
      </c>
      <c r="F267" s="1" t="s">
        <v>151</v>
      </c>
      <c r="G267" s="1" t="s">
        <v>489</v>
      </c>
      <c r="H267" s="1" t="s">
        <v>24</v>
      </c>
      <c r="I267" s="1" t="s">
        <v>158</v>
      </c>
      <c r="J267" s="1" t="s">
        <v>92</v>
      </c>
      <c r="K267" s="1"/>
      <c r="L267" s="1" t="str">
        <f t="shared" si="35"/>
        <v>No</v>
      </c>
      <c r="M267" s="1">
        <f t="shared" si="43"/>
        <v>63</v>
      </c>
      <c r="N267" s="1">
        <f t="shared" si="36"/>
        <v>87</v>
      </c>
      <c r="O267" s="1">
        <f t="shared" si="37"/>
        <v>7</v>
      </c>
      <c r="P267" s="1">
        <f t="shared" si="38"/>
        <v>2</v>
      </c>
      <c r="Q267" s="1">
        <f t="shared" si="39"/>
        <v>102.29</v>
      </c>
      <c r="R267" s="1" t="str">
        <f t="shared" si="40"/>
        <v>caught</v>
      </c>
      <c r="S267" s="1" t="str">
        <f t="shared" si="41"/>
        <v xml:space="preserve"> Australia</v>
      </c>
      <c r="T267" s="1" t="str">
        <f t="shared" si="42"/>
        <v>Sydney</v>
      </c>
      <c r="U267" s="1" t="str">
        <f t="shared" si="44"/>
        <v>Yes</v>
      </c>
      <c r="V267" s="1"/>
      <c r="W267" s="1"/>
      <c r="X267" s="1"/>
      <c r="Y267" s="1"/>
      <c r="Z267" s="1"/>
    </row>
    <row r="268" spans="1:26" ht="14.25" customHeight="1">
      <c r="A268" s="1"/>
      <c r="B268" s="1">
        <v>251</v>
      </c>
      <c r="C268" s="1" t="s">
        <v>262</v>
      </c>
      <c r="D268" s="1" t="s">
        <v>348</v>
      </c>
      <c r="E268" s="1" t="s">
        <v>202</v>
      </c>
      <c r="F268" s="1" t="s">
        <v>131</v>
      </c>
      <c r="G268" s="1" t="s">
        <v>490</v>
      </c>
      <c r="H268" s="1" t="s">
        <v>24</v>
      </c>
      <c r="I268" s="1" t="s">
        <v>158</v>
      </c>
      <c r="J268" s="1" t="s">
        <v>111</v>
      </c>
      <c r="K268" s="1"/>
      <c r="L268" s="1" t="str">
        <f t="shared" si="35"/>
        <v>No</v>
      </c>
      <c r="M268" s="1">
        <f t="shared" si="43"/>
        <v>56</v>
      </c>
      <c r="N268" s="1">
        <f t="shared" si="36"/>
        <v>78</v>
      </c>
      <c r="O268" s="1">
        <f t="shared" si="37"/>
        <v>5</v>
      </c>
      <c r="P268" s="1">
        <f t="shared" si="38"/>
        <v>0</v>
      </c>
      <c r="Q268" s="1">
        <f t="shared" si="39"/>
        <v>80.760000000000005</v>
      </c>
      <c r="R268" s="1" t="str">
        <f t="shared" si="40"/>
        <v>caught</v>
      </c>
      <c r="S268" s="1" t="str">
        <f t="shared" si="41"/>
        <v xml:space="preserve"> Australia</v>
      </c>
      <c r="T268" s="1" t="str">
        <f t="shared" si="42"/>
        <v>Canberra</v>
      </c>
      <c r="U268" s="1" t="str">
        <f t="shared" si="44"/>
        <v>Yes</v>
      </c>
      <c r="V268" s="1"/>
      <c r="W268" s="1"/>
      <c r="X268" s="1"/>
      <c r="Y268" s="1"/>
      <c r="Z268" s="1"/>
    </row>
    <row r="269" spans="1:26" ht="14.25" customHeight="1">
      <c r="A269" s="1"/>
      <c r="B269" s="1">
        <v>252</v>
      </c>
      <c r="C269" s="1" t="s">
        <v>452</v>
      </c>
      <c r="D269" s="1" t="s">
        <v>380</v>
      </c>
      <c r="E269" s="1" t="s">
        <v>136</v>
      </c>
      <c r="F269" s="1" t="s">
        <v>131</v>
      </c>
      <c r="G269" s="1" t="s">
        <v>491</v>
      </c>
      <c r="H269" s="1" t="s">
        <v>24</v>
      </c>
      <c r="I269" s="1" t="s">
        <v>234</v>
      </c>
      <c r="J269" s="1" t="s">
        <v>100</v>
      </c>
      <c r="K269" s="1"/>
      <c r="L269" s="1" t="str">
        <f t="shared" si="35"/>
        <v>No</v>
      </c>
      <c r="M269" s="1">
        <f t="shared" si="43"/>
        <v>66</v>
      </c>
      <c r="N269" s="1">
        <f t="shared" si="36"/>
        <v>60</v>
      </c>
      <c r="O269" s="1">
        <f t="shared" si="37"/>
        <v>6</v>
      </c>
      <c r="P269" s="1">
        <f t="shared" si="38"/>
        <v>0</v>
      </c>
      <c r="Q269" s="1">
        <f t="shared" si="39"/>
        <v>93.33</v>
      </c>
      <c r="R269" s="1" t="str">
        <f t="shared" si="40"/>
        <v>caught</v>
      </c>
      <c r="S269" s="1" t="str">
        <f t="shared" si="41"/>
        <v xml:space="preserve"> England</v>
      </c>
      <c r="T269" s="1" t="str">
        <f t="shared" si="42"/>
        <v>Pune</v>
      </c>
      <c r="U269" s="1" t="str">
        <f t="shared" si="44"/>
        <v>Yes</v>
      </c>
      <c r="V269" s="1"/>
      <c r="W269" s="1"/>
      <c r="X269" s="1"/>
      <c r="Y269" s="1"/>
      <c r="Z269" s="1"/>
    </row>
    <row r="270" spans="1:26" ht="14.25" customHeight="1">
      <c r="A270" s="1"/>
      <c r="B270" s="1">
        <v>253</v>
      </c>
      <c r="C270" s="1" t="s">
        <v>143</v>
      </c>
      <c r="D270" s="1" t="s">
        <v>311</v>
      </c>
      <c r="E270" s="1" t="s">
        <v>148</v>
      </c>
      <c r="F270" s="1" t="s">
        <v>130</v>
      </c>
      <c r="G270" s="1" t="s">
        <v>492</v>
      </c>
      <c r="H270" s="1" t="s">
        <v>24</v>
      </c>
      <c r="I270" s="1" t="s">
        <v>234</v>
      </c>
      <c r="J270" s="1" t="s">
        <v>100</v>
      </c>
      <c r="K270" s="1"/>
      <c r="L270" s="1" t="str">
        <f t="shared" si="35"/>
        <v>No</v>
      </c>
      <c r="M270" s="1">
        <f t="shared" si="43"/>
        <v>7</v>
      </c>
      <c r="N270" s="1">
        <f t="shared" si="36"/>
        <v>79</v>
      </c>
      <c r="O270" s="1">
        <f t="shared" si="37"/>
        <v>3</v>
      </c>
      <c r="P270" s="1">
        <f t="shared" si="38"/>
        <v>1</v>
      </c>
      <c r="Q270" s="1">
        <f t="shared" si="39"/>
        <v>83.54</v>
      </c>
      <c r="R270" s="1" t="str">
        <f t="shared" si="40"/>
        <v>caught</v>
      </c>
      <c r="S270" s="1" t="str">
        <f t="shared" si="41"/>
        <v xml:space="preserve"> England</v>
      </c>
      <c r="T270" s="1" t="str">
        <f t="shared" si="42"/>
        <v>Pune</v>
      </c>
      <c r="U270" s="1" t="str">
        <f t="shared" si="44"/>
        <v>Yes</v>
      </c>
      <c r="V270" s="1"/>
      <c r="W270" s="1"/>
      <c r="X270" s="1"/>
      <c r="Y270" s="1"/>
      <c r="Z270" s="1"/>
    </row>
    <row r="271" spans="1:26" ht="14.25" customHeight="1">
      <c r="A271" s="1"/>
      <c r="B271" s="1">
        <v>254</v>
      </c>
      <c r="C271" s="1" t="s">
        <v>144</v>
      </c>
      <c r="D271" s="1" t="s">
        <v>167</v>
      </c>
      <c r="E271" s="1" t="s">
        <v>130</v>
      </c>
      <c r="F271" s="1" t="s">
        <v>131</v>
      </c>
      <c r="G271" s="1" t="s">
        <v>493</v>
      </c>
      <c r="H271" s="1" t="s">
        <v>29</v>
      </c>
      <c r="I271" s="1" t="s">
        <v>234</v>
      </c>
      <c r="J271" s="1" t="s">
        <v>100</v>
      </c>
      <c r="K271" s="1"/>
      <c r="L271" s="1" t="str">
        <f t="shared" si="35"/>
        <v>No</v>
      </c>
      <c r="M271" s="1">
        <f t="shared" si="43"/>
        <v>51</v>
      </c>
      <c r="N271" s="1">
        <f t="shared" si="36"/>
        <v>10</v>
      </c>
      <c r="O271" s="1">
        <f t="shared" si="37"/>
        <v>1</v>
      </c>
      <c r="P271" s="1">
        <f t="shared" si="38"/>
        <v>0</v>
      </c>
      <c r="Q271" s="1">
        <f t="shared" si="39"/>
        <v>70</v>
      </c>
      <c r="R271" s="1" t="str">
        <f t="shared" si="40"/>
        <v>bowled</v>
      </c>
      <c r="S271" s="1" t="str">
        <f t="shared" si="41"/>
        <v xml:space="preserve"> England</v>
      </c>
      <c r="T271" s="1" t="str">
        <f t="shared" si="42"/>
        <v>Pune</v>
      </c>
      <c r="U271" s="1" t="str">
        <f t="shared" si="44"/>
        <v>Yes</v>
      </c>
      <c r="V271" s="1"/>
      <c r="W271" s="1"/>
      <c r="X271" s="1"/>
      <c r="Y271" s="1"/>
      <c r="Z271" s="1"/>
    </row>
    <row r="272" spans="1:26" ht="14.25" customHeight="1">
      <c r="A272" s="1"/>
      <c r="B272" s="1">
        <v>255</v>
      </c>
      <c r="C272" s="1" t="s">
        <v>356</v>
      </c>
      <c r="D272" s="1" t="s">
        <v>262</v>
      </c>
      <c r="E272" s="1" t="s">
        <v>148</v>
      </c>
      <c r="F272" s="1" t="s">
        <v>131</v>
      </c>
      <c r="G272" s="1" t="s">
        <v>488</v>
      </c>
      <c r="H272" s="1" t="s">
        <v>24</v>
      </c>
      <c r="I272" s="1" t="s">
        <v>191</v>
      </c>
      <c r="J272" s="1" t="s">
        <v>117</v>
      </c>
      <c r="K272" s="1"/>
      <c r="L272" s="1" t="str">
        <f t="shared" si="35"/>
        <v>No</v>
      </c>
      <c r="M272" s="1">
        <f t="shared" si="43"/>
        <v>0</v>
      </c>
      <c r="N272" s="1">
        <f t="shared" si="36"/>
        <v>63</v>
      </c>
      <c r="O272" s="1">
        <f t="shared" si="37"/>
        <v>3</v>
      </c>
      <c r="P272" s="1">
        <f t="shared" si="38"/>
        <v>0</v>
      </c>
      <c r="Q272" s="1">
        <f t="shared" si="39"/>
        <v>80.95</v>
      </c>
      <c r="R272" s="1" t="str">
        <f t="shared" si="40"/>
        <v>caught</v>
      </c>
      <c r="S272" s="1" t="str">
        <f t="shared" si="41"/>
        <v xml:space="preserve"> South Africa</v>
      </c>
      <c r="T272" s="1" t="str">
        <f t="shared" si="42"/>
        <v>Paarl</v>
      </c>
      <c r="U272" s="1" t="str">
        <f t="shared" si="44"/>
        <v>Yes</v>
      </c>
      <c r="V272" s="1"/>
      <c r="W272" s="1"/>
      <c r="X272" s="1"/>
      <c r="Y272" s="1"/>
      <c r="Z272" s="1"/>
    </row>
    <row r="273" spans="1:26" ht="14.25" customHeight="1">
      <c r="A273" s="1"/>
      <c r="B273" s="1">
        <v>256</v>
      </c>
      <c r="C273" s="1" t="s">
        <v>131</v>
      </c>
      <c r="D273" s="1" t="s">
        <v>202</v>
      </c>
      <c r="E273" s="1" t="s">
        <v>131</v>
      </c>
      <c r="F273" s="1" t="s">
        <v>131</v>
      </c>
      <c r="G273" s="1" t="s">
        <v>210</v>
      </c>
      <c r="H273" s="1" t="s">
        <v>24</v>
      </c>
      <c r="I273" s="1" t="s">
        <v>191</v>
      </c>
      <c r="J273" s="1" t="s">
        <v>117</v>
      </c>
      <c r="K273" s="1"/>
      <c r="L273" s="1" t="str">
        <f t="shared" si="35"/>
        <v>No</v>
      </c>
      <c r="M273" s="1">
        <f t="shared" si="43"/>
        <v>65</v>
      </c>
      <c r="N273" s="1">
        <f t="shared" si="36"/>
        <v>5</v>
      </c>
      <c r="O273" s="1">
        <f t="shared" si="37"/>
        <v>0</v>
      </c>
      <c r="P273" s="1">
        <f t="shared" si="38"/>
        <v>0</v>
      </c>
      <c r="Q273" s="1">
        <f t="shared" si="39"/>
        <v>0</v>
      </c>
      <c r="R273" s="1" t="str">
        <f t="shared" si="40"/>
        <v>caught</v>
      </c>
      <c r="S273" s="1" t="str">
        <f t="shared" si="41"/>
        <v xml:space="preserve"> South Africa</v>
      </c>
      <c r="T273" s="1" t="str">
        <f t="shared" si="42"/>
        <v>Paarl</v>
      </c>
      <c r="U273" s="1" t="str">
        <f t="shared" si="44"/>
        <v>Yes</v>
      </c>
      <c r="V273" s="1"/>
      <c r="W273" s="1"/>
      <c r="X273" s="1"/>
      <c r="Y273" s="1"/>
      <c r="Z273" s="1"/>
    </row>
    <row r="274" spans="1:26" ht="14.25" customHeight="1">
      <c r="A274" s="1"/>
      <c r="B274" s="1">
        <v>257</v>
      </c>
      <c r="C274" s="1" t="s">
        <v>172</v>
      </c>
      <c r="D274" s="1" t="s">
        <v>340</v>
      </c>
      <c r="E274" s="1" t="s">
        <v>202</v>
      </c>
      <c r="F274" s="1" t="s">
        <v>131</v>
      </c>
      <c r="G274" s="1" t="s">
        <v>494</v>
      </c>
      <c r="H274" s="1" t="s">
        <v>24</v>
      </c>
      <c r="I274" s="1" t="s">
        <v>191</v>
      </c>
      <c r="J274" s="1" t="s">
        <v>70</v>
      </c>
      <c r="K274" s="1"/>
      <c r="L274" s="1" t="str">
        <f t="shared" ref="L274:L319" si="45">IF(OR(C274="DNB",C274="TDNB"),"Yes","No")</f>
        <v>No</v>
      </c>
      <c r="M274" s="1">
        <f t="shared" si="43"/>
        <v>8</v>
      </c>
      <c r="N274" s="1">
        <f t="shared" ref="N274:N319" si="46">IF(D274="-","NA",D274*1)</f>
        <v>84</v>
      </c>
      <c r="O274" s="1">
        <f t="shared" ref="O274:O319" si="47">IF(E274="-","NA",E274*1)</f>
        <v>5</v>
      </c>
      <c r="P274" s="1">
        <f t="shared" ref="P274:P319" si="48">IF(F274="-","NA",F274*1)</f>
        <v>0</v>
      </c>
      <c r="Q274" s="1">
        <f t="shared" ref="Q274:Q319" si="49">IF(G274="-","NA",G274*1)</f>
        <v>77.38</v>
      </c>
      <c r="R274" s="1" t="str">
        <f t="shared" ref="R274:R319" si="50">IF(H274="-","NA",H274)</f>
        <v>caught</v>
      </c>
      <c r="S274" s="1" t="str">
        <f t="shared" ref="S274:S319" si="51">SUBSTITUTE(I274,"v","")</f>
        <v xml:space="preserve"> South Africa</v>
      </c>
      <c r="T274" s="1" t="str">
        <f t="shared" ref="T274:T319" si="52">J274</f>
        <v>Cape Town</v>
      </c>
      <c r="U274" s="1" t="str">
        <f t="shared" si="44"/>
        <v>Yes</v>
      </c>
      <c r="V274" s="1"/>
      <c r="W274" s="1"/>
      <c r="X274" s="1"/>
      <c r="Y274" s="1"/>
      <c r="Z274" s="1"/>
    </row>
    <row r="275" spans="1:26" ht="14.25" customHeight="1">
      <c r="A275" s="1"/>
      <c r="B275" s="1">
        <v>258</v>
      </c>
      <c r="C275" s="1" t="s">
        <v>189</v>
      </c>
      <c r="D275" s="1" t="s">
        <v>140</v>
      </c>
      <c r="E275" s="1" t="s">
        <v>151</v>
      </c>
      <c r="F275" s="1" t="s">
        <v>131</v>
      </c>
      <c r="G275" s="1" t="s">
        <v>427</v>
      </c>
      <c r="H275" s="1" t="s">
        <v>24</v>
      </c>
      <c r="I275" s="1" t="s">
        <v>163</v>
      </c>
      <c r="J275" s="1" t="s">
        <v>59</v>
      </c>
      <c r="K275" s="1"/>
      <c r="L275" s="1" t="str">
        <f t="shared" si="45"/>
        <v>No</v>
      </c>
      <c r="M275" s="1">
        <f t="shared" ref="M275:M318" si="53">IF(L276="Yes", "NA",SUBSTITUTE(C276,"*","")*1)</f>
        <v>18</v>
      </c>
      <c r="N275" s="1">
        <f t="shared" si="46"/>
        <v>4</v>
      </c>
      <c r="O275" s="1">
        <f t="shared" si="47"/>
        <v>2</v>
      </c>
      <c r="P275" s="1">
        <f t="shared" si="48"/>
        <v>0</v>
      </c>
      <c r="Q275" s="1">
        <f t="shared" si="49"/>
        <v>200</v>
      </c>
      <c r="R275" s="1" t="str">
        <f t="shared" si="50"/>
        <v>caught</v>
      </c>
      <c r="S275" s="1" t="str">
        <f t="shared" si="51"/>
        <v xml:space="preserve"> West Indies</v>
      </c>
      <c r="T275" s="1" t="str">
        <f t="shared" si="52"/>
        <v>Ahmedabad</v>
      </c>
      <c r="U275" s="1" t="str">
        <f t="shared" ref="U275:U319" si="54">IF(L275="Yes","No",IF(R275="not out","No","Yes"))</f>
        <v>Yes</v>
      </c>
      <c r="V275" s="1"/>
      <c r="W275" s="1"/>
      <c r="X275" s="1"/>
      <c r="Y275" s="1"/>
      <c r="Z275" s="1"/>
    </row>
    <row r="276" spans="1:26" ht="14.25" customHeight="1">
      <c r="A276" s="1"/>
      <c r="B276" s="1">
        <v>259</v>
      </c>
      <c r="C276" s="1" t="s">
        <v>199</v>
      </c>
      <c r="D276" s="1" t="s">
        <v>164</v>
      </c>
      <c r="E276" s="1" t="s">
        <v>148</v>
      </c>
      <c r="F276" s="1" t="s">
        <v>131</v>
      </c>
      <c r="G276" s="1" t="s">
        <v>239</v>
      </c>
      <c r="H276" s="1" t="s">
        <v>24</v>
      </c>
      <c r="I276" s="1" t="s">
        <v>163</v>
      </c>
      <c r="J276" s="1" t="s">
        <v>59</v>
      </c>
      <c r="K276" s="1"/>
      <c r="L276" s="1" t="str">
        <f t="shared" si="45"/>
        <v>No</v>
      </c>
      <c r="M276" s="1">
        <f t="shared" si="53"/>
        <v>0</v>
      </c>
      <c r="N276" s="1">
        <f t="shared" si="46"/>
        <v>30</v>
      </c>
      <c r="O276" s="1">
        <f t="shared" si="47"/>
        <v>3</v>
      </c>
      <c r="P276" s="1">
        <f t="shared" si="48"/>
        <v>0</v>
      </c>
      <c r="Q276" s="1">
        <f t="shared" si="49"/>
        <v>60</v>
      </c>
      <c r="R276" s="1" t="str">
        <f t="shared" si="50"/>
        <v>caught</v>
      </c>
      <c r="S276" s="1" t="str">
        <f t="shared" si="51"/>
        <v xml:space="preserve"> West Indies</v>
      </c>
      <c r="T276" s="1" t="str">
        <f t="shared" si="52"/>
        <v>Ahmedabad</v>
      </c>
      <c r="U276" s="1" t="str">
        <f t="shared" si="54"/>
        <v>Yes</v>
      </c>
      <c r="V276" s="1"/>
      <c r="W276" s="1"/>
      <c r="X276" s="1"/>
      <c r="Y276" s="1"/>
      <c r="Z276" s="1"/>
    </row>
    <row r="277" spans="1:26" ht="14.25" customHeight="1">
      <c r="A277" s="1"/>
      <c r="B277" s="1">
        <v>260</v>
      </c>
      <c r="C277" s="1" t="s">
        <v>131</v>
      </c>
      <c r="D277" s="1" t="s">
        <v>151</v>
      </c>
      <c r="E277" s="1" t="s">
        <v>131</v>
      </c>
      <c r="F277" s="1" t="s">
        <v>131</v>
      </c>
      <c r="G277" s="1" t="s">
        <v>210</v>
      </c>
      <c r="H277" s="1" t="s">
        <v>24</v>
      </c>
      <c r="I277" s="1" t="s">
        <v>163</v>
      </c>
      <c r="J277" s="1" t="s">
        <v>59</v>
      </c>
      <c r="K277" s="1"/>
      <c r="L277" s="1" t="str">
        <f t="shared" si="45"/>
        <v>No</v>
      </c>
      <c r="M277" s="1">
        <f t="shared" si="53"/>
        <v>16</v>
      </c>
      <c r="N277" s="1">
        <f t="shared" si="46"/>
        <v>2</v>
      </c>
      <c r="O277" s="1">
        <f t="shared" si="47"/>
        <v>0</v>
      </c>
      <c r="P277" s="1">
        <f t="shared" si="48"/>
        <v>0</v>
      </c>
      <c r="Q277" s="1">
        <f t="shared" si="49"/>
        <v>0</v>
      </c>
      <c r="R277" s="1" t="str">
        <f t="shared" si="50"/>
        <v>caught</v>
      </c>
      <c r="S277" s="1" t="str">
        <f t="shared" si="51"/>
        <v xml:space="preserve"> West Indies</v>
      </c>
      <c r="T277" s="1" t="str">
        <f t="shared" si="52"/>
        <v>Ahmedabad</v>
      </c>
      <c r="U277" s="1" t="str">
        <f t="shared" si="54"/>
        <v>Yes</v>
      </c>
      <c r="V277" s="1"/>
      <c r="W277" s="1"/>
      <c r="X277" s="1"/>
      <c r="Y277" s="1"/>
      <c r="Z277" s="1"/>
    </row>
    <row r="278" spans="1:26" ht="14.25" customHeight="1">
      <c r="A278" s="1"/>
      <c r="B278" s="1">
        <v>261</v>
      </c>
      <c r="C278" s="1" t="s">
        <v>153</v>
      </c>
      <c r="D278" s="1" t="s">
        <v>138</v>
      </c>
      <c r="E278" s="1" t="s">
        <v>148</v>
      </c>
      <c r="F278" s="1" t="s">
        <v>131</v>
      </c>
      <c r="G278" s="1" t="s">
        <v>495</v>
      </c>
      <c r="H278" s="1" t="s">
        <v>24</v>
      </c>
      <c r="I278" s="1" t="s">
        <v>234</v>
      </c>
      <c r="J278" s="1" t="s">
        <v>82</v>
      </c>
      <c r="K278" s="1"/>
      <c r="L278" s="1" t="str">
        <f t="shared" si="45"/>
        <v>No</v>
      </c>
      <c r="M278" s="1">
        <f t="shared" si="53"/>
        <v>17</v>
      </c>
      <c r="N278" s="1">
        <f t="shared" si="46"/>
        <v>25</v>
      </c>
      <c r="O278" s="1">
        <f t="shared" si="47"/>
        <v>3</v>
      </c>
      <c r="P278" s="1">
        <f t="shared" si="48"/>
        <v>0</v>
      </c>
      <c r="Q278" s="1">
        <f t="shared" si="49"/>
        <v>64</v>
      </c>
      <c r="R278" s="1" t="str">
        <f t="shared" si="50"/>
        <v>caught</v>
      </c>
      <c r="S278" s="1" t="str">
        <f t="shared" si="51"/>
        <v xml:space="preserve"> England</v>
      </c>
      <c r="T278" s="1" t="str">
        <f t="shared" si="52"/>
        <v>Lord's</v>
      </c>
      <c r="U278" s="1" t="str">
        <f t="shared" si="54"/>
        <v>Yes</v>
      </c>
      <c r="V278" s="1"/>
      <c r="W278" s="1"/>
      <c r="X278" s="1"/>
      <c r="Y278" s="1"/>
      <c r="Z278" s="1"/>
    </row>
    <row r="279" spans="1:26" ht="14.25" customHeight="1">
      <c r="A279" s="1"/>
      <c r="B279" s="1">
        <v>262</v>
      </c>
      <c r="C279" s="1" t="s">
        <v>306</v>
      </c>
      <c r="D279" s="1" t="s">
        <v>129</v>
      </c>
      <c r="E279" s="1" t="s">
        <v>148</v>
      </c>
      <c r="F279" s="1" t="s">
        <v>131</v>
      </c>
      <c r="G279" s="1" t="s">
        <v>333</v>
      </c>
      <c r="H279" s="1" t="s">
        <v>24</v>
      </c>
      <c r="I279" s="1" t="s">
        <v>234</v>
      </c>
      <c r="J279" s="1" t="s">
        <v>115</v>
      </c>
      <c r="K279" s="1"/>
      <c r="L279" s="1" t="str">
        <f t="shared" si="45"/>
        <v>No</v>
      </c>
      <c r="M279" s="1">
        <f t="shared" si="53"/>
        <v>9</v>
      </c>
      <c r="N279" s="1">
        <f t="shared" si="46"/>
        <v>22</v>
      </c>
      <c r="O279" s="1">
        <f t="shared" si="47"/>
        <v>3</v>
      </c>
      <c r="P279" s="1">
        <f t="shared" si="48"/>
        <v>0</v>
      </c>
      <c r="Q279" s="1">
        <f t="shared" si="49"/>
        <v>77.27</v>
      </c>
      <c r="R279" s="1" t="str">
        <f t="shared" si="50"/>
        <v>caught</v>
      </c>
      <c r="S279" s="1" t="str">
        <f t="shared" si="51"/>
        <v xml:space="preserve"> England</v>
      </c>
      <c r="T279" s="1" t="str">
        <f t="shared" si="52"/>
        <v>Manchester</v>
      </c>
      <c r="U279" s="1" t="str">
        <f t="shared" si="54"/>
        <v>Yes</v>
      </c>
      <c r="V279" s="1"/>
      <c r="W279" s="1"/>
      <c r="X279" s="1"/>
      <c r="Y279" s="1"/>
      <c r="Z279" s="1"/>
    </row>
    <row r="280" spans="1:26" ht="14.25" customHeight="1">
      <c r="A280" s="1"/>
      <c r="B280" s="1">
        <v>263</v>
      </c>
      <c r="C280" s="1" t="s">
        <v>161</v>
      </c>
      <c r="D280" s="1" t="s">
        <v>283</v>
      </c>
      <c r="E280" s="1" t="s">
        <v>130</v>
      </c>
      <c r="F280" s="1" t="s">
        <v>131</v>
      </c>
      <c r="G280" s="1" t="s">
        <v>239</v>
      </c>
      <c r="H280" s="1" t="s">
        <v>24</v>
      </c>
      <c r="I280" s="1" t="s">
        <v>182</v>
      </c>
      <c r="J280" s="1" t="s">
        <v>53</v>
      </c>
      <c r="K280" s="1"/>
      <c r="L280" s="1" t="str">
        <f t="shared" si="45"/>
        <v>No</v>
      </c>
      <c r="M280" s="1">
        <f t="shared" si="53"/>
        <v>5</v>
      </c>
      <c r="N280" s="1">
        <f t="shared" si="46"/>
        <v>15</v>
      </c>
      <c r="O280" s="1">
        <f t="shared" si="47"/>
        <v>1</v>
      </c>
      <c r="P280" s="1">
        <f t="shared" si="48"/>
        <v>0</v>
      </c>
      <c r="Q280" s="1">
        <f t="shared" si="49"/>
        <v>60</v>
      </c>
      <c r="R280" s="1" t="str">
        <f t="shared" si="50"/>
        <v>caught</v>
      </c>
      <c r="S280" s="1" t="str">
        <f t="shared" si="51"/>
        <v xml:space="preserve"> Bangladesh</v>
      </c>
      <c r="T280" s="1" t="str">
        <f t="shared" si="52"/>
        <v>Mirpur</v>
      </c>
      <c r="U280" s="1" t="str">
        <f t="shared" si="54"/>
        <v>Yes</v>
      </c>
      <c r="V280" s="1"/>
      <c r="W280" s="1"/>
      <c r="X280" s="1"/>
      <c r="Y280" s="1"/>
      <c r="Z280" s="1"/>
    </row>
    <row r="281" spans="1:26" ht="14.25" customHeight="1">
      <c r="A281" s="1"/>
      <c r="B281" s="1">
        <v>264</v>
      </c>
      <c r="C281" s="1" t="s">
        <v>202</v>
      </c>
      <c r="D281" s="1" t="s">
        <v>136</v>
      </c>
      <c r="E281" s="1" t="s">
        <v>130</v>
      </c>
      <c r="F281" s="1" t="s">
        <v>131</v>
      </c>
      <c r="G281" s="1" t="s">
        <v>496</v>
      </c>
      <c r="H281" s="1" t="s">
        <v>29</v>
      </c>
      <c r="I281" s="1" t="s">
        <v>182</v>
      </c>
      <c r="J281" s="1" t="s">
        <v>53</v>
      </c>
      <c r="K281" s="1"/>
      <c r="L281" s="1" t="str">
        <f t="shared" si="45"/>
        <v>No</v>
      </c>
      <c r="M281" s="1">
        <f t="shared" si="53"/>
        <v>113</v>
      </c>
      <c r="N281" s="1">
        <f t="shared" si="46"/>
        <v>6</v>
      </c>
      <c r="O281" s="1">
        <f t="shared" si="47"/>
        <v>1</v>
      </c>
      <c r="P281" s="1">
        <f t="shared" si="48"/>
        <v>0</v>
      </c>
      <c r="Q281" s="1">
        <f t="shared" si="49"/>
        <v>83.33</v>
      </c>
      <c r="R281" s="1" t="str">
        <f t="shared" si="50"/>
        <v>bowled</v>
      </c>
      <c r="S281" s="1" t="str">
        <f t="shared" si="51"/>
        <v xml:space="preserve"> Bangladesh</v>
      </c>
      <c r="T281" s="1" t="str">
        <f t="shared" si="52"/>
        <v>Mirpur</v>
      </c>
      <c r="U281" s="1" t="str">
        <f t="shared" si="54"/>
        <v>Yes</v>
      </c>
      <c r="V281" s="1"/>
      <c r="W281" s="1"/>
      <c r="X281" s="1"/>
      <c r="Y281" s="1"/>
      <c r="Z281" s="1"/>
    </row>
    <row r="282" spans="1:26" ht="14.25" customHeight="1">
      <c r="A282" s="1"/>
      <c r="B282" s="1">
        <v>265</v>
      </c>
      <c r="C282" s="1" t="s">
        <v>297</v>
      </c>
      <c r="D282" s="1" t="s">
        <v>179</v>
      </c>
      <c r="E282" s="1" t="s">
        <v>176</v>
      </c>
      <c r="F282" s="1" t="s">
        <v>151</v>
      </c>
      <c r="G282" s="1" t="s">
        <v>497</v>
      </c>
      <c r="H282" s="1" t="s">
        <v>24</v>
      </c>
      <c r="I282" s="1" t="s">
        <v>182</v>
      </c>
      <c r="J282" s="1" t="s">
        <v>118</v>
      </c>
      <c r="K282" s="1"/>
      <c r="L282" s="1" t="str">
        <f t="shared" si="45"/>
        <v>No</v>
      </c>
      <c r="M282" s="1">
        <f t="shared" si="53"/>
        <v>113</v>
      </c>
      <c r="N282" s="1">
        <f t="shared" si="46"/>
        <v>91</v>
      </c>
      <c r="O282" s="1">
        <f t="shared" si="47"/>
        <v>11</v>
      </c>
      <c r="P282" s="1">
        <f t="shared" si="48"/>
        <v>2</v>
      </c>
      <c r="Q282" s="1">
        <f t="shared" si="49"/>
        <v>124.17</v>
      </c>
      <c r="R282" s="1" t="str">
        <f t="shared" si="50"/>
        <v>caught</v>
      </c>
      <c r="S282" s="1" t="str">
        <f t="shared" si="51"/>
        <v xml:space="preserve"> Bangladesh</v>
      </c>
      <c r="T282" s="1" t="str">
        <f t="shared" si="52"/>
        <v>Chattogram</v>
      </c>
      <c r="U282" s="1" t="str">
        <f t="shared" si="54"/>
        <v>Yes</v>
      </c>
      <c r="V282" s="1"/>
      <c r="W282" s="1"/>
      <c r="X282" s="1"/>
      <c r="Y282" s="1"/>
      <c r="Z282" s="1"/>
    </row>
    <row r="283" spans="1:26" ht="14.25" customHeight="1">
      <c r="A283" s="1"/>
      <c r="B283" s="1">
        <v>266</v>
      </c>
      <c r="C283" s="1" t="s">
        <v>297</v>
      </c>
      <c r="D283" s="1" t="s">
        <v>421</v>
      </c>
      <c r="E283" s="1" t="s">
        <v>128</v>
      </c>
      <c r="F283" s="1" t="s">
        <v>130</v>
      </c>
      <c r="G283" s="1" t="s">
        <v>498</v>
      </c>
      <c r="H283" s="1" t="s">
        <v>24</v>
      </c>
      <c r="I283" s="1" t="s">
        <v>133</v>
      </c>
      <c r="J283" s="1" t="s">
        <v>66</v>
      </c>
      <c r="K283" s="1"/>
      <c r="L283" s="1" t="str">
        <f t="shared" si="45"/>
        <v>No</v>
      </c>
      <c r="M283" s="1">
        <f t="shared" si="53"/>
        <v>4</v>
      </c>
      <c r="N283" s="1">
        <f t="shared" si="46"/>
        <v>87</v>
      </c>
      <c r="O283" s="1">
        <f t="shared" si="47"/>
        <v>12</v>
      </c>
      <c r="P283" s="1">
        <f t="shared" si="48"/>
        <v>1</v>
      </c>
      <c r="Q283" s="1">
        <f t="shared" si="49"/>
        <v>129.88</v>
      </c>
      <c r="R283" s="1" t="str">
        <f t="shared" si="50"/>
        <v>caught</v>
      </c>
      <c r="S283" s="1" t="str">
        <f t="shared" si="51"/>
        <v xml:space="preserve"> Sri Lanka</v>
      </c>
      <c r="T283" s="1" t="str">
        <f t="shared" si="52"/>
        <v>Guwahati</v>
      </c>
      <c r="U283" s="1" t="str">
        <f t="shared" si="54"/>
        <v>Yes</v>
      </c>
      <c r="V283" s="1"/>
      <c r="W283" s="1"/>
      <c r="X283" s="1"/>
      <c r="Y283" s="1"/>
      <c r="Z283" s="1"/>
    </row>
    <row r="284" spans="1:26" ht="14.25" customHeight="1">
      <c r="A284" s="1"/>
      <c r="B284" s="1">
        <v>267</v>
      </c>
      <c r="C284" s="1" t="s">
        <v>140</v>
      </c>
      <c r="D284" s="1" t="s">
        <v>161</v>
      </c>
      <c r="E284" s="1" t="s">
        <v>130</v>
      </c>
      <c r="F284" s="1" t="s">
        <v>131</v>
      </c>
      <c r="G284" s="1" t="s">
        <v>259</v>
      </c>
      <c r="H284" s="1" t="s">
        <v>29</v>
      </c>
      <c r="I284" s="1" t="s">
        <v>133</v>
      </c>
      <c r="J284" s="1" t="s">
        <v>51</v>
      </c>
      <c r="K284" s="1"/>
      <c r="L284" s="1" t="str">
        <f t="shared" si="45"/>
        <v>No</v>
      </c>
      <c r="M284" s="1">
        <f t="shared" si="53"/>
        <v>166</v>
      </c>
      <c r="N284" s="1">
        <f t="shared" si="46"/>
        <v>9</v>
      </c>
      <c r="O284" s="1">
        <f t="shared" si="47"/>
        <v>1</v>
      </c>
      <c r="P284" s="1">
        <f t="shared" si="48"/>
        <v>0</v>
      </c>
      <c r="Q284" s="1">
        <f t="shared" si="49"/>
        <v>44.44</v>
      </c>
      <c r="R284" s="1" t="str">
        <f t="shared" si="50"/>
        <v>bowled</v>
      </c>
      <c r="S284" s="1" t="str">
        <f t="shared" si="51"/>
        <v xml:space="preserve"> Sri Lanka</v>
      </c>
      <c r="T284" s="1" t="str">
        <f t="shared" si="52"/>
        <v>Eden Gardens</v>
      </c>
      <c r="U284" s="1" t="str">
        <f t="shared" si="54"/>
        <v>Yes</v>
      </c>
      <c r="V284" s="1"/>
      <c r="W284" s="1"/>
      <c r="X284" s="1"/>
      <c r="Y284" s="1"/>
      <c r="Z284" s="1"/>
    </row>
    <row r="285" spans="1:26" ht="14.25" customHeight="1">
      <c r="A285" s="1"/>
      <c r="B285" s="1">
        <v>268</v>
      </c>
      <c r="C285" s="1" t="s">
        <v>499</v>
      </c>
      <c r="D285" s="1" t="s">
        <v>500</v>
      </c>
      <c r="E285" s="1" t="s">
        <v>325</v>
      </c>
      <c r="F285" s="1" t="s">
        <v>189</v>
      </c>
      <c r="G285" s="1" t="s">
        <v>501</v>
      </c>
      <c r="H285" s="1" t="s">
        <v>32</v>
      </c>
      <c r="I285" s="1" t="s">
        <v>133</v>
      </c>
      <c r="J285" s="1" t="s">
        <v>113</v>
      </c>
      <c r="K285" s="1"/>
      <c r="L285" s="1" t="str">
        <f t="shared" si="45"/>
        <v>No</v>
      </c>
      <c r="M285" s="1">
        <f t="shared" si="53"/>
        <v>8</v>
      </c>
      <c r="N285" s="1">
        <f t="shared" si="46"/>
        <v>110</v>
      </c>
      <c r="O285" s="1">
        <f t="shared" si="47"/>
        <v>13</v>
      </c>
      <c r="P285" s="1">
        <f t="shared" si="48"/>
        <v>8</v>
      </c>
      <c r="Q285" s="1">
        <f t="shared" si="49"/>
        <v>150.9</v>
      </c>
      <c r="R285" s="1" t="str">
        <f t="shared" si="50"/>
        <v>not out</v>
      </c>
      <c r="S285" s="1" t="str">
        <f t="shared" si="51"/>
        <v xml:space="preserve"> Sri Lanka</v>
      </c>
      <c r="T285" s="1" t="str">
        <f t="shared" si="52"/>
        <v>Thiruvananthapuram</v>
      </c>
      <c r="U285" s="1" t="str">
        <f t="shared" si="54"/>
        <v>No</v>
      </c>
      <c r="V285" s="1"/>
      <c r="W285" s="1"/>
      <c r="X285" s="1"/>
      <c r="Y285" s="1"/>
      <c r="Z285" s="1"/>
    </row>
    <row r="286" spans="1:26" ht="14.25" customHeight="1">
      <c r="A286" s="1"/>
      <c r="B286" s="1">
        <v>269</v>
      </c>
      <c r="C286" s="1" t="s">
        <v>189</v>
      </c>
      <c r="D286" s="1" t="s">
        <v>167</v>
      </c>
      <c r="E286" s="1" t="s">
        <v>130</v>
      </c>
      <c r="F286" s="1" t="s">
        <v>131</v>
      </c>
      <c r="G286" s="1" t="s">
        <v>361</v>
      </c>
      <c r="H286" s="1" t="s">
        <v>29</v>
      </c>
      <c r="I286" s="1" t="s">
        <v>211</v>
      </c>
      <c r="J286" s="1" t="s">
        <v>85</v>
      </c>
      <c r="K286" s="1"/>
      <c r="L286" s="1" t="str">
        <f t="shared" si="45"/>
        <v>No</v>
      </c>
      <c r="M286" s="1">
        <f t="shared" si="53"/>
        <v>11</v>
      </c>
      <c r="N286" s="1">
        <f t="shared" si="46"/>
        <v>10</v>
      </c>
      <c r="O286" s="1">
        <f t="shared" si="47"/>
        <v>1</v>
      </c>
      <c r="P286" s="1">
        <f t="shared" si="48"/>
        <v>0</v>
      </c>
      <c r="Q286" s="1">
        <f t="shared" si="49"/>
        <v>80</v>
      </c>
      <c r="R286" s="1" t="str">
        <f t="shared" si="50"/>
        <v>bowled</v>
      </c>
      <c r="S286" s="1" t="str">
        <f t="shared" si="51"/>
        <v xml:space="preserve"> New Zealand</v>
      </c>
      <c r="T286" s="1" t="str">
        <f t="shared" si="52"/>
        <v>Hyderabad</v>
      </c>
      <c r="U286" s="1" t="str">
        <f t="shared" si="54"/>
        <v>Yes</v>
      </c>
      <c r="V286" s="1"/>
      <c r="W286" s="1"/>
      <c r="X286" s="1"/>
      <c r="Y286" s="1"/>
      <c r="Z286" s="1"/>
    </row>
    <row r="287" spans="1:26" ht="14.25" customHeight="1">
      <c r="A287" s="1"/>
      <c r="B287" s="1">
        <v>270</v>
      </c>
      <c r="C287" s="1" t="s">
        <v>176</v>
      </c>
      <c r="D287" s="1" t="s">
        <v>161</v>
      </c>
      <c r="E287" s="1" t="s">
        <v>151</v>
      </c>
      <c r="F287" s="1" t="s">
        <v>131</v>
      </c>
      <c r="G287" s="1" t="s">
        <v>316</v>
      </c>
      <c r="H287" s="1" t="s">
        <v>63</v>
      </c>
      <c r="I287" s="1" t="s">
        <v>211</v>
      </c>
      <c r="J287" s="1" t="s">
        <v>119</v>
      </c>
      <c r="K287" s="1"/>
      <c r="L287" s="1" t="str">
        <f t="shared" si="45"/>
        <v>No</v>
      </c>
      <c r="M287" s="1">
        <f t="shared" si="53"/>
        <v>36</v>
      </c>
      <c r="N287" s="1">
        <f t="shared" si="46"/>
        <v>9</v>
      </c>
      <c r="O287" s="1">
        <f t="shared" si="47"/>
        <v>2</v>
      </c>
      <c r="P287" s="1">
        <f t="shared" si="48"/>
        <v>0</v>
      </c>
      <c r="Q287" s="1">
        <f t="shared" si="49"/>
        <v>122.22</v>
      </c>
      <c r="R287" s="1" t="str">
        <f t="shared" si="50"/>
        <v>stumped</v>
      </c>
      <c r="S287" s="1" t="str">
        <f t="shared" si="51"/>
        <v xml:space="preserve"> New Zealand</v>
      </c>
      <c r="T287" s="1" t="str">
        <f t="shared" si="52"/>
        <v>Raipur</v>
      </c>
      <c r="U287" s="1" t="str">
        <f t="shared" si="54"/>
        <v>Yes</v>
      </c>
      <c r="V287" s="1"/>
      <c r="W287" s="1"/>
      <c r="X287" s="1"/>
      <c r="Y287" s="1"/>
      <c r="Z287" s="1"/>
    </row>
    <row r="288" spans="1:26" ht="14.25" customHeight="1">
      <c r="A288" s="1"/>
      <c r="B288" s="1">
        <v>271</v>
      </c>
      <c r="C288" s="1" t="s">
        <v>258</v>
      </c>
      <c r="D288" s="1" t="s">
        <v>169</v>
      </c>
      <c r="E288" s="1" t="s">
        <v>148</v>
      </c>
      <c r="F288" s="1" t="s">
        <v>130</v>
      </c>
      <c r="G288" s="1" t="s">
        <v>502</v>
      </c>
      <c r="H288" s="1" t="s">
        <v>24</v>
      </c>
      <c r="I288" s="1" t="s">
        <v>211</v>
      </c>
      <c r="J288" s="1" t="s">
        <v>87</v>
      </c>
      <c r="K288" s="1"/>
      <c r="L288" s="1" t="str">
        <f t="shared" si="45"/>
        <v>No</v>
      </c>
      <c r="M288" s="1">
        <f t="shared" si="53"/>
        <v>4</v>
      </c>
      <c r="N288" s="1">
        <f t="shared" si="46"/>
        <v>27</v>
      </c>
      <c r="O288" s="1">
        <f t="shared" si="47"/>
        <v>3</v>
      </c>
      <c r="P288" s="1">
        <f t="shared" si="48"/>
        <v>1</v>
      </c>
      <c r="Q288" s="1">
        <f t="shared" si="49"/>
        <v>133.33000000000001</v>
      </c>
      <c r="R288" s="1" t="str">
        <f t="shared" si="50"/>
        <v>caught</v>
      </c>
      <c r="S288" s="1" t="str">
        <f t="shared" si="51"/>
        <v xml:space="preserve"> New Zealand</v>
      </c>
      <c r="T288" s="1" t="str">
        <f t="shared" si="52"/>
        <v>Indore</v>
      </c>
      <c r="U288" s="1" t="str">
        <f t="shared" si="54"/>
        <v>Yes</v>
      </c>
      <c r="V288" s="1"/>
      <c r="W288" s="1"/>
      <c r="X288" s="1"/>
      <c r="Y288" s="1"/>
      <c r="Z288" s="1"/>
    </row>
    <row r="289" spans="1:26" ht="14.25" customHeight="1">
      <c r="A289" s="1"/>
      <c r="B289" s="1">
        <v>272</v>
      </c>
      <c r="C289" s="1" t="s">
        <v>140</v>
      </c>
      <c r="D289" s="1" t="s">
        <v>161</v>
      </c>
      <c r="E289" s="1" t="s">
        <v>130</v>
      </c>
      <c r="F289" s="1" t="s">
        <v>131</v>
      </c>
      <c r="G289" s="1" t="s">
        <v>259</v>
      </c>
      <c r="H289" s="1" t="s">
        <v>19</v>
      </c>
      <c r="I289" s="1" t="s">
        <v>158</v>
      </c>
      <c r="J289" s="1" t="s">
        <v>75</v>
      </c>
      <c r="K289" s="1"/>
      <c r="L289" s="1" t="str">
        <f t="shared" si="45"/>
        <v>No</v>
      </c>
      <c r="M289" s="1">
        <f t="shared" si="53"/>
        <v>31</v>
      </c>
      <c r="N289" s="1">
        <f t="shared" si="46"/>
        <v>9</v>
      </c>
      <c r="O289" s="1">
        <f t="shared" si="47"/>
        <v>1</v>
      </c>
      <c r="P289" s="1">
        <f t="shared" si="48"/>
        <v>0</v>
      </c>
      <c r="Q289" s="1">
        <f t="shared" si="49"/>
        <v>44.44</v>
      </c>
      <c r="R289" s="1" t="str">
        <f t="shared" si="50"/>
        <v>lbw</v>
      </c>
      <c r="S289" s="1" t="str">
        <f t="shared" si="51"/>
        <v xml:space="preserve"> Australia</v>
      </c>
      <c r="T289" s="1" t="str">
        <f t="shared" si="52"/>
        <v>Wankhede</v>
      </c>
      <c r="U289" s="1" t="str">
        <f t="shared" si="54"/>
        <v>Yes</v>
      </c>
      <c r="V289" s="1"/>
      <c r="W289" s="1"/>
      <c r="X289" s="1"/>
      <c r="Y289" s="1"/>
      <c r="Z289" s="1"/>
    </row>
    <row r="290" spans="1:26" ht="14.25" customHeight="1">
      <c r="A290" s="1"/>
      <c r="B290" s="1">
        <v>273</v>
      </c>
      <c r="C290" s="1" t="s">
        <v>146</v>
      </c>
      <c r="D290" s="1" t="s">
        <v>248</v>
      </c>
      <c r="E290" s="1" t="s">
        <v>140</v>
      </c>
      <c r="F290" s="1" t="s">
        <v>131</v>
      </c>
      <c r="G290" s="1" t="s">
        <v>345</v>
      </c>
      <c r="H290" s="1" t="s">
        <v>19</v>
      </c>
      <c r="I290" s="1" t="s">
        <v>158</v>
      </c>
      <c r="J290" s="1" t="s">
        <v>65</v>
      </c>
      <c r="K290" s="1"/>
      <c r="L290" s="1" t="str">
        <f t="shared" si="45"/>
        <v>No</v>
      </c>
      <c r="M290" s="1">
        <f t="shared" si="53"/>
        <v>54</v>
      </c>
      <c r="N290" s="1">
        <f t="shared" si="46"/>
        <v>35</v>
      </c>
      <c r="O290" s="1">
        <f t="shared" si="47"/>
        <v>4</v>
      </c>
      <c r="P290" s="1">
        <f t="shared" si="48"/>
        <v>0</v>
      </c>
      <c r="Q290" s="1">
        <f t="shared" si="49"/>
        <v>88.57</v>
      </c>
      <c r="R290" s="1" t="str">
        <f t="shared" si="50"/>
        <v>lbw</v>
      </c>
      <c r="S290" s="1" t="str">
        <f t="shared" si="51"/>
        <v xml:space="preserve"> Australia</v>
      </c>
      <c r="T290" s="1" t="str">
        <f t="shared" si="52"/>
        <v>Visakhapatnam</v>
      </c>
      <c r="U290" s="1" t="str">
        <f t="shared" si="54"/>
        <v>Yes</v>
      </c>
      <c r="V290" s="1"/>
      <c r="W290" s="1"/>
      <c r="X290" s="1"/>
      <c r="Y290" s="1"/>
      <c r="Z290" s="1"/>
    </row>
    <row r="291" spans="1:26" ht="14.25" customHeight="1">
      <c r="A291" s="1"/>
      <c r="B291" s="1">
        <v>274</v>
      </c>
      <c r="C291" s="1" t="s">
        <v>142</v>
      </c>
      <c r="D291" s="1" t="s">
        <v>454</v>
      </c>
      <c r="E291" s="1" t="s">
        <v>151</v>
      </c>
      <c r="F291" s="1" t="s">
        <v>130</v>
      </c>
      <c r="G291" s="1" t="s">
        <v>178</v>
      </c>
      <c r="H291" s="1" t="s">
        <v>24</v>
      </c>
      <c r="I291" s="1" t="s">
        <v>158</v>
      </c>
      <c r="J291" s="1" t="s">
        <v>68</v>
      </c>
      <c r="K291" s="1"/>
      <c r="L291" s="1" t="str">
        <f t="shared" si="45"/>
        <v>No</v>
      </c>
      <c r="M291" s="1" t="str">
        <f t="shared" si="53"/>
        <v>NA</v>
      </c>
      <c r="N291" s="1">
        <f t="shared" si="46"/>
        <v>72</v>
      </c>
      <c r="O291" s="1">
        <f t="shared" si="47"/>
        <v>2</v>
      </c>
      <c r="P291" s="1">
        <f t="shared" si="48"/>
        <v>1</v>
      </c>
      <c r="Q291" s="1">
        <f t="shared" si="49"/>
        <v>75</v>
      </c>
      <c r="R291" s="1" t="str">
        <f t="shared" si="50"/>
        <v>caught</v>
      </c>
      <c r="S291" s="1" t="str">
        <f t="shared" si="51"/>
        <v xml:space="preserve"> Australia</v>
      </c>
      <c r="T291" s="1" t="str">
        <f t="shared" si="52"/>
        <v>Chennai</v>
      </c>
      <c r="U291" s="1" t="str">
        <f t="shared" si="54"/>
        <v>Yes</v>
      </c>
      <c r="V291" s="1"/>
      <c r="W291" s="1"/>
      <c r="X291" s="1"/>
      <c r="Y291" s="1"/>
      <c r="Z291" s="1"/>
    </row>
    <row r="292" spans="1:26" ht="14.25" customHeight="1">
      <c r="A292" s="1"/>
      <c r="B292" s="1">
        <v>275</v>
      </c>
      <c r="C292" s="1" t="s">
        <v>57</v>
      </c>
      <c r="D292" s="1" t="s">
        <v>157</v>
      </c>
      <c r="E292" s="1" t="s">
        <v>157</v>
      </c>
      <c r="F292" s="1" t="s">
        <v>157</v>
      </c>
      <c r="G292" s="1" t="s">
        <v>157</v>
      </c>
      <c r="H292" s="1" t="s">
        <v>157</v>
      </c>
      <c r="I292" s="1" t="s">
        <v>163</v>
      </c>
      <c r="J292" s="1" t="s">
        <v>120</v>
      </c>
      <c r="K292" s="1"/>
      <c r="L292" s="1" t="str">
        <f t="shared" si="45"/>
        <v>Yes</v>
      </c>
      <c r="M292" s="1">
        <f t="shared" si="53"/>
        <v>4</v>
      </c>
      <c r="N292" s="1" t="str">
        <f t="shared" si="46"/>
        <v>NA</v>
      </c>
      <c r="O292" s="1" t="str">
        <f t="shared" si="47"/>
        <v>NA</v>
      </c>
      <c r="P292" s="1" t="str">
        <f t="shared" si="48"/>
        <v>NA</v>
      </c>
      <c r="Q292" s="1" t="str">
        <f t="shared" si="49"/>
        <v>NA</v>
      </c>
      <c r="R292" s="1" t="str">
        <f t="shared" si="50"/>
        <v>NA</v>
      </c>
      <c r="S292" s="1" t="str">
        <f t="shared" si="51"/>
        <v xml:space="preserve"> West Indies</v>
      </c>
      <c r="T292" s="1" t="str">
        <f t="shared" si="52"/>
        <v>Bridgetown</v>
      </c>
      <c r="U292" s="1" t="str">
        <f t="shared" si="54"/>
        <v>No</v>
      </c>
      <c r="V292" s="1"/>
      <c r="W292" s="1"/>
      <c r="X292" s="1"/>
      <c r="Y292" s="1"/>
      <c r="Z292" s="1"/>
    </row>
    <row r="293" spans="1:26" ht="14.25" customHeight="1">
      <c r="A293" s="1"/>
      <c r="B293" s="1">
        <v>276</v>
      </c>
      <c r="C293" s="1" t="s">
        <v>140</v>
      </c>
      <c r="D293" s="1" t="s">
        <v>144</v>
      </c>
      <c r="E293" s="1" t="s">
        <v>130</v>
      </c>
      <c r="F293" s="1" t="s">
        <v>131</v>
      </c>
      <c r="G293" s="1" t="s">
        <v>503</v>
      </c>
      <c r="H293" s="1" t="s">
        <v>29</v>
      </c>
      <c r="I293" s="1" t="s">
        <v>156</v>
      </c>
      <c r="J293" s="1" t="s">
        <v>95</v>
      </c>
      <c r="K293" s="1"/>
      <c r="L293" s="1" t="str">
        <f t="shared" si="45"/>
        <v>No</v>
      </c>
      <c r="M293" s="1" t="str">
        <f t="shared" si="53"/>
        <v>NA</v>
      </c>
      <c r="N293" s="1">
        <f t="shared" si="46"/>
        <v>7</v>
      </c>
      <c r="O293" s="1">
        <f t="shared" si="47"/>
        <v>1</v>
      </c>
      <c r="P293" s="1">
        <f t="shared" si="48"/>
        <v>0</v>
      </c>
      <c r="Q293" s="1">
        <f t="shared" si="49"/>
        <v>57.14</v>
      </c>
      <c r="R293" s="1" t="str">
        <f t="shared" si="50"/>
        <v>bowled</v>
      </c>
      <c r="S293" s="1" t="str">
        <f t="shared" si="51"/>
        <v xml:space="preserve"> Pakistan</v>
      </c>
      <c r="T293" s="1" t="str">
        <f t="shared" si="52"/>
        <v>Pallekele</v>
      </c>
      <c r="U293" s="1" t="str">
        <f t="shared" si="54"/>
        <v>Yes</v>
      </c>
      <c r="V293" s="1"/>
      <c r="W293" s="1"/>
      <c r="X293" s="1"/>
      <c r="Y293" s="1"/>
      <c r="Z293" s="1"/>
    </row>
    <row r="294" spans="1:26" ht="14.25" customHeight="1">
      <c r="A294" s="1"/>
      <c r="B294" s="1">
        <v>277</v>
      </c>
      <c r="C294" s="1" t="s">
        <v>57</v>
      </c>
      <c r="D294" s="1" t="s">
        <v>157</v>
      </c>
      <c r="E294" s="1" t="s">
        <v>157</v>
      </c>
      <c r="F294" s="1" t="s">
        <v>157</v>
      </c>
      <c r="G294" s="1" t="s">
        <v>157</v>
      </c>
      <c r="H294" s="1" t="s">
        <v>157</v>
      </c>
      <c r="I294" s="1" t="s">
        <v>504</v>
      </c>
      <c r="J294" s="1" t="s">
        <v>95</v>
      </c>
      <c r="K294" s="1"/>
      <c r="L294" s="1" t="str">
        <f t="shared" si="45"/>
        <v>Yes</v>
      </c>
      <c r="M294" s="1">
        <f t="shared" si="53"/>
        <v>122</v>
      </c>
      <c r="N294" s="1" t="str">
        <f t="shared" si="46"/>
        <v>NA</v>
      </c>
      <c r="O294" s="1" t="str">
        <f t="shared" si="47"/>
        <v>NA</v>
      </c>
      <c r="P294" s="1" t="str">
        <f t="shared" si="48"/>
        <v>NA</v>
      </c>
      <c r="Q294" s="1" t="str">
        <f t="shared" si="49"/>
        <v>NA</v>
      </c>
      <c r="R294" s="1" t="str">
        <f t="shared" si="50"/>
        <v>NA</v>
      </c>
      <c r="S294" s="1" t="str">
        <f t="shared" si="51"/>
        <v xml:space="preserve"> Nepal</v>
      </c>
      <c r="T294" s="1" t="str">
        <f t="shared" si="52"/>
        <v>Pallekele</v>
      </c>
      <c r="U294" s="1" t="str">
        <f t="shared" si="54"/>
        <v>No</v>
      </c>
      <c r="V294" s="1"/>
      <c r="W294" s="1"/>
      <c r="X294" s="1"/>
      <c r="Y294" s="1"/>
      <c r="Z294" s="1"/>
    </row>
    <row r="295" spans="1:26" ht="14.25" customHeight="1">
      <c r="A295" s="1"/>
      <c r="B295" s="1">
        <v>278</v>
      </c>
      <c r="C295" s="1" t="s">
        <v>505</v>
      </c>
      <c r="D295" s="1" t="s">
        <v>253</v>
      </c>
      <c r="E295" s="1" t="s">
        <v>161</v>
      </c>
      <c r="F295" s="1" t="s">
        <v>148</v>
      </c>
      <c r="G295" s="1" t="s">
        <v>506</v>
      </c>
      <c r="H295" s="1" t="s">
        <v>32</v>
      </c>
      <c r="I295" s="1" t="s">
        <v>156</v>
      </c>
      <c r="J295" s="1" t="s">
        <v>27</v>
      </c>
      <c r="K295" s="1"/>
      <c r="L295" s="1" t="str">
        <f t="shared" si="45"/>
        <v>No</v>
      </c>
      <c r="M295" s="1">
        <f t="shared" si="53"/>
        <v>3</v>
      </c>
      <c r="N295" s="1">
        <f t="shared" si="46"/>
        <v>94</v>
      </c>
      <c r="O295" s="1">
        <f t="shared" si="47"/>
        <v>9</v>
      </c>
      <c r="P295" s="1">
        <f t="shared" si="48"/>
        <v>3</v>
      </c>
      <c r="Q295" s="1">
        <f t="shared" si="49"/>
        <v>129.78</v>
      </c>
      <c r="R295" s="1" t="str">
        <f t="shared" si="50"/>
        <v>not out</v>
      </c>
      <c r="S295" s="1" t="str">
        <f t="shared" si="51"/>
        <v xml:space="preserve"> Pakistan</v>
      </c>
      <c r="T295" s="1" t="str">
        <f t="shared" si="52"/>
        <v>Colombo (RPS)</v>
      </c>
      <c r="U295" s="1" t="str">
        <f t="shared" si="54"/>
        <v>No</v>
      </c>
      <c r="V295" s="1"/>
      <c r="W295" s="1"/>
      <c r="X295" s="1"/>
      <c r="Y295" s="1"/>
      <c r="Z295" s="1"/>
    </row>
    <row r="296" spans="1:26" ht="14.25" customHeight="1">
      <c r="A296" s="1"/>
      <c r="B296" s="1">
        <v>279</v>
      </c>
      <c r="C296" s="1" t="s">
        <v>148</v>
      </c>
      <c r="D296" s="1" t="s">
        <v>128</v>
      </c>
      <c r="E296" s="1" t="s">
        <v>131</v>
      </c>
      <c r="F296" s="1" t="s">
        <v>131</v>
      </c>
      <c r="G296" s="1" t="s">
        <v>190</v>
      </c>
      <c r="H296" s="1" t="s">
        <v>24</v>
      </c>
      <c r="I296" s="1" t="s">
        <v>133</v>
      </c>
      <c r="J296" s="1" t="s">
        <v>27</v>
      </c>
      <c r="K296" s="1"/>
      <c r="L296" s="1" t="str">
        <f t="shared" si="45"/>
        <v>No</v>
      </c>
      <c r="M296" s="1" t="str">
        <f t="shared" si="53"/>
        <v>NA</v>
      </c>
      <c r="N296" s="1">
        <f t="shared" si="46"/>
        <v>12</v>
      </c>
      <c r="O296" s="1">
        <f t="shared" si="47"/>
        <v>0</v>
      </c>
      <c r="P296" s="1">
        <f t="shared" si="48"/>
        <v>0</v>
      </c>
      <c r="Q296" s="1">
        <f t="shared" si="49"/>
        <v>25</v>
      </c>
      <c r="R296" s="1" t="str">
        <f t="shared" si="50"/>
        <v>caught</v>
      </c>
      <c r="S296" s="1" t="str">
        <f t="shared" si="51"/>
        <v xml:space="preserve"> Sri Lanka</v>
      </c>
      <c r="T296" s="1" t="str">
        <f t="shared" si="52"/>
        <v>Colombo (RPS)</v>
      </c>
      <c r="U296" s="1" t="str">
        <f t="shared" si="54"/>
        <v>Yes</v>
      </c>
      <c r="V296" s="1"/>
      <c r="W296" s="1"/>
      <c r="X296" s="1"/>
      <c r="Y296" s="1"/>
      <c r="Z296" s="1"/>
    </row>
    <row r="297" spans="1:26" ht="14.25" customHeight="1">
      <c r="A297" s="1"/>
      <c r="B297" s="1">
        <v>280</v>
      </c>
      <c r="C297" s="1" t="s">
        <v>57</v>
      </c>
      <c r="D297" s="1" t="s">
        <v>157</v>
      </c>
      <c r="E297" s="1" t="s">
        <v>157</v>
      </c>
      <c r="F297" s="1" t="s">
        <v>157</v>
      </c>
      <c r="G297" s="1" t="s">
        <v>157</v>
      </c>
      <c r="H297" s="1" t="s">
        <v>157</v>
      </c>
      <c r="I297" s="1" t="s">
        <v>133</v>
      </c>
      <c r="J297" s="1" t="s">
        <v>27</v>
      </c>
      <c r="K297" s="1"/>
      <c r="L297" s="1" t="str">
        <f t="shared" si="45"/>
        <v>Yes</v>
      </c>
      <c r="M297" s="1">
        <f t="shared" si="53"/>
        <v>56</v>
      </c>
      <c r="N297" s="1" t="str">
        <f t="shared" si="46"/>
        <v>NA</v>
      </c>
      <c r="O297" s="1" t="str">
        <f t="shared" si="47"/>
        <v>NA</v>
      </c>
      <c r="P297" s="1" t="str">
        <f t="shared" si="48"/>
        <v>NA</v>
      </c>
      <c r="Q297" s="1" t="str">
        <f t="shared" si="49"/>
        <v>NA</v>
      </c>
      <c r="R297" s="1" t="str">
        <f t="shared" si="50"/>
        <v>NA</v>
      </c>
      <c r="S297" s="1" t="str">
        <f t="shared" si="51"/>
        <v xml:space="preserve"> Sri Lanka</v>
      </c>
      <c r="T297" s="1" t="str">
        <f t="shared" si="52"/>
        <v>Colombo (RPS)</v>
      </c>
      <c r="U297" s="1" t="str">
        <f t="shared" si="54"/>
        <v>No</v>
      </c>
      <c r="V297" s="1"/>
      <c r="W297" s="1"/>
      <c r="X297" s="1"/>
      <c r="Y297" s="1"/>
      <c r="Z297" s="1"/>
    </row>
    <row r="298" spans="1:26" ht="14.25" customHeight="1">
      <c r="A298" s="1"/>
      <c r="B298" s="1">
        <v>281</v>
      </c>
      <c r="C298" s="1" t="s">
        <v>452</v>
      </c>
      <c r="D298" s="1" t="s">
        <v>334</v>
      </c>
      <c r="E298" s="1" t="s">
        <v>202</v>
      </c>
      <c r="F298" s="1" t="s">
        <v>130</v>
      </c>
      <c r="G298" s="1" t="s">
        <v>507</v>
      </c>
      <c r="H298" s="1" t="s">
        <v>24</v>
      </c>
      <c r="I298" s="1" t="s">
        <v>158</v>
      </c>
      <c r="J298" s="1" t="s">
        <v>48</v>
      </c>
      <c r="K298" s="1"/>
      <c r="L298" s="1" t="str">
        <f t="shared" si="45"/>
        <v>No</v>
      </c>
      <c r="M298" s="1">
        <f t="shared" si="53"/>
        <v>85</v>
      </c>
      <c r="N298" s="1">
        <f t="shared" si="46"/>
        <v>61</v>
      </c>
      <c r="O298" s="1">
        <f t="shared" si="47"/>
        <v>5</v>
      </c>
      <c r="P298" s="1">
        <f t="shared" si="48"/>
        <v>1</v>
      </c>
      <c r="Q298" s="1">
        <f t="shared" si="49"/>
        <v>91.8</v>
      </c>
      <c r="R298" s="1" t="str">
        <f t="shared" si="50"/>
        <v>caught</v>
      </c>
      <c r="S298" s="1" t="str">
        <f t="shared" si="51"/>
        <v xml:space="preserve"> Australia</v>
      </c>
      <c r="T298" s="1" t="str">
        <f t="shared" si="52"/>
        <v>Rajkot</v>
      </c>
      <c r="U298" s="1" t="str">
        <f t="shared" si="54"/>
        <v>Yes</v>
      </c>
      <c r="V298" s="1"/>
      <c r="W298" s="1"/>
      <c r="X298" s="1"/>
      <c r="Y298" s="1"/>
      <c r="Z298" s="1"/>
    </row>
    <row r="299" spans="1:26" ht="14.25" customHeight="1">
      <c r="A299" s="1"/>
      <c r="B299" s="1">
        <v>282</v>
      </c>
      <c r="C299" s="1" t="s">
        <v>277</v>
      </c>
      <c r="D299" s="1" t="s">
        <v>433</v>
      </c>
      <c r="E299" s="1" t="s">
        <v>136</v>
      </c>
      <c r="F299" s="1" t="s">
        <v>131</v>
      </c>
      <c r="G299" s="1" t="s">
        <v>508</v>
      </c>
      <c r="H299" s="1" t="s">
        <v>24</v>
      </c>
      <c r="I299" s="1" t="s">
        <v>158</v>
      </c>
      <c r="J299" s="1" t="s">
        <v>68</v>
      </c>
      <c r="K299" s="1"/>
      <c r="L299" s="1" t="str">
        <f t="shared" si="45"/>
        <v>No</v>
      </c>
      <c r="M299" s="1">
        <f t="shared" si="53"/>
        <v>55</v>
      </c>
      <c r="N299" s="1">
        <f t="shared" si="46"/>
        <v>116</v>
      </c>
      <c r="O299" s="1">
        <f t="shared" si="47"/>
        <v>6</v>
      </c>
      <c r="P299" s="1">
        <f t="shared" si="48"/>
        <v>0</v>
      </c>
      <c r="Q299" s="1">
        <f t="shared" si="49"/>
        <v>73.27</v>
      </c>
      <c r="R299" s="1" t="str">
        <f t="shared" si="50"/>
        <v>caught</v>
      </c>
      <c r="S299" s="1" t="str">
        <f t="shared" si="51"/>
        <v xml:space="preserve"> Australia</v>
      </c>
      <c r="T299" s="1" t="str">
        <f t="shared" si="52"/>
        <v>Chennai</v>
      </c>
      <c r="U299" s="1" t="str">
        <f t="shared" si="54"/>
        <v>Yes</v>
      </c>
      <c r="V299" s="1"/>
      <c r="W299" s="1"/>
      <c r="X299" s="1"/>
      <c r="Y299" s="1"/>
      <c r="Z299" s="1"/>
    </row>
    <row r="300" spans="1:26" ht="14.25" customHeight="1">
      <c r="A300" s="1"/>
      <c r="B300" s="1">
        <v>283</v>
      </c>
      <c r="C300" s="1" t="s">
        <v>509</v>
      </c>
      <c r="D300" s="1" t="s">
        <v>452</v>
      </c>
      <c r="E300" s="1" t="s">
        <v>136</v>
      </c>
      <c r="F300" s="1" t="s">
        <v>131</v>
      </c>
      <c r="G300" s="1" t="s">
        <v>510</v>
      </c>
      <c r="H300" s="1" t="s">
        <v>32</v>
      </c>
      <c r="I300" s="1" t="s">
        <v>358</v>
      </c>
      <c r="J300" s="1" t="s">
        <v>52</v>
      </c>
      <c r="K300" s="1"/>
      <c r="L300" s="1" t="str">
        <f t="shared" si="45"/>
        <v>No</v>
      </c>
      <c r="M300" s="1">
        <f t="shared" si="53"/>
        <v>16</v>
      </c>
      <c r="N300" s="1">
        <f t="shared" si="46"/>
        <v>56</v>
      </c>
      <c r="O300" s="1">
        <f t="shared" si="47"/>
        <v>6</v>
      </c>
      <c r="P300" s="1">
        <f t="shared" si="48"/>
        <v>0</v>
      </c>
      <c r="Q300" s="1">
        <f t="shared" si="49"/>
        <v>98.21</v>
      </c>
      <c r="R300" s="1" t="str">
        <f t="shared" si="50"/>
        <v>not out</v>
      </c>
      <c r="S300" s="1" t="str">
        <f t="shared" si="51"/>
        <v xml:space="preserve"> Afghanistan</v>
      </c>
      <c r="T300" s="1" t="str">
        <f t="shared" si="52"/>
        <v>Delhi</v>
      </c>
      <c r="U300" s="1" t="str">
        <f t="shared" si="54"/>
        <v>No</v>
      </c>
      <c r="V300" s="1"/>
      <c r="W300" s="1"/>
      <c r="X300" s="1"/>
      <c r="Y300" s="1"/>
      <c r="Z300" s="1"/>
    </row>
    <row r="301" spans="1:26" ht="14.25" customHeight="1">
      <c r="A301" s="1"/>
      <c r="B301" s="1">
        <v>284</v>
      </c>
      <c r="C301" s="1" t="s">
        <v>153</v>
      </c>
      <c r="D301" s="1" t="s">
        <v>199</v>
      </c>
      <c r="E301" s="1" t="s">
        <v>148</v>
      </c>
      <c r="F301" s="1" t="s">
        <v>131</v>
      </c>
      <c r="G301" s="1" t="s">
        <v>511</v>
      </c>
      <c r="H301" s="1" t="s">
        <v>24</v>
      </c>
      <c r="I301" s="1" t="s">
        <v>156</v>
      </c>
      <c r="J301" s="1" t="s">
        <v>59</v>
      </c>
      <c r="K301" s="1"/>
      <c r="L301" s="1" t="str">
        <f t="shared" si="45"/>
        <v>No</v>
      </c>
      <c r="M301" s="1">
        <f t="shared" si="53"/>
        <v>103</v>
      </c>
      <c r="N301" s="1">
        <f t="shared" si="46"/>
        <v>18</v>
      </c>
      <c r="O301" s="1">
        <f t="shared" si="47"/>
        <v>3</v>
      </c>
      <c r="P301" s="1">
        <f t="shared" si="48"/>
        <v>0</v>
      </c>
      <c r="Q301" s="1">
        <f t="shared" si="49"/>
        <v>88.88</v>
      </c>
      <c r="R301" s="1" t="str">
        <f t="shared" si="50"/>
        <v>caught</v>
      </c>
      <c r="S301" s="1" t="str">
        <f t="shared" si="51"/>
        <v xml:space="preserve"> Pakistan</v>
      </c>
      <c r="T301" s="1" t="str">
        <f t="shared" si="52"/>
        <v>Ahmedabad</v>
      </c>
      <c r="U301" s="1" t="str">
        <f t="shared" si="54"/>
        <v>Yes</v>
      </c>
      <c r="V301" s="1"/>
      <c r="W301" s="1"/>
      <c r="X301" s="1"/>
      <c r="Y301" s="1"/>
      <c r="Z301" s="1"/>
    </row>
    <row r="302" spans="1:26" ht="14.25" customHeight="1">
      <c r="A302" s="1"/>
      <c r="B302" s="1">
        <v>285</v>
      </c>
      <c r="C302" s="1" t="s">
        <v>512</v>
      </c>
      <c r="D302" s="1" t="s">
        <v>395</v>
      </c>
      <c r="E302" s="1" t="s">
        <v>136</v>
      </c>
      <c r="F302" s="1" t="s">
        <v>140</v>
      </c>
      <c r="G302" s="1" t="s">
        <v>513</v>
      </c>
      <c r="H302" s="1" t="s">
        <v>32</v>
      </c>
      <c r="I302" s="1" t="s">
        <v>182</v>
      </c>
      <c r="J302" s="1" t="s">
        <v>100</v>
      </c>
      <c r="K302" s="1"/>
      <c r="L302" s="1" t="str">
        <f t="shared" si="45"/>
        <v>No</v>
      </c>
      <c r="M302" s="1">
        <f t="shared" si="53"/>
        <v>95</v>
      </c>
      <c r="N302" s="1">
        <f t="shared" si="46"/>
        <v>97</v>
      </c>
      <c r="O302" s="1">
        <f t="shared" si="47"/>
        <v>6</v>
      </c>
      <c r="P302" s="1">
        <f t="shared" si="48"/>
        <v>4</v>
      </c>
      <c r="Q302" s="1">
        <f t="shared" si="49"/>
        <v>106.18</v>
      </c>
      <c r="R302" s="1" t="str">
        <f t="shared" si="50"/>
        <v>not out</v>
      </c>
      <c r="S302" s="1" t="str">
        <f t="shared" si="51"/>
        <v xml:space="preserve"> Bangladesh</v>
      </c>
      <c r="T302" s="1" t="str">
        <f t="shared" si="52"/>
        <v>Pune</v>
      </c>
      <c r="U302" s="1" t="str">
        <f t="shared" si="54"/>
        <v>No</v>
      </c>
      <c r="V302" s="1"/>
      <c r="W302" s="1"/>
      <c r="X302" s="1"/>
      <c r="Y302" s="1"/>
      <c r="Z302" s="1"/>
    </row>
    <row r="303" spans="1:26" ht="14.25" customHeight="1">
      <c r="A303" s="1"/>
      <c r="B303" s="1">
        <v>286</v>
      </c>
      <c r="C303" s="1" t="s">
        <v>187</v>
      </c>
      <c r="D303" s="1" t="s">
        <v>160</v>
      </c>
      <c r="E303" s="1" t="s">
        <v>189</v>
      </c>
      <c r="F303" s="1" t="s">
        <v>151</v>
      </c>
      <c r="G303" s="1" t="s">
        <v>514</v>
      </c>
      <c r="H303" s="1" t="s">
        <v>24</v>
      </c>
      <c r="I303" s="1" t="s">
        <v>211</v>
      </c>
      <c r="J303" s="1" t="s">
        <v>98</v>
      </c>
      <c r="K303" s="1"/>
      <c r="L303" s="1" t="str">
        <f t="shared" si="45"/>
        <v>No</v>
      </c>
      <c r="M303" s="1">
        <f t="shared" si="53"/>
        <v>0</v>
      </c>
      <c r="N303" s="1">
        <f t="shared" si="46"/>
        <v>104</v>
      </c>
      <c r="O303" s="1">
        <f t="shared" si="47"/>
        <v>8</v>
      </c>
      <c r="P303" s="1">
        <f t="shared" si="48"/>
        <v>2</v>
      </c>
      <c r="Q303" s="1">
        <f t="shared" si="49"/>
        <v>91.34</v>
      </c>
      <c r="R303" s="1" t="str">
        <f t="shared" si="50"/>
        <v>caught</v>
      </c>
      <c r="S303" s="1" t="str">
        <f t="shared" si="51"/>
        <v xml:space="preserve"> New Zealand</v>
      </c>
      <c r="T303" s="1" t="str">
        <f t="shared" si="52"/>
        <v>Dharamsala</v>
      </c>
      <c r="U303" s="1" t="str">
        <f t="shared" si="54"/>
        <v>Yes</v>
      </c>
      <c r="V303" s="1"/>
      <c r="W303" s="1"/>
      <c r="X303" s="1"/>
      <c r="Y303" s="1"/>
      <c r="Z303" s="1"/>
    </row>
    <row r="304" spans="1:26" ht="14.25" customHeight="1">
      <c r="A304" s="1"/>
      <c r="B304" s="1">
        <v>287</v>
      </c>
      <c r="C304" s="1" t="s">
        <v>131</v>
      </c>
      <c r="D304" s="1" t="s">
        <v>161</v>
      </c>
      <c r="E304" s="1" t="s">
        <v>131</v>
      </c>
      <c r="F304" s="1" t="s">
        <v>131</v>
      </c>
      <c r="G304" s="1" t="s">
        <v>210</v>
      </c>
      <c r="H304" s="1" t="s">
        <v>24</v>
      </c>
      <c r="I304" s="1" t="s">
        <v>234</v>
      </c>
      <c r="J304" s="1" t="s">
        <v>122</v>
      </c>
      <c r="K304" s="1"/>
      <c r="L304" s="1" t="str">
        <f t="shared" si="45"/>
        <v>No</v>
      </c>
      <c r="M304" s="1">
        <f t="shared" si="53"/>
        <v>88</v>
      </c>
      <c r="N304" s="1">
        <f t="shared" si="46"/>
        <v>9</v>
      </c>
      <c r="O304" s="1">
        <f t="shared" si="47"/>
        <v>0</v>
      </c>
      <c r="P304" s="1">
        <f t="shared" si="48"/>
        <v>0</v>
      </c>
      <c r="Q304" s="1">
        <f t="shared" si="49"/>
        <v>0</v>
      </c>
      <c r="R304" s="1" t="str">
        <f t="shared" si="50"/>
        <v>caught</v>
      </c>
      <c r="S304" s="1" t="str">
        <f t="shared" si="51"/>
        <v xml:space="preserve"> England</v>
      </c>
      <c r="T304" s="1" t="str">
        <f t="shared" si="52"/>
        <v>Lucknow</v>
      </c>
      <c r="U304" s="1" t="str">
        <f t="shared" si="54"/>
        <v>Yes</v>
      </c>
      <c r="V304" s="1"/>
      <c r="W304" s="1"/>
      <c r="X304" s="1"/>
      <c r="Y304" s="1"/>
      <c r="Z304" s="1"/>
    </row>
    <row r="305" spans="1:26" ht="14.25" customHeight="1">
      <c r="A305" s="1"/>
      <c r="B305" s="1">
        <v>288</v>
      </c>
      <c r="C305" s="1" t="s">
        <v>332</v>
      </c>
      <c r="D305" s="1" t="s">
        <v>253</v>
      </c>
      <c r="E305" s="1" t="s">
        <v>176</v>
      </c>
      <c r="F305" s="1" t="s">
        <v>131</v>
      </c>
      <c r="G305" s="1" t="s">
        <v>515</v>
      </c>
      <c r="H305" s="1" t="s">
        <v>24</v>
      </c>
      <c r="I305" s="1" t="s">
        <v>133</v>
      </c>
      <c r="J305" s="1" t="s">
        <v>75</v>
      </c>
      <c r="K305" s="1"/>
      <c r="L305" s="1" t="str">
        <f t="shared" si="45"/>
        <v>No</v>
      </c>
      <c r="M305" s="1">
        <f t="shared" si="53"/>
        <v>101</v>
      </c>
      <c r="N305" s="1">
        <f t="shared" si="46"/>
        <v>94</v>
      </c>
      <c r="O305" s="1">
        <f t="shared" si="47"/>
        <v>11</v>
      </c>
      <c r="P305" s="1">
        <f t="shared" si="48"/>
        <v>0</v>
      </c>
      <c r="Q305" s="1">
        <f t="shared" si="49"/>
        <v>93.61</v>
      </c>
      <c r="R305" s="1" t="str">
        <f t="shared" si="50"/>
        <v>caught</v>
      </c>
      <c r="S305" s="1" t="str">
        <f t="shared" si="51"/>
        <v xml:space="preserve"> Sri Lanka</v>
      </c>
      <c r="T305" s="1" t="str">
        <f t="shared" si="52"/>
        <v>Wankhede</v>
      </c>
      <c r="U305" s="1" t="str">
        <f t="shared" si="54"/>
        <v>Yes</v>
      </c>
      <c r="V305" s="1"/>
      <c r="W305" s="1"/>
      <c r="X305" s="1"/>
      <c r="Y305" s="1"/>
      <c r="Z305" s="1"/>
    </row>
    <row r="306" spans="1:26" ht="14.25" customHeight="1">
      <c r="A306" s="1"/>
      <c r="B306" s="1">
        <v>289</v>
      </c>
      <c r="C306" s="1" t="s">
        <v>516</v>
      </c>
      <c r="D306" s="1" t="s">
        <v>214</v>
      </c>
      <c r="E306" s="1" t="s">
        <v>167</v>
      </c>
      <c r="F306" s="1" t="s">
        <v>131</v>
      </c>
      <c r="G306" s="1" t="s">
        <v>517</v>
      </c>
      <c r="H306" s="1" t="s">
        <v>32</v>
      </c>
      <c r="I306" s="1" t="s">
        <v>191</v>
      </c>
      <c r="J306" s="1" t="s">
        <v>51</v>
      </c>
      <c r="K306" s="1"/>
      <c r="L306" s="1" t="str">
        <f t="shared" si="45"/>
        <v>No</v>
      </c>
      <c r="M306" s="1">
        <f t="shared" si="53"/>
        <v>51</v>
      </c>
      <c r="N306" s="1">
        <f t="shared" si="46"/>
        <v>121</v>
      </c>
      <c r="O306" s="1">
        <f t="shared" si="47"/>
        <v>10</v>
      </c>
      <c r="P306" s="1">
        <f t="shared" si="48"/>
        <v>0</v>
      </c>
      <c r="Q306" s="1">
        <f t="shared" si="49"/>
        <v>83.47</v>
      </c>
      <c r="R306" s="1" t="str">
        <f t="shared" si="50"/>
        <v>not out</v>
      </c>
      <c r="S306" s="1" t="str">
        <f t="shared" si="51"/>
        <v xml:space="preserve"> South Africa</v>
      </c>
      <c r="T306" s="1" t="str">
        <f t="shared" si="52"/>
        <v>Eden Gardens</v>
      </c>
      <c r="U306" s="1" t="str">
        <f t="shared" si="54"/>
        <v>No</v>
      </c>
      <c r="V306" s="1"/>
      <c r="W306" s="1"/>
      <c r="X306" s="1"/>
      <c r="Y306" s="1"/>
      <c r="Z306" s="1"/>
    </row>
    <row r="307" spans="1:26" ht="14.25" customHeight="1">
      <c r="A307" s="1"/>
      <c r="B307" s="1">
        <v>290</v>
      </c>
      <c r="C307" s="1" t="s">
        <v>356</v>
      </c>
      <c r="D307" s="1" t="s">
        <v>452</v>
      </c>
      <c r="E307" s="1" t="s">
        <v>202</v>
      </c>
      <c r="F307" s="1" t="s">
        <v>130</v>
      </c>
      <c r="G307" s="1" t="s">
        <v>518</v>
      </c>
      <c r="H307" s="1" t="s">
        <v>29</v>
      </c>
      <c r="I307" s="1" t="s">
        <v>240</v>
      </c>
      <c r="J307" s="1" t="s">
        <v>67</v>
      </c>
      <c r="K307" s="1"/>
      <c r="L307" s="1" t="str">
        <f t="shared" si="45"/>
        <v>No</v>
      </c>
      <c r="M307" s="1">
        <f t="shared" si="53"/>
        <v>117</v>
      </c>
      <c r="N307" s="1">
        <f t="shared" si="46"/>
        <v>56</v>
      </c>
      <c r="O307" s="1">
        <f t="shared" si="47"/>
        <v>5</v>
      </c>
      <c r="P307" s="1">
        <f t="shared" si="48"/>
        <v>1</v>
      </c>
      <c r="Q307" s="1">
        <f t="shared" si="49"/>
        <v>91.07</v>
      </c>
      <c r="R307" s="1" t="str">
        <f t="shared" si="50"/>
        <v>bowled</v>
      </c>
      <c r="S307" s="1" t="str">
        <f t="shared" si="51"/>
        <v xml:space="preserve"> Netherlands</v>
      </c>
      <c r="T307" s="1" t="str">
        <f t="shared" si="52"/>
        <v>Bengaluru</v>
      </c>
      <c r="U307" s="1" t="str">
        <f t="shared" si="54"/>
        <v>Yes</v>
      </c>
      <c r="V307" s="1"/>
      <c r="W307" s="1"/>
      <c r="X307" s="1"/>
      <c r="Y307" s="1"/>
      <c r="Z307" s="1"/>
    </row>
    <row r="308" spans="1:26" ht="14.25" customHeight="1">
      <c r="A308" s="1"/>
      <c r="B308" s="1">
        <v>291</v>
      </c>
      <c r="C308" s="1" t="s">
        <v>271</v>
      </c>
      <c r="D308" s="1" t="s">
        <v>297</v>
      </c>
      <c r="E308" s="1" t="s">
        <v>161</v>
      </c>
      <c r="F308" s="1" t="s">
        <v>151</v>
      </c>
      <c r="G308" s="1" t="s">
        <v>519</v>
      </c>
      <c r="H308" s="1" t="s">
        <v>24</v>
      </c>
      <c r="I308" s="1" t="s">
        <v>211</v>
      </c>
      <c r="J308" s="1" t="s">
        <v>75</v>
      </c>
      <c r="K308" s="1"/>
      <c r="L308" s="1" t="str">
        <f t="shared" si="45"/>
        <v>No</v>
      </c>
      <c r="M308" s="1">
        <f t="shared" si="53"/>
        <v>54</v>
      </c>
      <c r="N308" s="1">
        <f t="shared" si="46"/>
        <v>113</v>
      </c>
      <c r="O308" s="1">
        <f t="shared" si="47"/>
        <v>9</v>
      </c>
      <c r="P308" s="1">
        <f t="shared" si="48"/>
        <v>2</v>
      </c>
      <c r="Q308" s="1">
        <f t="shared" si="49"/>
        <v>103.53</v>
      </c>
      <c r="R308" s="1" t="str">
        <f t="shared" si="50"/>
        <v>caught</v>
      </c>
      <c r="S308" s="1" t="str">
        <f t="shared" si="51"/>
        <v xml:space="preserve"> New Zealand</v>
      </c>
      <c r="T308" s="1" t="str">
        <f t="shared" si="52"/>
        <v>Wankhede</v>
      </c>
      <c r="U308" s="1" t="str">
        <f t="shared" si="54"/>
        <v>Yes</v>
      </c>
      <c r="V308" s="1"/>
      <c r="W308" s="1"/>
      <c r="X308" s="1"/>
      <c r="Y308" s="1"/>
      <c r="Z308" s="1"/>
    </row>
    <row r="309" spans="1:26" ht="14.25" customHeight="1">
      <c r="A309" s="1"/>
      <c r="B309" s="1">
        <v>292</v>
      </c>
      <c r="C309" s="1" t="s">
        <v>142</v>
      </c>
      <c r="D309" s="1" t="s">
        <v>262</v>
      </c>
      <c r="E309" s="1" t="s">
        <v>140</v>
      </c>
      <c r="F309" s="1" t="s">
        <v>131</v>
      </c>
      <c r="G309" s="1" t="s">
        <v>520</v>
      </c>
      <c r="H309" s="1" t="s">
        <v>29</v>
      </c>
      <c r="I309" s="1" t="s">
        <v>158</v>
      </c>
      <c r="J309" s="1" t="s">
        <v>59</v>
      </c>
      <c r="K309" s="1"/>
      <c r="L309" s="1" t="str">
        <f t="shared" si="45"/>
        <v>No</v>
      </c>
      <c r="M309" s="1">
        <f t="shared" si="53"/>
        <v>24</v>
      </c>
      <c r="N309" s="1">
        <f t="shared" si="46"/>
        <v>63</v>
      </c>
      <c r="O309" s="1">
        <f t="shared" si="47"/>
        <v>4</v>
      </c>
      <c r="P309" s="1">
        <f t="shared" si="48"/>
        <v>0</v>
      </c>
      <c r="Q309" s="1">
        <f t="shared" si="49"/>
        <v>85.71</v>
      </c>
      <c r="R309" s="1" t="str">
        <f t="shared" si="50"/>
        <v>bowled</v>
      </c>
      <c r="S309" s="1" t="str">
        <f t="shared" si="51"/>
        <v xml:space="preserve"> Australia</v>
      </c>
      <c r="T309" s="1" t="str">
        <f t="shared" si="52"/>
        <v>Ahmedabad</v>
      </c>
      <c r="U309" s="1" t="str">
        <f t="shared" si="54"/>
        <v>Yes</v>
      </c>
      <c r="V309" s="1"/>
      <c r="W309" s="1"/>
      <c r="X309" s="1"/>
      <c r="Y309" s="1"/>
      <c r="Z309" s="1"/>
    </row>
    <row r="310" spans="1:26" ht="14.25" customHeight="1">
      <c r="A310" s="1"/>
      <c r="B310" s="1">
        <v>293</v>
      </c>
      <c r="C310" s="1" t="s">
        <v>154</v>
      </c>
      <c r="D310" s="1" t="s">
        <v>521</v>
      </c>
      <c r="E310" s="1" t="s">
        <v>151</v>
      </c>
      <c r="F310" s="1" t="s">
        <v>131</v>
      </c>
      <c r="G310" s="1" t="s">
        <v>178</v>
      </c>
      <c r="H310" s="1" t="s">
        <v>19</v>
      </c>
      <c r="I310" s="1" t="s">
        <v>133</v>
      </c>
      <c r="J310" s="1" t="s">
        <v>27</v>
      </c>
      <c r="K310" s="1"/>
      <c r="L310" s="1" t="str">
        <f t="shared" si="45"/>
        <v>No</v>
      </c>
      <c r="M310" s="1">
        <f t="shared" si="53"/>
        <v>14</v>
      </c>
      <c r="N310" s="1">
        <f t="shared" si="46"/>
        <v>32</v>
      </c>
      <c r="O310" s="1">
        <f t="shared" si="47"/>
        <v>2</v>
      </c>
      <c r="P310" s="1">
        <f t="shared" si="48"/>
        <v>0</v>
      </c>
      <c r="Q310" s="1">
        <f t="shared" si="49"/>
        <v>75</v>
      </c>
      <c r="R310" s="1" t="str">
        <f t="shared" si="50"/>
        <v>lbw</v>
      </c>
      <c r="S310" s="1" t="str">
        <f t="shared" si="51"/>
        <v xml:space="preserve"> Sri Lanka</v>
      </c>
      <c r="T310" s="1" t="str">
        <f t="shared" si="52"/>
        <v>Colombo (RPS)</v>
      </c>
      <c r="U310" s="1" t="str">
        <f t="shared" si="54"/>
        <v>Yes</v>
      </c>
      <c r="V310" s="1"/>
      <c r="W310" s="1"/>
      <c r="X310" s="1"/>
      <c r="Y310" s="1"/>
      <c r="Z310" s="1"/>
    </row>
    <row r="311" spans="1:26" ht="14.25" customHeight="1">
      <c r="A311" s="1"/>
      <c r="B311" s="1">
        <v>294</v>
      </c>
      <c r="C311" s="1" t="s">
        <v>205</v>
      </c>
      <c r="D311" s="1" t="s">
        <v>170</v>
      </c>
      <c r="E311" s="1" t="s">
        <v>151</v>
      </c>
      <c r="F311" s="1" t="s">
        <v>131</v>
      </c>
      <c r="G311" s="1" t="s">
        <v>522</v>
      </c>
      <c r="H311" s="1" t="s">
        <v>19</v>
      </c>
      <c r="I311" s="1" t="s">
        <v>133</v>
      </c>
      <c r="J311" s="1" t="s">
        <v>27</v>
      </c>
      <c r="K311" s="1"/>
      <c r="L311" s="1" t="str">
        <f t="shared" si="45"/>
        <v>No</v>
      </c>
      <c r="M311" s="1">
        <f t="shared" si="53"/>
        <v>20</v>
      </c>
      <c r="N311" s="1">
        <f t="shared" si="46"/>
        <v>19</v>
      </c>
      <c r="O311" s="1">
        <f t="shared" si="47"/>
        <v>2</v>
      </c>
      <c r="P311" s="1">
        <f t="shared" si="48"/>
        <v>0</v>
      </c>
      <c r="Q311" s="1">
        <f t="shared" si="49"/>
        <v>73.680000000000007</v>
      </c>
      <c r="R311" s="1" t="str">
        <f t="shared" si="50"/>
        <v>lbw</v>
      </c>
      <c r="S311" s="1" t="str">
        <f t="shared" si="51"/>
        <v xml:space="preserve"> Sri Lanka</v>
      </c>
      <c r="T311" s="1" t="str">
        <f t="shared" si="52"/>
        <v>Colombo (RPS)</v>
      </c>
      <c r="U311" s="1" t="str">
        <f t="shared" si="54"/>
        <v>Yes</v>
      </c>
      <c r="V311" s="1"/>
      <c r="W311" s="1"/>
      <c r="X311" s="1"/>
      <c r="Y311" s="1"/>
      <c r="Z311" s="1"/>
    </row>
    <row r="312" spans="1:26" ht="14.25" customHeight="1">
      <c r="A312" s="1"/>
      <c r="B312" s="1">
        <v>295</v>
      </c>
      <c r="C312" s="1" t="s">
        <v>238</v>
      </c>
      <c r="D312" s="1" t="s">
        <v>199</v>
      </c>
      <c r="E312" s="1" t="s">
        <v>140</v>
      </c>
      <c r="F312" s="1" t="s">
        <v>131</v>
      </c>
      <c r="G312" s="1" t="s">
        <v>523</v>
      </c>
      <c r="H312" s="1" t="s">
        <v>19</v>
      </c>
      <c r="I312" s="1" t="s">
        <v>133</v>
      </c>
      <c r="J312" s="1" t="s">
        <v>27</v>
      </c>
      <c r="K312" s="1"/>
      <c r="L312" s="1" t="str">
        <f t="shared" si="45"/>
        <v>No</v>
      </c>
      <c r="M312" s="1">
        <f t="shared" si="53"/>
        <v>5</v>
      </c>
      <c r="N312" s="1">
        <f t="shared" si="46"/>
        <v>18</v>
      </c>
      <c r="O312" s="1">
        <f t="shared" si="47"/>
        <v>4</v>
      </c>
      <c r="P312" s="1">
        <f t="shared" si="48"/>
        <v>0</v>
      </c>
      <c r="Q312" s="1">
        <f t="shared" si="49"/>
        <v>111.11</v>
      </c>
      <c r="R312" s="1" t="str">
        <f t="shared" si="50"/>
        <v>lbw</v>
      </c>
      <c r="S312" s="1" t="str">
        <f t="shared" si="51"/>
        <v xml:space="preserve"> Sri Lanka</v>
      </c>
      <c r="T312" s="1" t="str">
        <f t="shared" si="52"/>
        <v>Colombo (RPS)</v>
      </c>
      <c r="U312" s="1" t="str">
        <f t="shared" si="54"/>
        <v>Yes</v>
      </c>
      <c r="V312" s="1"/>
      <c r="W312" s="1"/>
      <c r="X312" s="1"/>
      <c r="Y312" s="1"/>
      <c r="Z312" s="1"/>
    </row>
    <row r="313" spans="1:26" ht="14.25" customHeight="1">
      <c r="A313" s="1"/>
      <c r="B313" s="1">
        <v>296</v>
      </c>
      <c r="C313" s="1" t="s">
        <v>202</v>
      </c>
      <c r="D313" s="1" t="s">
        <v>189</v>
      </c>
      <c r="E313" s="1" t="s">
        <v>130</v>
      </c>
      <c r="F313" s="1" t="s">
        <v>131</v>
      </c>
      <c r="G313" s="1" t="s">
        <v>168</v>
      </c>
      <c r="H313" s="1" t="s">
        <v>24</v>
      </c>
      <c r="I313" s="1" t="s">
        <v>234</v>
      </c>
      <c r="J313" s="1" t="s">
        <v>86</v>
      </c>
      <c r="K313" s="1"/>
      <c r="L313" s="1" t="str">
        <f t="shared" si="45"/>
        <v>No</v>
      </c>
      <c r="M313" s="1">
        <f t="shared" si="53"/>
        <v>52</v>
      </c>
      <c r="N313" s="1">
        <f t="shared" si="46"/>
        <v>8</v>
      </c>
      <c r="O313" s="1">
        <f t="shared" si="47"/>
        <v>1</v>
      </c>
      <c r="P313" s="1">
        <f t="shared" si="48"/>
        <v>0</v>
      </c>
      <c r="Q313" s="1">
        <f t="shared" si="49"/>
        <v>62.5</v>
      </c>
      <c r="R313" s="1" t="str">
        <f t="shared" si="50"/>
        <v>caught</v>
      </c>
      <c r="S313" s="1" t="str">
        <f t="shared" si="51"/>
        <v xml:space="preserve"> England</v>
      </c>
      <c r="T313" s="1" t="str">
        <f t="shared" si="52"/>
        <v>Cuttack</v>
      </c>
      <c r="U313" s="1" t="str">
        <f t="shared" si="54"/>
        <v>Yes</v>
      </c>
      <c r="V313" s="1"/>
      <c r="W313" s="1"/>
      <c r="X313" s="1"/>
      <c r="Y313" s="1"/>
      <c r="Z313" s="1"/>
    </row>
    <row r="314" spans="1:26" ht="14.25" customHeight="1">
      <c r="A314" s="1"/>
      <c r="B314" s="1">
        <v>297</v>
      </c>
      <c r="C314" s="1" t="s">
        <v>327</v>
      </c>
      <c r="D314" s="1" t="s">
        <v>255</v>
      </c>
      <c r="E314" s="1" t="s">
        <v>144</v>
      </c>
      <c r="F314" s="1" t="s">
        <v>130</v>
      </c>
      <c r="G314" s="1" t="s">
        <v>524</v>
      </c>
      <c r="H314" s="1" t="s">
        <v>24</v>
      </c>
      <c r="I314" s="1" t="s">
        <v>234</v>
      </c>
      <c r="J314" s="1" t="s">
        <v>59</v>
      </c>
      <c r="K314" s="1"/>
      <c r="L314" s="1" t="str">
        <f t="shared" si="45"/>
        <v>No</v>
      </c>
      <c r="M314" s="1">
        <f t="shared" si="53"/>
        <v>22</v>
      </c>
      <c r="N314" s="1">
        <f t="shared" si="46"/>
        <v>55</v>
      </c>
      <c r="O314" s="1">
        <f t="shared" si="47"/>
        <v>7</v>
      </c>
      <c r="P314" s="1">
        <f t="shared" si="48"/>
        <v>1</v>
      </c>
      <c r="Q314" s="1">
        <f t="shared" si="49"/>
        <v>94.54</v>
      </c>
      <c r="R314" s="1" t="str">
        <f t="shared" si="50"/>
        <v>caught</v>
      </c>
      <c r="S314" s="1" t="str">
        <f t="shared" si="51"/>
        <v xml:space="preserve"> England</v>
      </c>
      <c r="T314" s="1" t="str">
        <f t="shared" si="52"/>
        <v>Ahmedabad</v>
      </c>
      <c r="U314" s="1" t="str">
        <f t="shared" si="54"/>
        <v>Yes</v>
      </c>
      <c r="V314" s="1"/>
      <c r="W314" s="1"/>
      <c r="X314" s="1"/>
      <c r="Y314" s="1"/>
      <c r="Z314" s="1"/>
    </row>
    <row r="315" spans="1:26" ht="14.25" customHeight="1">
      <c r="A315" s="1"/>
      <c r="B315" s="1">
        <v>298</v>
      </c>
      <c r="C315" s="1" t="s">
        <v>129</v>
      </c>
      <c r="D315" s="1" t="s">
        <v>139</v>
      </c>
      <c r="E315" s="1" t="s">
        <v>130</v>
      </c>
      <c r="F315" s="1" t="s">
        <v>131</v>
      </c>
      <c r="G315" s="1" t="s">
        <v>525</v>
      </c>
      <c r="H315" s="1" t="s">
        <v>24</v>
      </c>
      <c r="I315" s="1" t="s">
        <v>182</v>
      </c>
      <c r="J315" s="1" t="s">
        <v>123</v>
      </c>
      <c r="K315" s="1"/>
      <c r="L315" s="1" t="str">
        <f t="shared" si="45"/>
        <v>No</v>
      </c>
      <c r="M315" s="1">
        <f t="shared" si="53"/>
        <v>100</v>
      </c>
      <c r="N315" s="1">
        <f t="shared" si="46"/>
        <v>38</v>
      </c>
      <c r="O315" s="1">
        <f t="shared" si="47"/>
        <v>1</v>
      </c>
      <c r="P315" s="1">
        <f t="shared" si="48"/>
        <v>0</v>
      </c>
      <c r="Q315" s="1">
        <f t="shared" si="49"/>
        <v>57.89</v>
      </c>
      <c r="R315" s="1" t="str">
        <f t="shared" si="50"/>
        <v>caught</v>
      </c>
      <c r="S315" s="1" t="str">
        <f t="shared" si="51"/>
        <v xml:space="preserve"> Bangladesh</v>
      </c>
      <c r="T315" s="1" t="str">
        <f t="shared" si="52"/>
        <v>Dubai (DICS)</v>
      </c>
      <c r="U315" s="1" t="str">
        <f t="shared" si="54"/>
        <v>Yes</v>
      </c>
      <c r="V315" s="1"/>
      <c r="W315" s="1"/>
      <c r="X315" s="1"/>
      <c r="Y315" s="1"/>
      <c r="Z315" s="1"/>
    </row>
    <row r="316" spans="1:26" ht="14.25" customHeight="1">
      <c r="A316" s="1"/>
      <c r="B316" s="1">
        <v>299</v>
      </c>
      <c r="C316" s="1" t="s">
        <v>230</v>
      </c>
      <c r="D316" s="1" t="s">
        <v>346</v>
      </c>
      <c r="E316" s="1" t="s">
        <v>144</v>
      </c>
      <c r="F316" s="1" t="s">
        <v>131</v>
      </c>
      <c r="G316" s="1" t="s">
        <v>526</v>
      </c>
      <c r="H316" s="1" t="s">
        <v>32</v>
      </c>
      <c r="I316" s="1" t="s">
        <v>156</v>
      </c>
      <c r="J316" s="1" t="s">
        <v>123</v>
      </c>
      <c r="K316" s="1"/>
      <c r="L316" s="1" t="str">
        <f t="shared" si="45"/>
        <v>No</v>
      </c>
      <c r="M316" s="1">
        <f t="shared" si="53"/>
        <v>11</v>
      </c>
      <c r="N316" s="1">
        <f t="shared" si="46"/>
        <v>111</v>
      </c>
      <c r="O316" s="1">
        <f t="shared" si="47"/>
        <v>7</v>
      </c>
      <c r="P316" s="1">
        <f t="shared" si="48"/>
        <v>0</v>
      </c>
      <c r="Q316" s="1">
        <f t="shared" si="49"/>
        <v>90.09</v>
      </c>
      <c r="R316" s="1" t="str">
        <f t="shared" si="50"/>
        <v>not out</v>
      </c>
      <c r="S316" s="1" t="str">
        <f t="shared" si="51"/>
        <v xml:space="preserve"> Pakistan</v>
      </c>
      <c r="T316" s="1" t="str">
        <f t="shared" si="52"/>
        <v>Dubai (DICS)</v>
      </c>
      <c r="U316" s="1" t="str">
        <f t="shared" si="54"/>
        <v>No</v>
      </c>
      <c r="V316" s="1"/>
      <c r="W316" s="1"/>
      <c r="X316" s="1"/>
      <c r="Y316" s="1"/>
      <c r="Z316" s="1"/>
    </row>
    <row r="317" spans="1:26" ht="14.25" customHeight="1">
      <c r="A317" s="1"/>
      <c r="B317" s="1">
        <v>300</v>
      </c>
      <c r="C317" s="1" t="s">
        <v>176</v>
      </c>
      <c r="D317" s="1" t="s">
        <v>205</v>
      </c>
      <c r="E317" s="1" t="s">
        <v>151</v>
      </c>
      <c r="F317" s="1" t="s">
        <v>131</v>
      </c>
      <c r="G317" s="1" t="s">
        <v>527</v>
      </c>
      <c r="H317" s="1" t="s">
        <v>24</v>
      </c>
      <c r="I317" s="1" t="s">
        <v>211</v>
      </c>
      <c r="J317" s="1" t="s">
        <v>123</v>
      </c>
      <c r="K317" s="1"/>
      <c r="L317" s="1" t="str">
        <f t="shared" si="45"/>
        <v>No</v>
      </c>
      <c r="M317" s="1">
        <f t="shared" si="53"/>
        <v>84</v>
      </c>
      <c r="N317" s="1">
        <f t="shared" si="46"/>
        <v>14</v>
      </c>
      <c r="O317" s="1">
        <f t="shared" si="47"/>
        <v>2</v>
      </c>
      <c r="P317" s="1">
        <f t="shared" si="48"/>
        <v>0</v>
      </c>
      <c r="Q317" s="1">
        <f t="shared" si="49"/>
        <v>78.569999999999993</v>
      </c>
      <c r="R317" s="1" t="str">
        <f t="shared" si="50"/>
        <v>caught</v>
      </c>
      <c r="S317" s="1" t="str">
        <f t="shared" si="51"/>
        <v xml:space="preserve"> New Zealand</v>
      </c>
      <c r="T317" s="1" t="str">
        <f t="shared" si="52"/>
        <v>Dubai (DICS)</v>
      </c>
      <c r="U317" s="1" t="str">
        <f t="shared" si="54"/>
        <v>Yes</v>
      </c>
      <c r="V317" s="1"/>
      <c r="W317" s="1"/>
      <c r="X317" s="1"/>
      <c r="Y317" s="1"/>
      <c r="Z317" s="1"/>
    </row>
    <row r="318" spans="1:26" ht="14.25" customHeight="1">
      <c r="A318" s="1"/>
      <c r="B318" s="1">
        <v>301</v>
      </c>
      <c r="C318" s="1" t="s">
        <v>340</v>
      </c>
      <c r="D318" s="1" t="s">
        <v>265</v>
      </c>
      <c r="E318" s="1" t="s">
        <v>202</v>
      </c>
      <c r="F318" s="1" t="s">
        <v>131</v>
      </c>
      <c r="G318" s="1" t="s">
        <v>520</v>
      </c>
      <c r="H318" s="1" t="s">
        <v>24</v>
      </c>
      <c r="I318" s="1" t="s">
        <v>158</v>
      </c>
      <c r="J318" s="1" t="s">
        <v>123</v>
      </c>
      <c r="K318" s="1"/>
      <c r="L318" s="1" t="str">
        <f t="shared" si="45"/>
        <v>No</v>
      </c>
      <c r="M318" s="1">
        <f t="shared" si="53"/>
        <v>1</v>
      </c>
      <c r="N318" s="1">
        <f t="shared" si="46"/>
        <v>98</v>
      </c>
      <c r="O318" s="1">
        <f t="shared" si="47"/>
        <v>5</v>
      </c>
      <c r="P318" s="1">
        <f t="shared" si="48"/>
        <v>0</v>
      </c>
      <c r="Q318" s="1">
        <f t="shared" si="49"/>
        <v>85.71</v>
      </c>
      <c r="R318" s="1" t="str">
        <f t="shared" si="50"/>
        <v>caught</v>
      </c>
      <c r="S318" s="1" t="str">
        <f t="shared" si="51"/>
        <v xml:space="preserve"> Australia</v>
      </c>
      <c r="T318" s="1" t="str">
        <f t="shared" si="52"/>
        <v>Dubai (DICS)</v>
      </c>
      <c r="U318" s="1" t="str">
        <f t="shared" si="54"/>
        <v>Yes</v>
      </c>
      <c r="V318" s="1"/>
      <c r="W318" s="1"/>
      <c r="X318" s="1"/>
      <c r="Y318" s="1"/>
      <c r="Z318" s="1"/>
    </row>
    <row r="319" spans="1:26" ht="14.25" customHeight="1">
      <c r="A319" s="1"/>
      <c r="B319" s="1">
        <v>302</v>
      </c>
      <c r="C319" s="1" t="s">
        <v>130</v>
      </c>
      <c r="D319" s="1" t="s">
        <v>151</v>
      </c>
      <c r="E319" s="1" t="s">
        <v>131</v>
      </c>
      <c r="F319" s="1" t="s">
        <v>131</v>
      </c>
      <c r="G319" s="1" t="s">
        <v>204</v>
      </c>
      <c r="H319" s="1" t="s">
        <v>19</v>
      </c>
      <c r="I319" s="1" t="s">
        <v>211</v>
      </c>
      <c r="J319" s="1" t="s">
        <v>123</v>
      </c>
      <c r="K319" s="1"/>
      <c r="L319" s="1" t="str">
        <f t="shared" si="45"/>
        <v>No</v>
      </c>
      <c r="M319" s="1">
        <f>IF(L319="Yes", "NA",SUBSTITUTE(C319,"*","")*1)</f>
        <v>1</v>
      </c>
      <c r="N319" s="1">
        <f t="shared" si="46"/>
        <v>2</v>
      </c>
      <c r="O319" s="1">
        <f t="shared" si="47"/>
        <v>0</v>
      </c>
      <c r="P319" s="1">
        <f t="shared" si="48"/>
        <v>0</v>
      </c>
      <c r="Q319" s="1">
        <f t="shared" si="49"/>
        <v>50</v>
      </c>
      <c r="R319" s="1" t="str">
        <f t="shared" si="50"/>
        <v>lbw</v>
      </c>
      <c r="S319" s="1" t="str">
        <f t="shared" si="51"/>
        <v xml:space="preserve"> New Zealand</v>
      </c>
      <c r="T319" s="1" t="str">
        <f t="shared" si="52"/>
        <v>Dubai (DICS)</v>
      </c>
      <c r="U319" s="1" t="str">
        <f t="shared" si="54"/>
        <v>Yes</v>
      </c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autoFilter ref="L17:U319" xr:uid="{00000000-0009-0000-0000-000001000000}"/>
  <mergeCells count="4">
    <mergeCell ref="D3:G3"/>
    <mergeCell ref="B16:J16"/>
    <mergeCell ref="L16:U16"/>
    <mergeCell ref="O3:T3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8"/>
  <sheetViews>
    <sheetView showGridLines="0" workbookViewId="0">
      <selection activeCell="B1" sqref="B1:B3"/>
    </sheetView>
  </sheetViews>
  <sheetFormatPr defaultColWidth="14.44140625" defaultRowHeight="15" customHeight="1"/>
  <cols>
    <col min="1" max="1" width="4" customWidth="1"/>
    <col min="2" max="2" width="14.88671875" customWidth="1"/>
    <col min="3" max="3" width="8.6640625" customWidth="1"/>
    <col min="4" max="4" width="12.5546875" customWidth="1"/>
    <col min="5" max="8" width="8.6640625" customWidth="1"/>
    <col min="9" max="9" width="9.33203125" customWidth="1"/>
    <col min="10" max="10" width="14.33203125" customWidth="1"/>
    <col min="11" max="11" width="20.33203125" customWidth="1"/>
    <col min="12" max="12" width="1.88671875" customWidth="1"/>
    <col min="13" max="13" width="8.6640625" customWidth="1"/>
    <col min="14" max="14" width="23.77734375" customWidth="1"/>
    <col min="15" max="15" width="15.88671875" customWidth="1"/>
    <col min="16" max="16" width="10.77734375" customWidth="1"/>
    <col min="17" max="19" width="8.6640625" customWidth="1"/>
    <col min="20" max="20" width="14.5546875" customWidth="1"/>
    <col min="21" max="21" width="10.77734375" customWidth="1"/>
    <col min="22" max="22" width="11.6640625" customWidth="1"/>
    <col min="23" max="23" width="14.6640625" customWidth="1"/>
    <col min="24" max="26" width="8.6640625" customWidth="1"/>
  </cols>
  <sheetData>
    <row r="1" spans="1:26" ht="14.25" customHeight="1">
      <c r="A1" s="1"/>
      <c r="B1" s="4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45"/>
      <c r="C2" s="27" t="s">
        <v>0</v>
      </c>
      <c r="D2" s="46" t="s">
        <v>528</v>
      </c>
      <c r="E2" s="47"/>
      <c r="F2" s="47"/>
      <c r="G2" s="48"/>
      <c r="H2" s="1"/>
      <c r="K2" s="1"/>
      <c r="L2" s="1"/>
      <c r="M2" s="1"/>
      <c r="N2" s="1" t="s">
        <v>1327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45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25" t="s">
        <v>18</v>
      </c>
      <c r="O3" s="24" t="s">
        <v>1325</v>
      </c>
      <c r="P3" s="1"/>
      <c r="Q3" s="49" t="s">
        <v>1331</v>
      </c>
      <c r="R3" s="49"/>
      <c r="S3" s="49"/>
      <c r="T3" s="49"/>
      <c r="U3" s="49"/>
      <c r="V3" s="49"/>
      <c r="W3" s="1"/>
      <c r="X3" s="1"/>
      <c r="Y3" s="1"/>
    </row>
    <row r="4" spans="1:26" ht="14.25" customHeight="1">
      <c r="A4" s="1"/>
      <c r="B4" s="4" t="s">
        <v>2</v>
      </c>
      <c r="C4" s="5">
        <f>SUM(O20:O369)/ COUNTIF(X20:X369,"Yes")</f>
        <v>50.610328638497656</v>
      </c>
      <c r="D4" s="5">
        <f>AVERAGE(P20:P369)</f>
        <v>41.424242424242422</v>
      </c>
      <c r="E4" s="5">
        <f t="shared" ref="E4:F4" si="0">AVERAGE(Q20:Q369)</f>
        <v>2.7811447811447811</v>
      </c>
      <c r="F4" s="5">
        <f t="shared" si="0"/>
        <v>0.77104377104377109</v>
      </c>
      <c r="G4" s="21">
        <f>SUM(O20:O369)/SUM(P20:P369)</f>
        <v>0.87620905470210519</v>
      </c>
      <c r="H4" s="6"/>
      <c r="I4" s="6"/>
      <c r="J4" s="6"/>
      <c r="K4" s="7"/>
      <c r="M4" s="1"/>
      <c r="N4" s="2" t="s">
        <v>23</v>
      </c>
      <c r="O4" s="10">
        <f>COUNT(B20:B369)</f>
        <v>350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4.25" customHeight="1">
      <c r="A5" s="1"/>
      <c r="B5" s="8" t="s">
        <v>3</v>
      </c>
      <c r="C5" s="9">
        <f>MEDIAN(O20:O369)</f>
        <v>31</v>
      </c>
      <c r="D5" s="9">
        <f t="shared" ref="D5:G5" si="1">MEDIAN(P20:P369)</f>
        <v>35</v>
      </c>
      <c r="E5" s="9">
        <f t="shared" si="1"/>
        <v>2</v>
      </c>
      <c r="F5" s="9">
        <f t="shared" si="1"/>
        <v>0</v>
      </c>
      <c r="G5" s="9">
        <f t="shared" si="1"/>
        <v>81.94</v>
      </c>
      <c r="H5" s="10"/>
      <c r="I5" s="10"/>
      <c r="J5" s="10"/>
      <c r="K5" s="26"/>
      <c r="L5" s="3"/>
      <c r="M5" s="3"/>
      <c r="N5" s="2" t="s">
        <v>25</v>
      </c>
      <c r="O5" s="10">
        <f>MAX(O20:O369)</f>
        <v>183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4.25" customHeight="1">
      <c r="A6" s="1"/>
      <c r="B6" s="8" t="s">
        <v>4</v>
      </c>
      <c r="C6" s="9"/>
      <c r="D6" s="9"/>
      <c r="E6" s="9"/>
      <c r="F6" s="9"/>
      <c r="G6" s="9"/>
      <c r="H6" s="10"/>
      <c r="I6" s="10"/>
      <c r="J6" s="10"/>
      <c r="K6" s="26"/>
      <c r="L6" s="1"/>
      <c r="M6" s="1"/>
      <c r="N6" s="2" t="s">
        <v>28</v>
      </c>
      <c r="O6" s="10">
        <f>COUNTIF(O20:O369,0)</f>
        <v>9</v>
      </c>
      <c r="P6" s="17"/>
      <c r="Q6" s="1"/>
      <c r="R6" s="1"/>
      <c r="S6" s="1"/>
      <c r="T6" s="1"/>
      <c r="U6" s="1"/>
      <c r="V6" s="1"/>
      <c r="W6" s="1"/>
      <c r="X6" s="1"/>
      <c r="Y6" s="1"/>
    </row>
    <row r="7" spans="1:26" ht="14.25" customHeight="1">
      <c r="A7" s="1"/>
      <c r="B7" s="8" t="s">
        <v>5</v>
      </c>
      <c r="C7" s="9">
        <f>_xlfn.STDEV.S(O20:O369)</f>
        <v>29.864328690397983</v>
      </c>
      <c r="D7" s="9">
        <f t="shared" ref="D7:G7" si="2">_xlfn.STDEV.S(P20:P369)</f>
        <v>30.438714760405972</v>
      </c>
      <c r="E7" s="9">
        <f t="shared" si="2"/>
        <v>2.8157222747089117</v>
      </c>
      <c r="F7" s="9">
        <f t="shared" si="2"/>
        <v>1.2924298512394863</v>
      </c>
      <c r="G7" s="9">
        <f t="shared" si="2"/>
        <v>47.480094502700261</v>
      </c>
      <c r="H7" s="10"/>
      <c r="I7" s="10"/>
      <c r="J7" s="10"/>
      <c r="K7" s="11"/>
      <c r="L7" s="1"/>
      <c r="M7" s="1"/>
      <c r="N7" s="2" t="s">
        <v>30</v>
      </c>
      <c r="O7" s="10">
        <f>COUNTIF(O20:O369, "&gt;=100")</f>
        <v>10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4.25" customHeight="1">
      <c r="A8" s="1"/>
      <c r="B8" s="8" t="s">
        <v>6</v>
      </c>
      <c r="C8" s="9">
        <f>SKEW(O20:O369)</f>
        <v>1.3527105225772167</v>
      </c>
      <c r="D8" s="9">
        <f t="shared" ref="D8:G8" si="3">SKEW(P20:P369)</f>
        <v>0.79686817522325915</v>
      </c>
      <c r="E8" s="9">
        <f t="shared" si="3"/>
        <v>1.6505132011468868</v>
      </c>
      <c r="F8" s="9">
        <f t="shared" si="3"/>
        <v>2.6266526954687026</v>
      </c>
      <c r="G8" s="9">
        <f t="shared" si="3"/>
        <v>1.8429567595753171</v>
      </c>
      <c r="H8" s="10"/>
      <c r="I8" s="10"/>
      <c r="J8" s="10"/>
      <c r="K8" s="11"/>
      <c r="L8" s="1"/>
      <c r="M8" s="1"/>
      <c r="N8" s="2" t="s">
        <v>31</v>
      </c>
      <c r="O8" s="10">
        <f>COUNTIFS(O20:O369, "&gt;=50", O20:O369, "&lt;=100")</f>
        <v>73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4.25" customHeight="1">
      <c r="A9" s="1"/>
      <c r="B9" s="12" t="s">
        <v>7</v>
      </c>
      <c r="C9" s="13">
        <f>KURT(O20:O369)</f>
        <v>2.7069323182540694</v>
      </c>
      <c r="D9" s="13">
        <f t="shared" ref="D9:G9" si="4">KURT(P20:P369)</f>
        <v>9.2538248574466131E-2</v>
      </c>
      <c r="E9" s="13">
        <f t="shared" si="4"/>
        <v>3.5126619092067219</v>
      </c>
      <c r="F9" s="13">
        <f t="shared" si="4"/>
        <v>10.443149068686751</v>
      </c>
      <c r="G9" s="13">
        <f t="shared" si="4"/>
        <v>8.9748083515285622</v>
      </c>
      <c r="H9" s="14"/>
      <c r="I9" s="14"/>
      <c r="J9" s="14"/>
      <c r="K9" s="15"/>
      <c r="L9" s="1"/>
      <c r="M9" s="1"/>
      <c r="N9" s="2" t="s">
        <v>34</v>
      </c>
      <c r="O9" s="10">
        <f>SUM(Q20:Q369)*4+SUM(R20:R369)*6</f>
        <v>4678</v>
      </c>
      <c r="P9" s="1"/>
      <c r="Q9" s="22"/>
      <c r="R9" s="22"/>
      <c r="S9" s="22"/>
      <c r="T9" s="22"/>
      <c r="U9" s="22"/>
      <c r="V9" s="22"/>
      <c r="W9" s="22"/>
      <c r="X9" s="1"/>
      <c r="Y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 t="s">
        <v>37</v>
      </c>
      <c r="O10" s="18">
        <f>O9/SUM(O20:O369)</f>
        <v>0.43395176252319112</v>
      </c>
      <c r="P10" s="1"/>
      <c r="Q10" s="22"/>
      <c r="R10" s="22"/>
      <c r="S10" s="22"/>
      <c r="T10" s="22"/>
      <c r="U10" s="22"/>
      <c r="V10" s="22"/>
      <c r="W10" s="22"/>
      <c r="X10" s="1"/>
      <c r="Y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 t="s">
        <v>41</v>
      </c>
      <c r="O11" s="18">
        <f>C7/C4</f>
        <v>0.59008367449487664</v>
      </c>
      <c r="P11" s="1"/>
      <c r="Q11" s="22"/>
      <c r="R11" s="22"/>
      <c r="S11" s="22"/>
      <c r="T11" s="22"/>
      <c r="U11" s="22"/>
      <c r="V11" s="22"/>
      <c r="W11" s="22"/>
      <c r="X11" s="1"/>
      <c r="Y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2"/>
      <c r="R12" s="22"/>
      <c r="S12" s="22"/>
      <c r="T12" s="22"/>
      <c r="U12" s="22"/>
      <c r="V12" s="22"/>
      <c r="W12" s="22"/>
      <c r="X12" s="1"/>
      <c r="Y12" s="1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 t="s">
        <v>47</v>
      </c>
      <c r="O13" s="18">
        <f>COUNTIF(T20:T369, "run out")/COUNTIF(X20:X369, "Yes")</f>
        <v>7.5117370892018781E-2</v>
      </c>
      <c r="P13" s="1"/>
      <c r="Q13" s="22"/>
      <c r="R13" s="22"/>
      <c r="S13" s="22"/>
      <c r="T13" s="22"/>
      <c r="U13" s="22"/>
      <c r="V13" s="22"/>
      <c r="W13" s="22"/>
      <c r="X13" s="1"/>
      <c r="Y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 t="s">
        <v>49</v>
      </c>
      <c r="O14" s="10">
        <f>SUMIFS(R20:R369,V20:V369, "*Sri Lanka")</f>
        <v>45</v>
      </c>
      <c r="P14" s="1"/>
      <c r="Q14" s="22"/>
      <c r="R14" s="22"/>
      <c r="S14" s="22"/>
      <c r="T14" s="22"/>
      <c r="U14" s="22"/>
      <c r="V14" s="22"/>
      <c r="W14" s="22"/>
      <c r="X14" s="1"/>
      <c r="Y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"/>
      <c r="Z16" s="1"/>
    </row>
    <row r="17" spans="1:26" ht="14.25" customHeight="1">
      <c r="A17" s="1"/>
      <c r="B17" s="49" t="s">
        <v>125</v>
      </c>
      <c r="C17" s="49"/>
      <c r="D17" s="49"/>
      <c r="E17" s="49"/>
      <c r="F17" s="49"/>
      <c r="G17" s="49"/>
      <c r="H17" s="49"/>
      <c r="I17" s="49"/>
      <c r="J17" s="49"/>
      <c r="K17" s="49"/>
      <c r="L17" s="1"/>
      <c r="M17" s="1"/>
      <c r="N17" s="49" t="s">
        <v>126</v>
      </c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 t="s">
        <v>1332</v>
      </c>
      <c r="H18" s="1"/>
      <c r="I18" s="1"/>
      <c r="J18" s="1"/>
      <c r="K18" s="1"/>
      <c r="L18" s="1"/>
      <c r="M18" s="1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1"/>
      <c r="Z18" s="1"/>
    </row>
    <row r="19" spans="1:26" ht="14.25" customHeight="1">
      <c r="A19" s="1"/>
      <c r="B19" s="16" t="s">
        <v>127</v>
      </c>
      <c r="C19" s="16" t="s">
        <v>9</v>
      </c>
      <c r="D19" s="16" t="s">
        <v>10</v>
      </c>
      <c r="E19" s="16" t="s">
        <v>11</v>
      </c>
      <c r="F19" s="16" t="s">
        <v>12</v>
      </c>
      <c r="G19" s="16" t="s">
        <v>13</v>
      </c>
      <c r="H19" s="16" t="s">
        <v>14</v>
      </c>
      <c r="I19" s="16" t="s">
        <v>529</v>
      </c>
      <c r="J19" s="16" t="s">
        <v>15</v>
      </c>
      <c r="K19" s="16" t="s">
        <v>16</v>
      </c>
      <c r="L19" s="19"/>
      <c r="M19" s="1"/>
      <c r="N19" s="16" t="s">
        <v>57</v>
      </c>
      <c r="O19" s="16" t="s">
        <v>9</v>
      </c>
      <c r="P19" s="16" t="s">
        <v>10</v>
      </c>
      <c r="Q19" s="16" t="s">
        <v>11</v>
      </c>
      <c r="R19" s="16" t="s">
        <v>12</v>
      </c>
      <c r="S19" s="16" t="s">
        <v>13</v>
      </c>
      <c r="T19" s="16" t="s">
        <v>14</v>
      </c>
      <c r="U19" s="16" t="s">
        <v>529</v>
      </c>
      <c r="V19" s="16" t="s">
        <v>15</v>
      </c>
      <c r="W19" s="16" t="s">
        <v>16</v>
      </c>
      <c r="X19" s="16" t="s">
        <v>17</v>
      </c>
      <c r="Y19" s="1"/>
      <c r="Z19" s="1"/>
    </row>
    <row r="20" spans="1:26" ht="14.25" customHeight="1">
      <c r="A20" s="1"/>
      <c r="B20" s="1">
        <v>1</v>
      </c>
      <c r="C20" s="1" t="s">
        <v>131</v>
      </c>
      <c r="D20" s="1" t="s">
        <v>130</v>
      </c>
      <c r="E20" s="1" t="s">
        <v>131</v>
      </c>
      <c r="F20" s="1" t="s">
        <v>131</v>
      </c>
      <c r="G20" s="1" t="s">
        <v>210</v>
      </c>
      <c r="H20" s="1" t="s">
        <v>26</v>
      </c>
      <c r="I20" s="1" t="s">
        <v>130</v>
      </c>
      <c r="J20" s="1" t="s">
        <v>182</v>
      </c>
      <c r="K20" s="1" t="s">
        <v>118</v>
      </c>
      <c r="L20" s="1"/>
      <c r="M20" s="1"/>
      <c r="N20" s="1" t="str">
        <f t="shared" ref="N20:N83" si="5">IF(OR(C20="DNB",C20="TDNB"),"Yes","No")</f>
        <v>No</v>
      </c>
      <c r="O20" s="1">
        <f>IF(N22="Yes", "NA",SUBSTITUTE(C22,"*","")*1)</f>
        <v>7</v>
      </c>
      <c r="P20" s="1">
        <f t="shared" ref="P20:P83" si="6">IF(D20="-","NA",D20*1)</f>
        <v>1</v>
      </c>
      <c r="Q20" s="1">
        <f t="shared" ref="Q20:Q83" si="7">IF(E20="-","NA",E20*1)</f>
        <v>0</v>
      </c>
      <c r="R20" s="1">
        <f t="shared" ref="R20:R83" si="8">IF(F20="-","NA",F20*1)</f>
        <v>0</v>
      </c>
      <c r="S20" s="29">
        <f t="shared" ref="S20:S83" si="9">IF(G20="-","NA",G20*1)</f>
        <v>0</v>
      </c>
      <c r="T20" s="1" t="str">
        <f t="shared" ref="T20:T83" si="10">IF(H20="-","NA",H20)</f>
        <v>run out</v>
      </c>
      <c r="U20" s="1" t="str">
        <f>I20</f>
        <v>1</v>
      </c>
      <c r="V20" s="1" t="str">
        <f>SUBSTITUTE(J20,"v","")</f>
        <v xml:space="preserve"> Bangladesh</v>
      </c>
      <c r="W20" s="1" t="str">
        <f>K20</f>
        <v>Chattogram</v>
      </c>
      <c r="X20" s="1" t="str">
        <f>IF(N20="Yes","No",IF(T20="not out","No","Yes"))</f>
        <v>Yes</v>
      </c>
      <c r="Y20" s="1"/>
      <c r="Z20" s="1"/>
    </row>
    <row r="21" spans="1:26" ht="14.25" customHeight="1">
      <c r="A21" s="1"/>
      <c r="B21" s="1">
        <v>2</v>
      </c>
      <c r="C21" s="1" t="s">
        <v>128</v>
      </c>
      <c r="D21" s="1" t="s">
        <v>176</v>
      </c>
      <c r="E21" s="1" t="s">
        <v>151</v>
      </c>
      <c r="F21" s="1" t="s">
        <v>131</v>
      </c>
      <c r="G21" s="1" t="s">
        <v>530</v>
      </c>
      <c r="H21" s="1" t="s">
        <v>24</v>
      </c>
      <c r="I21" s="1" t="s">
        <v>151</v>
      </c>
      <c r="J21" s="1" t="s">
        <v>182</v>
      </c>
      <c r="K21" s="1" t="s">
        <v>531</v>
      </c>
      <c r="L21" s="1"/>
      <c r="M21" s="1"/>
      <c r="N21" s="1" t="str">
        <f t="shared" si="5"/>
        <v>No</v>
      </c>
      <c r="O21" s="1">
        <f t="shared" ref="O21:O84" si="11">IF(N21="Yes", "NA",SUBSTITUTE(C21,"*","")*1)</f>
        <v>12</v>
      </c>
      <c r="P21" s="1">
        <f t="shared" si="6"/>
        <v>11</v>
      </c>
      <c r="Q21" s="1">
        <f t="shared" si="7"/>
        <v>2</v>
      </c>
      <c r="R21" s="1">
        <f t="shared" si="8"/>
        <v>0</v>
      </c>
      <c r="S21" s="29">
        <f t="shared" si="9"/>
        <v>109.09</v>
      </c>
      <c r="T21" s="1" t="str">
        <f t="shared" si="10"/>
        <v>caught</v>
      </c>
      <c r="U21" s="1" t="str">
        <f t="shared" ref="U21:U84" si="12">I21</f>
        <v>2</v>
      </c>
      <c r="V21" s="1" t="str">
        <f t="shared" ref="V21:V84" si="13">SUBSTITUTE(J21,"v","")</f>
        <v xml:space="preserve"> Bangladesh</v>
      </c>
      <c r="W21" s="1" t="str">
        <f t="shared" ref="W21:W84" si="14">K21</f>
        <v>Dhaka</v>
      </c>
      <c r="X21" s="1" t="str">
        <f t="shared" ref="X21:X84" si="15">IF(N21="Yes","No",IF(T21="not out","No","Yes"))</f>
        <v>Yes</v>
      </c>
      <c r="Y21" s="1"/>
      <c r="Z21" s="1"/>
    </row>
    <row r="22" spans="1:26" ht="14.25" customHeight="1">
      <c r="A22" s="1"/>
      <c r="B22" s="1">
        <v>3</v>
      </c>
      <c r="C22" s="1" t="s">
        <v>532</v>
      </c>
      <c r="D22" s="1" t="s">
        <v>151</v>
      </c>
      <c r="E22" s="1" t="s">
        <v>131</v>
      </c>
      <c r="F22" s="1" t="s">
        <v>130</v>
      </c>
      <c r="G22" s="1" t="s">
        <v>533</v>
      </c>
      <c r="H22" s="1" t="s">
        <v>32</v>
      </c>
      <c r="I22" s="1" t="s">
        <v>130</v>
      </c>
      <c r="J22" s="1" t="s">
        <v>182</v>
      </c>
      <c r="K22" s="1" t="s">
        <v>531</v>
      </c>
      <c r="L22" s="1"/>
      <c r="M22" s="1"/>
      <c r="N22" s="1" t="str">
        <f t="shared" si="5"/>
        <v>No</v>
      </c>
      <c r="O22" s="1">
        <f t="shared" si="11"/>
        <v>7</v>
      </c>
      <c r="P22" s="1">
        <f t="shared" si="6"/>
        <v>2</v>
      </c>
      <c r="Q22" s="1">
        <f t="shared" si="7"/>
        <v>0</v>
      </c>
      <c r="R22" s="1">
        <f t="shared" si="8"/>
        <v>1</v>
      </c>
      <c r="S22" s="29">
        <f t="shared" si="9"/>
        <v>350</v>
      </c>
      <c r="T22" s="1" t="str">
        <f t="shared" si="10"/>
        <v>not out</v>
      </c>
      <c r="U22" s="1" t="str">
        <f t="shared" si="12"/>
        <v>1</v>
      </c>
      <c r="V22" s="1" t="str">
        <f t="shared" si="13"/>
        <v xml:space="preserve"> Bangladesh</v>
      </c>
      <c r="W22" s="1" t="str">
        <f t="shared" si="14"/>
        <v>Dhaka</v>
      </c>
      <c r="X22" s="1" t="str">
        <f t="shared" si="15"/>
        <v>No</v>
      </c>
      <c r="Y22" s="1"/>
      <c r="Z22" s="1"/>
    </row>
    <row r="23" spans="1:26" ht="14.25" customHeight="1">
      <c r="A23" s="1"/>
      <c r="B23" s="1">
        <v>4</v>
      </c>
      <c r="C23" s="1" t="s">
        <v>148</v>
      </c>
      <c r="D23" s="1" t="s">
        <v>144</v>
      </c>
      <c r="E23" s="1" t="s">
        <v>131</v>
      </c>
      <c r="F23" s="1" t="s">
        <v>131</v>
      </c>
      <c r="G23" s="1" t="s">
        <v>247</v>
      </c>
      <c r="H23" s="1" t="s">
        <v>24</v>
      </c>
      <c r="I23" s="1" t="s">
        <v>130</v>
      </c>
      <c r="J23" s="1" t="s">
        <v>156</v>
      </c>
      <c r="K23" s="1" t="s">
        <v>96</v>
      </c>
      <c r="L23" s="1"/>
      <c r="M23" s="1"/>
      <c r="N23" s="1" t="str">
        <f t="shared" si="5"/>
        <v>No</v>
      </c>
      <c r="O23" s="1">
        <f t="shared" si="11"/>
        <v>3</v>
      </c>
      <c r="P23" s="1">
        <f t="shared" si="6"/>
        <v>7</v>
      </c>
      <c r="Q23" s="1">
        <f t="shared" si="7"/>
        <v>0</v>
      </c>
      <c r="R23" s="1">
        <f t="shared" si="8"/>
        <v>0</v>
      </c>
      <c r="S23" s="29">
        <f t="shared" si="9"/>
        <v>42.85</v>
      </c>
      <c r="T23" s="1" t="str">
        <f t="shared" si="10"/>
        <v>caught</v>
      </c>
      <c r="U23" s="1" t="str">
        <f t="shared" si="12"/>
        <v>1</v>
      </c>
      <c r="V23" s="1" t="str">
        <f t="shared" si="13"/>
        <v xml:space="preserve"> Pakistan</v>
      </c>
      <c r="W23" s="1" t="str">
        <f t="shared" si="14"/>
        <v>Kochi</v>
      </c>
      <c r="X23" s="1" t="str">
        <f t="shared" si="15"/>
        <v>Yes</v>
      </c>
      <c r="Y23" s="1"/>
      <c r="Z23" s="1"/>
    </row>
    <row r="24" spans="1:26" ht="14.25" customHeight="1">
      <c r="A24" s="1"/>
      <c r="B24" s="1">
        <v>5</v>
      </c>
      <c r="C24" s="1" t="s">
        <v>294</v>
      </c>
      <c r="D24" s="1" t="s">
        <v>272</v>
      </c>
      <c r="E24" s="1" t="s">
        <v>283</v>
      </c>
      <c r="F24" s="1" t="s">
        <v>140</v>
      </c>
      <c r="G24" s="1" t="s">
        <v>534</v>
      </c>
      <c r="H24" s="1" t="s">
        <v>24</v>
      </c>
      <c r="I24" s="1" t="s">
        <v>130</v>
      </c>
      <c r="J24" s="1" t="s">
        <v>156</v>
      </c>
      <c r="K24" s="1" t="s">
        <v>65</v>
      </c>
      <c r="L24" s="1"/>
      <c r="M24" s="1"/>
      <c r="N24" s="1" t="str">
        <f t="shared" si="5"/>
        <v>No</v>
      </c>
      <c r="O24" s="1">
        <f t="shared" si="11"/>
        <v>148</v>
      </c>
      <c r="P24" s="1">
        <f t="shared" si="6"/>
        <v>123</v>
      </c>
      <c r="Q24" s="1">
        <f t="shared" si="7"/>
        <v>15</v>
      </c>
      <c r="R24" s="1">
        <f t="shared" si="8"/>
        <v>4</v>
      </c>
      <c r="S24" s="29">
        <f t="shared" si="9"/>
        <v>120.32</v>
      </c>
      <c r="T24" s="1" t="str">
        <f t="shared" si="10"/>
        <v>caught</v>
      </c>
      <c r="U24" s="1" t="str">
        <f t="shared" si="12"/>
        <v>1</v>
      </c>
      <c r="V24" s="1" t="str">
        <f t="shared" si="13"/>
        <v xml:space="preserve"> Pakistan</v>
      </c>
      <c r="W24" s="1" t="str">
        <f t="shared" si="14"/>
        <v>Visakhapatnam</v>
      </c>
      <c r="X24" s="1" t="str">
        <f t="shared" si="15"/>
        <v>Yes</v>
      </c>
      <c r="Y24" s="1"/>
      <c r="Z24" s="1"/>
    </row>
    <row r="25" spans="1:26" ht="14.25" customHeight="1">
      <c r="A25" s="1"/>
      <c r="B25" s="1">
        <v>6</v>
      </c>
      <c r="C25" s="1" t="s">
        <v>207</v>
      </c>
      <c r="D25" s="1" t="s">
        <v>154</v>
      </c>
      <c r="E25" s="1" t="s">
        <v>202</v>
      </c>
      <c r="F25" s="1" t="s">
        <v>131</v>
      </c>
      <c r="G25" s="1" t="s">
        <v>267</v>
      </c>
      <c r="H25" s="1" t="s">
        <v>24</v>
      </c>
      <c r="I25" s="1" t="s">
        <v>151</v>
      </c>
      <c r="J25" s="1" t="s">
        <v>156</v>
      </c>
      <c r="K25" s="1" t="s">
        <v>535</v>
      </c>
      <c r="L25" s="1"/>
      <c r="M25" s="1"/>
      <c r="N25" s="1" t="str">
        <f t="shared" si="5"/>
        <v>No</v>
      </c>
      <c r="O25" s="1">
        <f t="shared" si="11"/>
        <v>28</v>
      </c>
      <c r="P25" s="1">
        <f t="shared" si="6"/>
        <v>24</v>
      </c>
      <c r="Q25" s="1">
        <f t="shared" si="7"/>
        <v>5</v>
      </c>
      <c r="R25" s="1">
        <f t="shared" si="8"/>
        <v>0</v>
      </c>
      <c r="S25" s="29">
        <f t="shared" si="9"/>
        <v>116.66</v>
      </c>
      <c r="T25" s="1" t="str">
        <f t="shared" si="10"/>
        <v>caught</v>
      </c>
      <c r="U25" s="1" t="str">
        <f t="shared" si="12"/>
        <v>2</v>
      </c>
      <c r="V25" s="1" t="str">
        <f t="shared" si="13"/>
        <v xml:space="preserve"> Pakistan</v>
      </c>
      <c r="W25" s="1" t="str">
        <f t="shared" si="14"/>
        <v>Jamshedpur</v>
      </c>
      <c r="X25" s="1" t="str">
        <f t="shared" si="15"/>
        <v>Yes</v>
      </c>
      <c r="Y25" s="1"/>
      <c r="Z25" s="1"/>
    </row>
    <row r="26" spans="1:26" ht="14.25" customHeight="1">
      <c r="A26" s="1"/>
      <c r="B26" s="1">
        <v>7</v>
      </c>
      <c r="C26" s="1" t="s">
        <v>419</v>
      </c>
      <c r="D26" s="1" t="s">
        <v>218</v>
      </c>
      <c r="E26" s="1" t="s">
        <v>140</v>
      </c>
      <c r="F26" s="1" t="s">
        <v>130</v>
      </c>
      <c r="G26" s="1" t="s">
        <v>536</v>
      </c>
      <c r="H26" s="1" t="s">
        <v>24</v>
      </c>
      <c r="I26" s="1" t="s">
        <v>130</v>
      </c>
      <c r="J26" s="1" t="s">
        <v>156</v>
      </c>
      <c r="K26" s="1" t="s">
        <v>59</v>
      </c>
      <c r="L26" s="1"/>
      <c r="M26" s="1"/>
      <c r="N26" s="1" t="str">
        <f t="shared" si="5"/>
        <v>No</v>
      </c>
      <c r="O26" s="1">
        <f t="shared" si="11"/>
        <v>47</v>
      </c>
      <c r="P26" s="1">
        <f t="shared" si="6"/>
        <v>64</v>
      </c>
      <c r="Q26" s="1">
        <f t="shared" si="7"/>
        <v>4</v>
      </c>
      <c r="R26" s="1">
        <f t="shared" si="8"/>
        <v>1</v>
      </c>
      <c r="S26" s="29">
        <f t="shared" si="9"/>
        <v>73.430000000000007</v>
      </c>
      <c r="T26" s="1" t="str">
        <f t="shared" si="10"/>
        <v>caught</v>
      </c>
      <c r="U26" s="1" t="str">
        <f t="shared" si="12"/>
        <v>1</v>
      </c>
      <c r="V26" s="1" t="str">
        <f t="shared" si="13"/>
        <v xml:space="preserve"> Pakistan</v>
      </c>
      <c r="W26" s="1" t="str">
        <f t="shared" si="14"/>
        <v>Ahmedabad</v>
      </c>
      <c r="X26" s="1" t="str">
        <f t="shared" si="15"/>
        <v>Yes</v>
      </c>
      <c r="Y26" s="1"/>
      <c r="Z26" s="1"/>
    </row>
    <row r="27" spans="1:26" ht="14.25" customHeight="1">
      <c r="A27" s="1"/>
      <c r="B27" s="1">
        <v>8</v>
      </c>
      <c r="C27" s="1" t="s">
        <v>176</v>
      </c>
      <c r="D27" s="1" t="s">
        <v>153</v>
      </c>
      <c r="E27" s="1" t="s">
        <v>130</v>
      </c>
      <c r="F27" s="1" t="s">
        <v>131</v>
      </c>
      <c r="G27" s="1" t="s">
        <v>537</v>
      </c>
      <c r="H27" s="1" t="s">
        <v>24</v>
      </c>
      <c r="I27" s="1" t="s">
        <v>130</v>
      </c>
      <c r="J27" s="1" t="s">
        <v>156</v>
      </c>
      <c r="K27" s="1" t="s">
        <v>101</v>
      </c>
      <c r="L27" s="1"/>
      <c r="M27" s="1"/>
      <c r="N27" s="1" t="str">
        <f t="shared" si="5"/>
        <v>No</v>
      </c>
      <c r="O27" s="1">
        <f t="shared" si="11"/>
        <v>11</v>
      </c>
      <c r="P27" s="1">
        <f t="shared" si="6"/>
        <v>16</v>
      </c>
      <c r="Q27" s="1">
        <f t="shared" si="7"/>
        <v>1</v>
      </c>
      <c r="R27" s="1">
        <f t="shared" si="8"/>
        <v>0</v>
      </c>
      <c r="S27" s="29">
        <f t="shared" si="9"/>
        <v>68.75</v>
      </c>
      <c r="T27" s="1" t="str">
        <f t="shared" si="10"/>
        <v>caught</v>
      </c>
      <c r="U27" s="1" t="str">
        <f t="shared" si="12"/>
        <v>1</v>
      </c>
      <c r="V27" s="1" t="str">
        <f t="shared" si="13"/>
        <v xml:space="preserve"> Pakistan</v>
      </c>
      <c r="W27" s="1" t="str">
        <f t="shared" si="14"/>
        <v>Kanpur</v>
      </c>
      <c r="X27" s="1" t="str">
        <f t="shared" si="15"/>
        <v>Yes</v>
      </c>
      <c r="Y27" s="1"/>
      <c r="Z27" s="1"/>
    </row>
    <row r="28" spans="1:26" ht="14.25" customHeight="1">
      <c r="A28" s="1"/>
      <c r="B28" s="1">
        <v>9</v>
      </c>
      <c r="C28" s="1" t="s">
        <v>154</v>
      </c>
      <c r="D28" s="1" t="s">
        <v>139</v>
      </c>
      <c r="E28" s="1" t="s">
        <v>151</v>
      </c>
      <c r="F28" s="1" t="s">
        <v>131</v>
      </c>
      <c r="G28" s="1" t="s">
        <v>538</v>
      </c>
      <c r="H28" s="1" t="s">
        <v>24</v>
      </c>
      <c r="I28" s="1" t="s">
        <v>151</v>
      </c>
      <c r="J28" s="1" t="s">
        <v>156</v>
      </c>
      <c r="K28" s="1" t="s">
        <v>52</v>
      </c>
      <c r="L28" s="1"/>
      <c r="M28" s="1"/>
      <c r="N28" s="1" t="str">
        <f t="shared" si="5"/>
        <v>No</v>
      </c>
      <c r="O28" s="1">
        <f t="shared" si="11"/>
        <v>24</v>
      </c>
      <c r="P28" s="1">
        <f t="shared" si="6"/>
        <v>38</v>
      </c>
      <c r="Q28" s="1">
        <f t="shared" si="7"/>
        <v>2</v>
      </c>
      <c r="R28" s="1">
        <f t="shared" si="8"/>
        <v>0</v>
      </c>
      <c r="S28" s="29">
        <f t="shared" si="9"/>
        <v>63.15</v>
      </c>
      <c r="T28" s="1" t="str">
        <f t="shared" si="10"/>
        <v>caught</v>
      </c>
      <c r="U28" s="1" t="str">
        <f t="shared" si="12"/>
        <v>2</v>
      </c>
      <c r="V28" s="1" t="str">
        <f t="shared" si="13"/>
        <v xml:space="preserve"> Pakistan</v>
      </c>
      <c r="W28" s="1" t="str">
        <f t="shared" si="14"/>
        <v>Delhi</v>
      </c>
      <c r="X28" s="1" t="str">
        <f t="shared" si="15"/>
        <v>Yes</v>
      </c>
      <c r="Y28" s="1"/>
      <c r="Z28" s="1"/>
    </row>
    <row r="29" spans="1:26" ht="14.25" customHeight="1">
      <c r="A29" s="1"/>
      <c r="B29" s="1">
        <v>10</v>
      </c>
      <c r="C29" s="1" t="s">
        <v>151</v>
      </c>
      <c r="D29" s="1" t="s">
        <v>144</v>
      </c>
      <c r="E29" s="1" t="s">
        <v>131</v>
      </c>
      <c r="F29" s="1" t="s">
        <v>131</v>
      </c>
      <c r="G29" s="1" t="s">
        <v>539</v>
      </c>
      <c r="H29" s="1" t="s">
        <v>29</v>
      </c>
      <c r="I29" s="1" t="s">
        <v>130</v>
      </c>
      <c r="J29" s="1" t="s">
        <v>133</v>
      </c>
      <c r="K29" s="1" t="s">
        <v>21</v>
      </c>
      <c r="L29" s="1"/>
      <c r="M29" s="1"/>
      <c r="N29" s="1" t="str">
        <f t="shared" si="5"/>
        <v>No</v>
      </c>
      <c r="O29" s="1">
        <f t="shared" si="11"/>
        <v>2</v>
      </c>
      <c r="P29" s="1">
        <f t="shared" si="6"/>
        <v>7</v>
      </c>
      <c r="Q29" s="1">
        <f t="shared" si="7"/>
        <v>0</v>
      </c>
      <c r="R29" s="1">
        <f t="shared" si="8"/>
        <v>0</v>
      </c>
      <c r="S29" s="29">
        <f t="shared" si="9"/>
        <v>28.57</v>
      </c>
      <c r="T29" s="1" t="str">
        <f t="shared" si="10"/>
        <v>bowled</v>
      </c>
      <c r="U29" s="1" t="str">
        <f t="shared" si="12"/>
        <v>1</v>
      </c>
      <c r="V29" s="1" t="str">
        <f t="shared" si="13"/>
        <v xml:space="preserve"> Sri Lanka</v>
      </c>
      <c r="W29" s="1" t="str">
        <f t="shared" si="14"/>
        <v>Dambulla</v>
      </c>
      <c r="X29" s="1" t="str">
        <f t="shared" si="15"/>
        <v>Yes</v>
      </c>
      <c r="Y29" s="1"/>
      <c r="Z29" s="1"/>
    </row>
    <row r="30" spans="1:26" ht="14.25" customHeight="1">
      <c r="A30" s="1"/>
      <c r="B30" s="1">
        <v>11</v>
      </c>
      <c r="C30" s="1" t="s">
        <v>540</v>
      </c>
      <c r="D30" s="1" t="s">
        <v>176</v>
      </c>
      <c r="E30" s="1" t="s">
        <v>130</v>
      </c>
      <c r="F30" s="1" t="s">
        <v>130</v>
      </c>
      <c r="G30" s="1" t="s">
        <v>541</v>
      </c>
      <c r="H30" s="1" t="s">
        <v>32</v>
      </c>
      <c r="I30" s="1" t="s">
        <v>151</v>
      </c>
      <c r="J30" s="1" t="s">
        <v>163</v>
      </c>
      <c r="K30" s="1" t="s">
        <v>21</v>
      </c>
      <c r="L30" s="1"/>
      <c r="M30" s="1"/>
      <c r="N30" s="1" t="str">
        <f t="shared" si="5"/>
        <v>No</v>
      </c>
      <c r="O30" s="1">
        <f t="shared" si="11"/>
        <v>15</v>
      </c>
      <c r="P30" s="1">
        <f t="shared" si="6"/>
        <v>11</v>
      </c>
      <c r="Q30" s="1">
        <f t="shared" si="7"/>
        <v>1</v>
      </c>
      <c r="R30" s="1">
        <f t="shared" si="8"/>
        <v>1</v>
      </c>
      <c r="S30" s="29">
        <f t="shared" si="9"/>
        <v>136.36000000000001</v>
      </c>
      <c r="T30" s="1" t="str">
        <f t="shared" si="10"/>
        <v>not out</v>
      </c>
      <c r="U30" s="1" t="str">
        <f t="shared" si="12"/>
        <v>2</v>
      </c>
      <c r="V30" s="1" t="str">
        <f t="shared" si="13"/>
        <v xml:space="preserve"> West Indies</v>
      </c>
      <c r="W30" s="1" t="str">
        <f t="shared" si="14"/>
        <v>Dambulla</v>
      </c>
      <c r="X30" s="1" t="str">
        <f t="shared" si="15"/>
        <v>No</v>
      </c>
      <c r="Y30" s="1"/>
      <c r="Z30" s="1"/>
    </row>
    <row r="31" spans="1:26" ht="14.25" customHeight="1">
      <c r="A31" s="1"/>
      <c r="B31" s="1">
        <v>12</v>
      </c>
      <c r="C31" s="1" t="s">
        <v>238</v>
      </c>
      <c r="D31" s="1" t="s">
        <v>169</v>
      </c>
      <c r="E31" s="1" t="s">
        <v>130</v>
      </c>
      <c r="F31" s="1" t="s">
        <v>131</v>
      </c>
      <c r="G31" s="1" t="s">
        <v>542</v>
      </c>
      <c r="H31" s="1" t="s">
        <v>24</v>
      </c>
      <c r="I31" s="1" t="s">
        <v>130</v>
      </c>
      <c r="J31" s="1" t="s">
        <v>133</v>
      </c>
      <c r="K31" s="1" t="s">
        <v>21</v>
      </c>
      <c r="L31" s="1"/>
      <c r="M31" s="1"/>
      <c r="N31" s="1" t="str">
        <f t="shared" si="5"/>
        <v>No</v>
      </c>
      <c r="O31" s="1">
        <f t="shared" si="11"/>
        <v>20</v>
      </c>
      <c r="P31" s="1">
        <f t="shared" si="6"/>
        <v>27</v>
      </c>
      <c r="Q31" s="1">
        <f t="shared" si="7"/>
        <v>1</v>
      </c>
      <c r="R31" s="1">
        <f t="shared" si="8"/>
        <v>0</v>
      </c>
      <c r="S31" s="29">
        <f t="shared" si="9"/>
        <v>74.069999999999993</v>
      </c>
      <c r="T31" s="1" t="str">
        <f t="shared" si="10"/>
        <v>caught</v>
      </c>
      <c r="U31" s="1" t="str">
        <f t="shared" si="12"/>
        <v>1</v>
      </c>
      <c r="V31" s="1" t="str">
        <f t="shared" si="13"/>
        <v xml:space="preserve"> Sri Lanka</v>
      </c>
      <c r="W31" s="1" t="str">
        <f t="shared" si="14"/>
        <v>Dambulla</v>
      </c>
      <c r="X31" s="1" t="str">
        <f t="shared" si="15"/>
        <v>Yes</v>
      </c>
      <c r="Y31" s="1"/>
      <c r="Z31" s="1"/>
    </row>
    <row r="32" spans="1:26" ht="14.25" customHeight="1">
      <c r="A32" s="1"/>
      <c r="B32" s="1">
        <v>13</v>
      </c>
      <c r="C32" s="1" t="s">
        <v>543</v>
      </c>
      <c r="D32" s="1" t="s">
        <v>325</v>
      </c>
      <c r="E32" s="1" t="s">
        <v>130</v>
      </c>
      <c r="F32" s="1" t="s">
        <v>151</v>
      </c>
      <c r="G32" s="1" t="s">
        <v>544</v>
      </c>
      <c r="H32" s="1" t="s">
        <v>32</v>
      </c>
      <c r="I32" s="1" t="s">
        <v>130</v>
      </c>
      <c r="J32" s="1" t="s">
        <v>163</v>
      </c>
      <c r="K32" s="1" t="s">
        <v>27</v>
      </c>
      <c r="L32" s="1"/>
      <c r="M32" s="1"/>
      <c r="N32" s="1" t="str">
        <f t="shared" si="5"/>
        <v>No</v>
      </c>
      <c r="O32" s="1">
        <f t="shared" si="11"/>
        <v>28</v>
      </c>
      <c r="P32" s="1">
        <f t="shared" si="6"/>
        <v>13</v>
      </c>
      <c r="Q32" s="1">
        <f t="shared" si="7"/>
        <v>1</v>
      </c>
      <c r="R32" s="1">
        <f t="shared" si="8"/>
        <v>2</v>
      </c>
      <c r="S32" s="29">
        <f t="shared" si="9"/>
        <v>215.38</v>
      </c>
      <c r="T32" s="1" t="str">
        <f t="shared" si="10"/>
        <v>not out</v>
      </c>
      <c r="U32" s="1" t="str">
        <f t="shared" si="12"/>
        <v>1</v>
      </c>
      <c r="V32" s="1" t="str">
        <f t="shared" si="13"/>
        <v xml:space="preserve"> West Indies</v>
      </c>
      <c r="W32" s="1" t="str">
        <f t="shared" si="14"/>
        <v>Colombo (RPS)</v>
      </c>
      <c r="X32" s="1" t="str">
        <f t="shared" si="15"/>
        <v>No</v>
      </c>
      <c r="Y32" s="1"/>
      <c r="Z32" s="1"/>
    </row>
    <row r="33" spans="1:26" ht="14.25" customHeight="1">
      <c r="A33" s="1"/>
      <c r="B33" s="1">
        <v>14</v>
      </c>
      <c r="C33" s="1" t="s">
        <v>144</v>
      </c>
      <c r="D33" s="1" t="s">
        <v>176</v>
      </c>
      <c r="E33" s="1" t="s">
        <v>131</v>
      </c>
      <c r="F33" s="1" t="s">
        <v>131</v>
      </c>
      <c r="G33" s="1" t="s">
        <v>545</v>
      </c>
      <c r="H33" s="1" t="s">
        <v>19</v>
      </c>
      <c r="I33" s="1" t="s">
        <v>151</v>
      </c>
      <c r="J33" s="1" t="s">
        <v>133</v>
      </c>
      <c r="K33" s="1" t="s">
        <v>27</v>
      </c>
      <c r="L33" s="1"/>
      <c r="M33" s="1"/>
      <c r="N33" s="1" t="str">
        <f t="shared" si="5"/>
        <v>No</v>
      </c>
      <c r="O33" s="1">
        <f t="shared" si="11"/>
        <v>7</v>
      </c>
      <c r="P33" s="1">
        <f t="shared" si="6"/>
        <v>11</v>
      </c>
      <c r="Q33" s="1">
        <f t="shared" si="7"/>
        <v>0</v>
      </c>
      <c r="R33" s="1">
        <f t="shared" si="8"/>
        <v>0</v>
      </c>
      <c r="S33" s="29">
        <f t="shared" si="9"/>
        <v>63.63</v>
      </c>
      <c r="T33" s="1" t="str">
        <f t="shared" si="10"/>
        <v>lbw</v>
      </c>
      <c r="U33" s="1" t="str">
        <f t="shared" si="12"/>
        <v>2</v>
      </c>
      <c r="V33" s="1" t="str">
        <f t="shared" si="13"/>
        <v xml:space="preserve"> Sri Lanka</v>
      </c>
      <c r="W33" s="1" t="str">
        <f t="shared" si="14"/>
        <v>Colombo (RPS)</v>
      </c>
      <c r="X33" s="1" t="str">
        <f t="shared" si="15"/>
        <v>Yes</v>
      </c>
      <c r="Y33" s="1"/>
      <c r="Z33" s="1"/>
    </row>
    <row r="34" spans="1:26" ht="14.25" customHeight="1">
      <c r="A34" s="1"/>
      <c r="B34" s="1">
        <v>15</v>
      </c>
      <c r="C34" s="1" t="s">
        <v>151</v>
      </c>
      <c r="D34" s="1" t="s">
        <v>202</v>
      </c>
      <c r="E34" s="1" t="s">
        <v>131</v>
      </c>
      <c r="F34" s="1" t="s">
        <v>131</v>
      </c>
      <c r="G34" s="1" t="s">
        <v>324</v>
      </c>
      <c r="H34" s="1" t="s">
        <v>24</v>
      </c>
      <c r="I34" s="1" t="s">
        <v>151</v>
      </c>
      <c r="J34" s="1" t="s">
        <v>211</v>
      </c>
      <c r="K34" s="1" t="s">
        <v>61</v>
      </c>
      <c r="L34" s="1"/>
      <c r="M34" s="1"/>
      <c r="N34" s="1" t="str">
        <f t="shared" si="5"/>
        <v>No</v>
      </c>
      <c r="O34" s="1">
        <f t="shared" si="11"/>
        <v>2</v>
      </c>
      <c r="P34" s="1">
        <f t="shared" si="6"/>
        <v>5</v>
      </c>
      <c r="Q34" s="1">
        <f t="shared" si="7"/>
        <v>0</v>
      </c>
      <c r="R34" s="1">
        <f t="shared" si="8"/>
        <v>0</v>
      </c>
      <c r="S34" s="29">
        <f t="shared" si="9"/>
        <v>40</v>
      </c>
      <c r="T34" s="1" t="str">
        <f t="shared" si="10"/>
        <v>caught</v>
      </c>
      <c r="U34" s="1" t="str">
        <f t="shared" si="12"/>
        <v>2</v>
      </c>
      <c r="V34" s="1" t="str">
        <f t="shared" si="13"/>
        <v xml:space="preserve"> New Zealand</v>
      </c>
      <c r="W34" s="1" t="str">
        <f t="shared" si="14"/>
        <v>Bulawayo</v>
      </c>
      <c r="X34" s="1" t="str">
        <f t="shared" si="15"/>
        <v>Yes</v>
      </c>
      <c r="Y34" s="1"/>
      <c r="Z34" s="1"/>
    </row>
    <row r="35" spans="1:26" ht="14.25" customHeight="1">
      <c r="A35" s="1"/>
      <c r="B35" s="1">
        <v>16</v>
      </c>
      <c r="C35" s="1" t="s">
        <v>452</v>
      </c>
      <c r="D35" s="1" t="s">
        <v>147</v>
      </c>
      <c r="E35" s="1" t="s">
        <v>151</v>
      </c>
      <c r="F35" s="1" t="s">
        <v>140</v>
      </c>
      <c r="G35" s="1" t="s">
        <v>546</v>
      </c>
      <c r="H35" s="1" t="s">
        <v>24</v>
      </c>
      <c r="I35" s="1" t="s">
        <v>130</v>
      </c>
      <c r="J35" s="1" t="s">
        <v>195</v>
      </c>
      <c r="K35" s="1" t="s">
        <v>62</v>
      </c>
      <c r="L35" s="1"/>
      <c r="M35" s="1"/>
      <c r="N35" s="1" t="str">
        <f t="shared" si="5"/>
        <v>No</v>
      </c>
      <c r="O35" s="1">
        <f t="shared" si="11"/>
        <v>56</v>
      </c>
      <c r="P35" s="1">
        <f t="shared" si="6"/>
        <v>46</v>
      </c>
      <c r="Q35" s="1">
        <f t="shared" si="7"/>
        <v>2</v>
      </c>
      <c r="R35" s="1">
        <f t="shared" si="8"/>
        <v>4</v>
      </c>
      <c r="S35" s="29">
        <f t="shared" si="9"/>
        <v>121.73</v>
      </c>
      <c r="T35" s="1" t="str">
        <f t="shared" si="10"/>
        <v>caught</v>
      </c>
      <c r="U35" s="1" t="str">
        <f t="shared" si="12"/>
        <v>1</v>
      </c>
      <c r="V35" s="1" t="str">
        <f t="shared" si="13"/>
        <v xml:space="preserve"> Zimbabwe</v>
      </c>
      <c r="W35" s="1" t="str">
        <f t="shared" si="14"/>
        <v>Harare</v>
      </c>
      <c r="X35" s="1" t="str">
        <f t="shared" si="15"/>
        <v>Yes</v>
      </c>
      <c r="Y35" s="1"/>
      <c r="Z35" s="1"/>
    </row>
    <row r="36" spans="1:26" ht="14.25" customHeight="1">
      <c r="A36" s="1"/>
      <c r="B36" s="1">
        <v>17</v>
      </c>
      <c r="C36" s="1" t="s">
        <v>547</v>
      </c>
      <c r="D36" s="1" t="s">
        <v>169</v>
      </c>
      <c r="E36" s="1" t="s">
        <v>148</v>
      </c>
      <c r="F36" s="1" t="s">
        <v>151</v>
      </c>
      <c r="G36" s="1" t="s">
        <v>548</v>
      </c>
      <c r="H36" s="1" t="s">
        <v>32</v>
      </c>
      <c r="I36" s="1" t="s">
        <v>151</v>
      </c>
      <c r="J36" s="1" t="s">
        <v>211</v>
      </c>
      <c r="K36" s="1" t="s">
        <v>62</v>
      </c>
      <c r="L36" s="1"/>
      <c r="M36" s="1"/>
      <c r="N36" s="1" t="str">
        <f t="shared" si="5"/>
        <v>No</v>
      </c>
      <c r="O36" s="1">
        <f t="shared" si="11"/>
        <v>37</v>
      </c>
      <c r="P36" s="1">
        <f t="shared" si="6"/>
        <v>27</v>
      </c>
      <c r="Q36" s="1">
        <f t="shared" si="7"/>
        <v>3</v>
      </c>
      <c r="R36" s="1">
        <f t="shared" si="8"/>
        <v>2</v>
      </c>
      <c r="S36" s="29">
        <f t="shared" si="9"/>
        <v>137.03</v>
      </c>
      <c r="T36" s="1" t="str">
        <f t="shared" si="10"/>
        <v>not out</v>
      </c>
      <c r="U36" s="1" t="str">
        <f t="shared" si="12"/>
        <v>2</v>
      </c>
      <c r="V36" s="1" t="str">
        <f t="shared" si="13"/>
        <v xml:space="preserve"> New Zealand</v>
      </c>
      <c r="W36" s="1" t="str">
        <f t="shared" si="14"/>
        <v>Harare</v>
      </c>
      <c r="X36" s="1" t="str">
        <f t="shared" si="15"/>
        <v>No</v>
      </c>
      <c r="Y36" s="1"/>
      <c r="Z36" s="1"/>
    </row>
    <row r="37" spans="1:26" ht="14.25" customHeight="1">
      <c r="A37" s="1"/>
      <c r="B37" s="1">
        <v>18</v>
      </c>
      <c r="C37" s="1" t="s">
        <v>549</v>
      </c>
      <c r="D37" s="1" t="s">
        <v>262</v>
      </c>
      <c r="E37" s="1" t="s">
        <v>130</v>
      </c>
      <c r="F37" s="1" t="s">
        <v>148</v>
      </c>
      <c r="G37" s="1" t="s">
        <v>475</v>
      </c>
      <c r="H37" s="1" t="s">
        <v>32</v>
      </c>
      <c r="I37" s="1" t="s">
        <v>151</v>
      </c>
      <c r="J37" s="1" t="s">
        <v>195</v>
      </c>
      <c r="K37" s="1" t="s">
        <v>62</v>
      </c>
      <c r="L37" s="1"/>
      <c r="M37" s="1"/>
      <c r="N37" s="1" t="str">
        <f t="shared" si="5"/>
        <v>No</v>
      </c>
      <c r="O37" s="1">
        <f t="shared" si="11"/>
        <v>67</v>
      </c>
      <c r="P37" s="1">
        <f t="shared" si="6"/>
        <v>63</v>
      </c>
      <c r="Q37" s="1">
        <f t="shared" si="7"/>
        <v>1</v>
      </c>
      <c r="R37" s="1">
        <f t="shared" si="8"/>
        <v>3</v>
      </c>
      <c r="S37" s="29">
        <f t="shared" si="9"/>
        <v>106.34</v>
      </c>
      <c r="T37" s="1" t="str">
        <f t="shared" si="10"/>
        <v>not out</v>
      </c>
      <c r="U37" s="1" t="str">
        <f t="shared" si="12"/>
        <v>2</v>
      </c>
      <c r="V37" s="1" t="str">
        <f t="shared" si="13"/>
        <v xml:space="preserve"> Zimbabwe</v>
      </c>
      <c r="W37" s="1" t="str">
        <f t="shared" si="14"/>
        <v>Harare</v>
      </c>
      <c r="X37" s="1" t="str">
        <f t="shared" si="15"/>
        <v>No</v>
      </c>
      <c r="Y37" s="1"/>
      <c r="Z37" s="1"/>
    </row>
    <row r="38" spans="1:26" ht="14.25" customHeight="1">
      <c r="A38" s="1"/>
      <c r="B38" s="1">
        <v>19</v>
      </c>
      <c r="C38" s="1" t="s">
        <v>176</v>
      </c>
      <c r="D38" s="1" t="s">
        <v>153</v>
      </c>
      <c r="E38" s="1" t="s">
        <v>130</v>
      </c>
      <c r="F38" s="1" t="s">
        <v>131</v>
      </c>
      <c r="G38" s="1" t="s">
        <v>537</v>
      </c>
      <c r="H38" s="1" t="s">
        <v>19</v>
      </c>
      <c r="I38" s="1" t="s">
        <v>130</v>
      </c>
      <c r="J38" s="1" t="s">
        <v>211</v>
      </c>
      <c r="K38" s="1" t="s">
        <v>62</v>
      </c>
      <c r="L38" s="1"/>
      <c r="M38" s="1"/>
      <c r="N38" s="1" t="str">
        <f t="shared" si="5"/>
        <v>No</v>
      </c>
      <c r="O38" s="1">
        <f t="shared" si="11"/>
        <v>11</v>
      </c>
      <c r="P38" s="1">
        <f t="shared" si="6"/>
        <v>16</v>
      </c>
      <c r="Q38" s="1">
        <f t="shared" si="7"/>
        <v>1</v>
      </c>
      <c r="R38" s="1">
        <f t="shared" si="8"/>
        <v>0</v>
      </c>
      <c r="S38" s="29">
        <f t="shared" si="9"/>
        <v>68.75</v>
      </c>
      <c r="T38" s="1" t="str">
        <f t="shared" si="10"/>
        <v>lbw</v>
      </c>
      <c r="U38" s="1" t="str">
        <f t="shared" si="12"/>
        <v>1</v>
      </c>
      <c r="V38" s="1" t="str">
        <f t="shared" si="13"/>
        <v xml:space="preserve"> New Zealand</v>
      </c>
      <c r="W38" s="1" t="str">
        <f t="shared" si="14"/>
        <v>Harare</v>
      </c>
      <c r="X38" s="1" t="str">
        <f t="shared" si="15"/>
        <v>Yes</v>
      </c>
      <c r="Y38" s="1"/>
      <c r="Z38" s="1"/>
    </row>
    <row r="39" spans="1:26" ht="14.25" customHeight="1">
      <c r="A39" s="1"/>
      <c r="B39" s="1">
        <v>20</v>
      </c>
      <c r="C39" s="1" t="s">
        <v>139</v>
      </c>
      <c r="D39" s="1" t="s">
        <v>207</v>
      </c>
      <c r="E39" s="1" t="s">
        <v>148</v>
      </c>
      <c r="F39" s="1" t="s">
        <v>151</v>
      </c>
      <c r="G39" s="1" t="s">
        <v>550</v>
      </c>
      <c r="H39" s="1" t="s">
        <v>24</v>
      </c>
      <c r="I39" s="1" t="s">
        <v>130</v>
      </c>
      <c r="J39" s="1" t="s">
        <v>133</v>
      </c>
      <c r="K39" s="1" t="s">
        <v>50</v>
      </c>
      <c r="L39" s="1"/>
      <c r="M39" s="1"/>
      <c r="N39" s="1" t="str">
        <f t="shared" si="5"/>
        <v>No</v>
      </c>
      <c r="O39" s="1">
        <f t="shared" si="11"/>
        <v>38</v>
      </c>
      <c r="P39" s="1">
        <f t="shared" si="6"/>
        <v>28</v>
      </c>
      <c r="Q39" s="1">
        <f t="shared" si="7"/>
        <v>3</v>
      </c>
      <c r="R39" s="1">
        <f t="shared" si="8"/>
        <v>2</v>
      </c>
      <c r="S39" s="29">
        <f t="shared" si="9"/>
        <v>135.71</v>
      </c>
      <c r="T39" s="1" t="str">
        <f t="shared" si="10"/>
        <v>caught</v>
      </c>
      <c r="U39" s="1" t="str">
        <f t="shared" si="12"/>
        <v>1</v>
      </c>
      <c r="V39" s="1" t="str">
        <f t="shared" si="13"/>
        <v xml:space="preserve"> Sri Lanka</v>
      </c>
      <c r="W39" s="1" t="str">
        <f t="shared" si="14"/>
        <v>Nagpur</v>
      </c>
      <c r="X39" s="1" t="str">
        <f t="shared" si="15"/>
        <v>Yes</v>
      </c>
      <c r="Y39" s="1"/>
      <c r="Z39" s="1"/>
    </row>
    <row r="40" spans="1:26" ht="14.25" customHeight="1">
      <c r="A40" s="1"/>
      <c r="B40" s="1">
        <v>21</v>
      </c>
      <c r="C40" s="1" t="s">
        <v>57</v>
      </c>
      <c r="D40" s="1" t="s">
        <v>157</v>
      </c>
      <c r="E40" s="1" t="s">
        <v>157</v>
      </c>
      <c r="F40" s="1" t="s">
        <v>157</v>
      </c>
      <c r="G40" s="1" t="s">
        <v>157</v>
      </c>
      <c r="H40" s="1" t="s">
        <v>157</v>
      </c>
      <c r="I40" s="1" t="s">
        <v>151</v>
      </c>
      <c r="J40" s="1" t="s">
        <v>133</v>
      </c>
      <c r="K40" s="1" t="s">
        <v>46</v>
      </c>
      <c r="L40" s="1"/>
      <c r="M40" s="1"/>
      <c r="N40" s="1" t="str">
        <f t="shared" si="5"/>
        <v>Yes</v>
      </c>
      <c r="O40" s="1" t="str">
        <f t="shared" si="11"/>
        <v>NA</v>
      </c>
      <c r="P40" s="1" t="str">
        <f t="shared" si="6"/>
        <v>NA</v>
      </c>
      <c r="Q40" s="1" t="str">
        <f t="shared" si="7"/>
        <v>NA</v>
      </c>
      <c r="R40" s="1" t="str">
        <f t="shared" si="8"/>
        <v>NA</v>
      </c>
      <c r="S40" s="29" t="str">
        <f t="shared" si="9"/>
        <v>NA</v>
      </c>
      <c r="T40" s="1" t="str">
        <f t="shared" si="10"/>
        <v>NA</v>
      </c>
      <c r="U40" s="1" t="str">
        <f t="shared" si="12"/>
        <v>2</v>
      </c>
      <c r="V40" s="1" t="str">
        <f t="shared" si="13"/>
        <v xml:space="preserve"> Sri Lanka</v>
      </c>
      <c r="W40" s="1" t="str">
        <f t="shared" si="14"/>
        <v>Mohali</v>
      </c>
      <c r="X40" s="1" t="str">
        <f t="shared" si="15"/>
        <v>No</v>
      </c>
      <c r="Y40" s="1"/>
      <c r="Z40" s="1"/>
    </row>
    <row r="41" spans="1:26" ht="14.25" customHeight="1">
      <c r="A41" s="1"/>
      <c r="B41" s="1">
        <v>22</v>
      </c>
      <c r="C41" s="1" t="s">
        <v>551</v>
      </c>
      <c r="D41" s="1" t="s">
        <v>552</v>
      </c>
      <c r="E41" s="1" t="s">
        <v>283</v>
      </c>
      <c r="F41" s="1" t="s">
        <v>167</v>
      </c>
      <c r="G41" s="1" t="s">
        <v>553</v>
      </c>
      <c r="H41" s="1" t="s">
        <v>32</v>
      </c>
      <c r="I41" s="1" t="s">
        <v>151</v>
      </c>
      <c r="J41" s="1" t="s">
        <v>133</v>
      </c>
      <c r="K41" s="1" t="s">
        <v>56</v>
      </c>
      <c r="L41" s="1"/>
      <c r="M41" s="1"/>
      <c r="N41" s="1" t="str">
        <f t="shared" si="5"/>
        <v>No</v>
      </c>
      <c r="O41" s="1">
        <f t="shared" si="11"/>
        <v>183</v>
      </c>
      <c r="P41" s="1">
        <f t="shared" si="6"/>
        <v>145</v>
      </c>
      <c r="Q41" s="1">
        <f t="shared" si="7"/>
        <v>15</v>
      </c>
      <c r="R41" s="1">
        <f t="shared" si="8"/>
        <v>10</v>
      </c>
      <c r="S41" s="29">
        <f t="shared" si="9"/>
        <v>126.2</v>
      </c>
      <c r="T41" s="1" t="str">
        <f t="shared" si="10"/>
        <v>not out</v>
      </c>
      <c r="U41" s="1" t="str">
        <f t="shared" si="12"/>
        <v>2</v>
      </c>
      <c r="V41" s="1" t="str">
        <f t="shared" si="13"/>
        <v xml:space="preserve"> Sri Lanka</v>
      </c>
      <c r="W41" s="1" t="str">
        <f t="shared" si="14"/>
        <v>Jaipur</v>
      </c>
      <c r="X41" s="1" t="str">
        <f t="shared" si="15"/>
        <v>No</v>
      </c>
      <c r="Y41" s="1"/>
      <c r="Z41" s="1"/>
    </row>
    <row r="42" spans="1:26" ht="14.25" customHeight="1">
      <c r="A42" s="1"/>
      <c r="B42" s="1">
        <v>23</v>
      </c>
      <c r="C42" s="1" t="s">
        <v>554</v>
      </c>
      <c r="D42" s="1" t="s">
        <v>321</v>
      </c>
      <c r="E42" s="1" t="s">
        <v>130</v>
      </c>
      <c r="F42" s="1" t="s">
        <v>151</v>
      </c>
      <c r="G42" s="1" t="s">
        <v>555</v>
      </c>
      <c r="H42" s="1" t="s">
        <v>32</v>
      </c>
      <c r="I42" s="1" t="s">
        <v>151</v>
      </c>
      <c r="J42" s="1" t="s">
        <v>133</v>
      </c>
      <c r="K42" s="1" t="s">
        <v>100</v>
      </c>
      <c r="L42" s="1"/>
      <c r="M42" s="1"/>
      <c r="N42" s="1" t="str">
        <f t="shared" si="5"/>
        <v>No</v>
      </c>
      <c r="O42" s="1">
        <f t="shared" si="11"/>
        <v>45</v>
      </c>
      <c r="P42" s="1">
        <f t="shared" si="6"/>
        <v>43</v>
      </c>
      <c r="Q42" s="1">
        <f t="shared" si="7"/>
        <v>1</v>
      </c>
      <c r="R42" s="1">
        <f t="shared" si="8"/>
        <v>2</v>
      </c>
      <c r="S42" s="29">
        <f t="shared" si="9"/>
        <v>104.65</v>
      </c>
      <c r="T42" s="1" t="str">
        <f t="shared" si="10"/>
        <v>not out</v>
      </c>
      <c r="U42" s="1" t="str">
        <f t="shared" si="12"/>
        <v>2</v>
      </c>
      <c r="V42" s="1" t="str">
        <f t="shared" si="13"/>
        <v xml:space="preserve"> Sri Lanka</v>
      </c>
      <c r="W42" s="1" t="str">
        <f t="shared" si="14"/>
        <v>Pune</v>
      </c>
      <c r="X42" s="1" t="str">
        <f t="shared" si="15"/>
        <v>No</v>
      </c>
      <c r="Y42" s="1"/>
      <c r="Z42" s="1"/>
    </row>
    <row r="43" spans="1:26" ht="14.25" customHeight="1">
      <c r="A43" s="1"/>
      <c r="B43" s="1">
        <v>24</v>
      </c>
      <c r="C43" s="1" t="s">
        <v>131</v>
      </c>
      <c r="D43" s="1" t="s">
        <v>130</v>
      </c>
      <c r="E43" s="1" t="s">
        <v>131</v>
      </c>
      <c r="F43" s="1" t="s">
        <v>131</v>
      </c>
      <c r="G43" s="1" t="s">
        <v>210</v>
      </c>
      <c r="H43" s="1" t="s">
        <v>19</v>
      </c>
      <c r="I43" s="1" t="s">
        <v>130</v>
      </c>
      <c r="J43" s="1" t="s">
        <v>133</v>
      </c>
      <c r="K43" s="1" t="s">
        <v>59</v>
      </c>
      <c r="L43" s="1"/>
      <c r="M43" s="1"/>
      <c r="N43" s="1" t="str">
        <f t="shared" si="5"/>
        <v>No</v>
      </c>
      <c r="O43" s="1">
        <f t="shared" si="11"/>
        <v>0</v>
      </c>
      <c r="P43" s="1">
        <f t="shared" si="6"/>
        <v>1</v>
      </c>
      <c r="Q43" s="1">
        <f t="shared" si="7"/>
        <v>0</v>
      </c>
      <c r="R43" s="1">
        <f t="shared" si="8"/>
        <v>0</v>
      </c>
      <c r="S43" s="29">
        <f t="shared" si="9"/>
        <v>0</v>
      </c>
      <c r="T43" s="1" t="str">
        <f t="shared" si="10"/>
        <v>lbw</v>
      </c>
      <c r="U43" s="1" t="str">
        <f t="shared" si="12"/>
        <v>1</v>
      </c>
      <c r="V43" s="1" t="str">
        <f t="shared" si="13"/>
        <v xml:space="preserve"> Sri Lanka</v>
      </c>
      <c r="W43" s="1" t="str">
        <f t="shared" si="14"/>
        <v>Ahmedabad</v>
      </c>
      <c r="X43" s="1" t="str">
        <f t="shared" si="15"/>
        <v>Yes</v>
      </c>
      <c r="Y43" s="1"/>
      <c r="Z43" s="1"/>
    </row>
    <row r="44" spans="1:26" ht="14.25" customHeight="1">
      <c r="A44" s="1"/>
      <c r="B44" s="1">
        <v>25</v>
      </c>
      <c r="C44" s="1" t="s">
        <v>57</v>
      </c>
      <c r="D44" s="1" t="s">
        <v>157</v>
      </c>
      <c r="E44" s="1" t="s">
        <v>157</v>
      </c>
      <c r="F44" s="1" t="s">
        <v>157</v>
      </c>
      <c r="G44" s="1" t="s">
        <v>157</v>
      </c>
      <c r="H44" s="1" t="s">
        <v>157</v>
      </c>
      <c r="I44" s="1" t="s">
        <v>151</v>
      </c>
      <c r="J44" s="1" t="s">
        <v>133</v>
      </c>
      <c r="K44" s="1" t="s">
        <v>48</v>
      </c>
      <c r="L44" s="1"/>
      <c r="M44" s="1"/>
      <c r="N44" s="1" t="str">
        <f t="shared" si="5"/>
        <v>Yes</v>
      </c>
      <c r="O44" s="1" t="str">
        <f t="shared" si="11"/>
        <v>NA</v>
      </c>
      <c r="P44" s="1" t="str">
        <f t="shared" si="6"/>
        <v>NA</v>
      </c>
      <c r="Q44" s="1" t="str">
        <f t="shared" si="7"/>
        <v>NA</v>
      </c>
      <c r="R44" s="1" t="str">
        <f t="shared" si="8"/>
        <v>NA</v>
      </c>
      <c r="S44" s="29" t="str">
        <f t="shared" si="9"/>
        <v>NA</v>
      </c>
      <c r="T44" s="1" t="str">
        <f t="shared" si="10"/>
        <v>NA</v>
      </c>
      <c r="U44" s="1" t="str">
        <f t="shared" si="12"/>
        <v>2</v>
      </c>
      <c r="V44" s="1" t="str">
        <f t="shared" si="13"/>
        <v xml:space="preserve"> Sri Lanka</v>
      </c>
      <c r="W44" s="1" t="str">
        <f t="shared" si="14"/>
        <v>Rajkot</v>
      </c>
      <c r="X44" s="1" t="str">
        <f t="shared" si="15"/>
        <v>No</v>
      </c>
      <c r="Y44" s="1"/>
      <c r="Z44" s="1"/>
    </row>
    <row r="45" spans="1:26" ht="14.25" customHeight="1">
      <c r="A45" s="1"/>
      <c r="B45" s="1">
        <v>26</v>
      </c>
      <c r="C45" s="1" t="s">
        <v>276</v>
      </c>
      <c r="D45" s="1" t="s">
        <v>219</v>
      </c>
      <c r="E45" s="1" t="s">
        <v>161</v>
      </c>
      <c r="F45" s="1" t="s">
        <v>148</v>
      </c>
      <c r="G45" s="1" t="s">
        <v>556</v>
      </c>
      <c r="H45" s="1" t="s">
        <v>24</v>
      </c>
      <c r="I45" s="1" t="s">
        <v>151</v>
      </c>
      <c r="J45" s="1" t="s">
        <v>133</v>
      </c>
      <c r="K45" s="1" t="s">
        <v>44</v>
      </c>
      <c r="L45" s="1"/>
      <c r="M45" s="1"/>
      <c r="N45" s="1" t="str">
        <f t="shared" si="5"/>
        <v>No</v>
      </c>
      <c r="O45" s="1">
        <f t="shared" si="11"/>
        <v>80</v>
      </c>
      <c r="P45" s="1">
        <f t="shared" si="6"/>
        <v>73</v>
      </c>
      <c r="Q45" s="1">
        <f t="shared" si="7"/>
        <v>9</v>
      </c>
      <c r="R45" s="1">
        <f t="shared" si="8"/>
        <v>3</v>
      </c>
      <c r="S45" s="29">
        <f t="shared" si="9"/>
        <v>109.58</v>
      </c>
      <c r="T45" s="1" t="str">
        <f t="shared" si="10"/>
        <v>caught</v>
      </c>
      <c r="U45" s="1" t="str">
        <f t="shared" si="12"/>
        <v>2</v>
      </c>
      <c r="V45" s="1" t="str">
        <f t="shared" si="13"/>
        <v xml:space="preserve"> Sri Lanka</v>
      </c>
      <c r="W45" s="1" t="str">
        <f t="shared" si="14"/>
        <v>Vadodara</v>
      </c>
      <c r="X45" s="1" t="str">
        <f t="shared" si="15"/>
        <v>Yes</v>
      </c>
      <c r="Y45" s="1"/>
      <c r="Z45" s="1"/>
    </row>
    <row r="46" spans="1:26" ht="14.25" customHeight="1">
      <c r="A46" s="1"/>
      <c r="B46" s="1">
        <v>27</v>
      </c>
      <c r="C46" s="1" t="s">
        <v>306</v>
      </c>
      <c r="D46" s="1" t="s">
        <v>207</v>
      </c>
      <c r="E46" s="1" t="s">
        <v>130</v>
      </c>
      <c r="F46" s="1" t="s">
        <v>131</v>
      </c>
      <c r="G46" s="1" t="s">
        <v>557</v>
      </c>
      <c r="H46" s="1" t="s">
        <v>26</v>
      </c>
      <c r="I46" s="1" t="s">
        <v>130</v>
      </c>
      <c r="J46" s="1" t="s">
        <v>191</v>
      </c>
      <c r="K46" s="1" t="s">
        <v>85</v>
      </c>
      <c r="L46" s="1"/>
      <c r="M46" s="1"/>
      <c r="N46" s="1" t="str">
        <f t="shared" si="5"/>
        <v>No</v>
      </c>
      <c r="O46" s="1">
        <f t="shared" si="11"/>
        <v>17</v>
      </c>
      <c r="P46" s="1">
        <f t="shared" si="6"/>
        <v>28</v>
      </c>
      <c r="Q46" s="1">
        <f t="shared" si="7"/>
        <v>1</v>
      </c>
      <c r="R46" s="1">
        <f t="shared" si="8"/>
        <v>0</v>
      </c>
      <c r="S46" s="29">
        <f t="shared" si="9"/>
        <v>60.71</v>
      </c>
      <c r="T46" s="1" t="str">
        <f t="shared" si="10"/>
        <v>run out</v>
      </c>
      <c r="U46" s="1" t="str">
        <f t="shared" si="12"/>
        <v>1</v>
      </c>
      <c r="V46" s="1" t="str">
        <f t="shared" si="13"/>
        <v xml:space="preserve"> South Africa</v>
      </c>
      <c r="W46" s="1" t="str">
        <f t="shared" si="14"/>
        <v>Hyderabad</v>
      </c>
      <c r="X46" s="1" t="str">
        <f t="shared" si="15"/>
        <v>Yes</v>
      </c>
      <c r="Y46" s="1"/>
      <c r="Z46" s="1"/>
    </row>
    <row r="47" spans="1:26" ht="14.25" customHeight="1">
      <c r="A47" s="1"/>
      <c r="B47" s="1">
        <v>28</v>
      </c>
      <c r="C47" s="1" t="s">
        <v>57</v>
      </c>
      <c r="D47" s="1" t="s">
        <v>157</v>
      </c>
      <c r="E47" s="1" t="s">
        <v>157</v>
      </c>
      <c r="F47" s="1" t="s">
        <v>157</v>
      </c>
      <c r="G47" s="1" t="s">
        <v>157</v>
      </c>
      <c r="H47" s="1" t="s">
        <v>157</v>
      </c>
      <c r="I47" s="1" t="s">
        <v>151</v>
      </c>
      <c r="J47" s="1" t="s">
        <v>191</v>
      </c>
      <c r="K47" s="1" t="s">
        <v>67</v>
      </c>
      <c r="L47" s="1"/>
      <c r="M47" s="1"/>
      <c r="N47" s="1" t="str">
        <f t="shared" si="5"/>
        <v>Yes</v>
      </c>
      <c r="O47" s="1" t="str">
        <f t="shared" si="11"/>
        <v>NA</v>
      </c>
      <c r="P47" s="1" t="str">
        <f t="shared" si="6"/>
        <v>NA</v>
      </c>
      <c r="Q47" s="1" t="str">
        <f t="shared" si="7"/>
        <v>NA</v>
      </c>
      <c r="R47" s="1" t="str">
        <f t="shared" si="8"/>
        <v>NA</v>
      </c>
      <c r="S47" s="29" t="str">
        <f t="shared" si="9"/>
        <v>NA</v>
      </c>
      <c r="T47" s="1" t="str">
        <f t="shared" si="10"/>
        <v>NA</v>
      </c>
      <c r="U47" s="1" t="str">
        <f t="shared" si="12"/>
        <v>2</v>
      </c>
      <c r="V47" s="1" t="str">
        <f t="shared" si="13"/>
        <v xml:space="preserve"> South Africa</v>
      </c>
      <c r="W47" s="1" t="str">
        <f t="shared" si="14"/>
        <v>Bengaluru</v>
      </c>
      <c r="X47" s="1" t="str">
        <f t="shared" si="15"/>
        <v>No</v>
      </c>
      <c r="Y47" s="1"/>
      <c r="Z47" s="1"/>
    </row>
    <row r="48" spans="1:26" ht="14.25" customHeight="1">
      <c r="A48" s="1"/>
      <c r="B48" s="1">
        <v>29</v>
      </c>
      <c r="C48" s="1" t="s">
        <v>205</v>
      </c>
      <c r="D48" s="1" t="s">
        <v>313</v>
      </c>
      <c r="E48" s="1" t="s">
        <v>131</v>
      </c>
      <c r="F48" s="1" t="s">
        <v>131</v>
      </c>
      <c r="G48" s="1" t="s">
        <v>558</v>
      </c>
      <c r="H48" s="1" t="s">
        <v>24</v>
      </c>
      <c r="I48" s="1" t="s">
        <v>130</v>
      </c>
      <c r="J48" s="1" t="s">
        <v>191</v>
      </c>
      <c r="K48" s="1" t="s">
        <v>51</v>
      </c>
      <c r="L48" s="1"/>
      <c r="M48" s="1"/>
      <c r="N48" s="1" t="str">
        <f t="shared" si="5"/>
        <v>No</v>
      </c>
      <c r="O48" s="1">
        <f t="shared" si="11"/>
        <v>14</v>
      </c>
      <c r="P48" s="1">
        <f t="shared" si="6"/>
        <v>26</v>
      </c>
      <c r="Q48" s="1">
        <f t="shared" si="7"/>
        <v>0</v>
      </c>
      <c r="R48" s="1">
        <f t="shared" si="8"/>
        <v>0</v>
      </c>
      <c r="S48" s="29">
        <f t="shared" si="9"/>
        <v>53.84</v>
      </c>
      <c r="T48" s="1" t="str">
        <f t="shared" si="10"/>
        <v>caught</v>
      </c>
      <c r="U48" s="1" t="str">
        <f t="shared" si="12"/>
        <v>1</v>
      </c>
      <c r="V48" s="1" t="str">
        <f t="shared" si="13"/>
        <v xml:space="preserve"> South Africa</v>
      </c>
      <c r="W48" s="1" t="str">
        <f t="shared" si="14"/>
        <v>Eden Gardens</v>
      </c>
      <c r="X48" s="1" t="str">
        <f t="shared" si="15"/>
        <v>Yes</v>
      </c>
      <c r="Y48" s="1"/>
      <c r="Z48" s="1"/>
    </row>
    <row r="49" spans="1:26" ht="14.25" customHeight="1">
      <c r="A49" s="1"/>
      <c r="B49" s="1">
        <v>30</v>
      </c>
      <c r="C49" s="1" t="s">
        <v>128</v>
      </c>
      <c r="D49" s="1" t="s">
        <v>313</v>
      </c>
      <c r="E49" s="1" t="s">
        <v>130</v>
      </c>
      <c r="F49" s="1" t="s">
        <v>131</v>
      </c>
      <c r="G49" s="1" t="s">
        <v>559</v>
      </c>
      <c r="H49" s="1" t="s">
        <v>24</v>
      </c>
      <c r="I49" s="1" t="s">
        <v>151</v>
      </c>
      <c r="J49" s="1" t="s">
        <v>191</v>
      </c>
      <c r="K49" s="1" t="s">
        <v>75</v>
      </c>
      <c r="L49" s="1"/>
      <c r="M49" s="1"/>
      <c r="N49" s="1" t="str">
        <f t="shared" si="5"/>
        <v>No</v>
      </c>
      <c r="O49" s="1">
        <f t="shared" si="11"/>
        <v>12</v>
      </c>
      <c r="P49" s="1">
        <f t="shared" si="6"/>
        <v>26</v>
      </c>
      <c r="Q49" s="1">
        <f t="shared" si="7"/>
        <v>1</v>
      </c>
      <c r="R49" s="1">
        <f t="shared" si="8"/>
        <v>0</v>
      </c>
      <c r="S49" s="29">
        <f t="shared" si="9"/>
        <v>46.15</v>
      </c>
      <c r="T49" s="1" t="str">
        <f t="shared" si="10"/>
        <v>caught</v>
      </c>
      <c r="U49" s="1" t="str">
        <f t="shared" si="12"/>
        <v>2</v>
      </c>
      <c r="V49" s="1" t="str">
        <f t="shared" si="13"/>
        <v xml:space="preserve"> South Africa</v>
      </c>
      <c r="W49" s="1" t="str">
        <f t="shared" si="14"/>
        <v>Wankhede</v>
      </c>
      <c r="X49" s="1" t="str">
        <f t="shared" si="15"/>
        <v>Yes</v>
      </c>
      <c r="Y49" s="1"/>
      <c r="Z49" s="1"/>
    </row>
    <row r="50" spans="1:26" ht="14.25" customHeight="1">
      <c r="A50" s="1"/>
      <c r="B50" s="1">
        <v>31</v>
      </c>
      <c r="C50" s="1" t="s">
        <v>184</v>
      </c>
      <c r="D50" s="1" t="s">
        <v>235</v>
      </c>
      <c r="E50" s="1" t="s">
        <v>176</v>
      </c>
      <c r="F50" s="1" t="s">
        <v>130</v>
      </c>
      <c r="G50" s="1" t="s">
        <v>560</v>
      </c>
      <c r="H50" s="1" t="s">
        <v>24</v>
      </c>
      <c r="I50" s="1" t="s">
        <v>130</v>
      </c>
      <c r="J50" s="1" t="s">
        <v>156</v>
      </c>
      <c r="K50" s="1" t="s">
        <v>561</v>
      </c>
      <c r="L50" s="1"/>
      <c r="M50" s="1"/>
      <c r="N50" s="1" t="str">
        <f t="shared" si="5"/>
        <v>No</v>
      </c>
      <c r="O50" s="1">
        <f t="shared" si="11"/>
        <v>68</v>
      </c>
      <c r="P50" s="1">
        <f t="shared" si="6"/>
        <v>53</v>
      </c>
      <c r="Q50" s="1">
        <f t="shared" si="7"/>
        <v>11</v>
      </c>
      <c r="R50" s="1">
        <f t="shared" si="8"/>
        <v>1</v>
      </c>
      <c r="S50" s="29">
        <f t="shared" si="9"/>
        <v>128.30000000000001</v>
      </c>
      <c r="T50" s="1" t="str">
        <f t="shared" si="10"/>
        <v>caught</v>
      </c>
      <c r="U50" s="1" t="str">
        <f t="shared" si="12"/>
        <v>1</v>
      </c>
      <c r="V50" s="1" t="str">
        <f t="shared" si="13"/>
        <v xml:space="preserve"> Pakistan</v>
      </c>
      <c r="W50" s="1" t="str">
        <f t="shared" si="14"/>
        <v>Peshawar</v>
      </c>
      <c r="X50" s="1" t="str">
        <f t="shared" si="15"/>
        <v>Yes</v>
      </c>
      <c r="Y50" s="1"/>
      <c r="Z50" s="1"/>
    </row>
    <row r="51" spans="1:26" ht="14.25" customHeight="1">
      <c r="A51" s="1"/>
      <c r="B51" s="1">
        <v>32</v>
      </c>
      <c r="C51" s="1" t="s">
        <v>57</v>
      </c>
      <c r="D51" s="1" t="s">
        <v>157</v>
      </c>
      <c r="E51" s="1" t="s">
        <v>157</v>
      </c>
      <c r="F51" s="1" t="s">
        <v>157</v>
      </c>
      <c r="G51" s="1" t="s">
        <v>157</v>
      </c>
      <c r="H51" s="1" t="s">
        <v>157</v>
      </c>
      <c r="I51" s="1" t="s">
        <v>151</v>
      </c>
      <c r="J51" s="1" t="s">
        <v>156</v>
      </c>
      <c r="K51" s="1" t="s">
        <v>562</v>
      </c>
      <c r="L51" s="1"/>
      <c r="M51" s="1"/>
      <c r="N51" s="1" t="str">
        <f t="shared" si="5"/>
        <v>Yes</v>
      </c>
      <c r="O51" s="1" t="str">
        <f t="shared" si="11"/>
        <v>NA</v>
      </c>
      <c r="P51" s="1" t="str">
        <f t="shared" si="6"/>
        <v>NA</v>
      </c>
      <c r="Q51" s="1" t="str">
        <f t="shared" si="7"/>
        <v>NA</v>
      </c>
      <c r="R51" s="1" t="str">
        <f t="shared" si="8"/>
        <v>NA</v>
      </c>
      <c r="S51" s="29" t="str">
        <f t="shared" si="9"/>
        <v>NA</v>
      </c>
      <c r="T51" s="1" t="str">
        <f t="shared" si="10"/>
        <v>NA</v>
      </c>
      <c r="U51" s="1" t="str">
        <f t="shared" si="12"/>
        <v>2</v>
      </c>
      <c r="V51" s="1" t="str">
        <f t="shared" si="13"/>
        <v xml:space="preserve"> Pakistan</v>
      </c>
      <c r="W51" s="1" t="str">
        <f t="shared" si="14"/>
        <v>Rawalpindi</v>
      </c>
      <c r="X51" s="1" t="str">
        <f t="shared" si="15"/>
        <v>No</v>
      </c>
      <c r="Y51" s="1"/>
      <c r="Z51" s="1"/>
    </row>
    <row r="52" spans="1:26" ht="14.25" customHeight="1">
      <c r="A52" s="1"/>
      <c r="B52" s="1">
        <v>33</v>
      </c>
      <c r="C52" s="1" t="s">
        <v>563</v>
      </c>
      <c r="D52" s="1" t="s">
        <v>147</v>
      </c>
      <c r="E52" s="1" t="s">
        <v>325</v>
      </c>
      <c r="F52" s="1" t="s">
        <v>131</v>
      </c>
      <c r="G52" s="1" t="s">
        <v>564</v>
      </c>
      <c r="H52" s="1" t="s">
        <v>32</v>
      </c>
      <c r="I52" s="1" t="s">
        <v>151</v>
      </c>
      <c r="J52" s="1" t="s">
        <v>156</v>
      </c>
      <c r="K52" s="1" t="s">
        <v>565</v>
      </c>
      <c r="L52" s="1"/>
      <c r="M52" s="1"/>
      <c r="N52" s="1" t="str">
        <f t="shared" si="5"/>
        <v>No</v>
      </c>
      <c r="O52" s="1">
        <f t="shared" si="11"/>
        <v>72</v>
      </c>
      <c r="P52" s="1">
        <f t="shared" si="6"/>
        <v>46</v>
      </c>
      <c r="Q52" s="1">
        <f t="shared" si="7"/>
        <v>13</v>
      </c>
      <c r="R52" s="1">
        <f t="shared" si="8"/>
        <v>0</v>
      </c>
      <c r="S52" s="29">
        <f t="shared" si="9"/>
        <v>156.52000000000001</v>
      </c>
      <c r="T52" s="1" t="str">
        <f t="shared" si="10"/>
        <v>not out</v>
      </c>
      <c r="U52" s="1" t="str">
        <f t="shared" si="12"/>
        <v>2</v>
      </c>
      <c r="V52" s="1" t="str">
        <f t="shared" si="13"/>
        <v xml:space="preserve"> Pakistan</v>
      </c>
      <c r="W52" s="1" t="str">
        <f t="shared" si="14"/>
        <v>Lahore</v>
      </c>
      <c r="X52" s="1" t="str">
        <f t="shared" si="15"/>
        <v>No</v>
      </c>
      <c r="Y52" s="1"/>
      <c r="Z52" s="1"/>
    </row>
    <row r="53" spans="1:26" ht="14.25" customHeight="1">
      <c r="A53" s="1"/>
      <c r="B53" s="1">
        <v>34</v>
      </c>
      <c r="C53" s="1" t="s">
        <v>150</v>
      </c>
      <c r="D53" s="1" t="s">
        <v>202</v>
      </c>
      <c r="E53" s="1" t="s">
        <v>131</v>
      </c>
      <c r="F53" s="1" t="s">
        <v>131</v>
      </c>
      <c r="G53" s="1" t="s">
        <v>324</v>
      </c>
      <c r="H53" s="1" t="s">
        <v>32</v>
      </c>
      <c r="I53" s="1" t="s">
        <v>151</v>
      </c>
      <c r="J53" s="1" t="s">
        <v>156</v>
      </c>
      <c r="K53" s="1" t="s">
        <v>566</v>
      </c>
      <c r="L53" s="1"/>
      <c r="M53" s="1"/>
      <c r="N53" s="1" t="str">
        <f t="shared" si="5"/>
        <v>No</v>
      </c>
      <c r="O53" s="1">
        <f t="shared" si="11"/>
        <v>2</v>
      </c>
      <c r="P53" s="1">
        <f t="shared" si="6"/>
        <v>5</v>
      </c>
      <c r="Q53" s="1">
        <f t="shared" si="7"/>
        <v>0</v>
      </c>
      <c r="R53" s="1">
        <f t="shared" si="8"/>
        <v>0</v>
      </c>
      <c r="S53" s="29">
        <f t="shared" si="9"/>
        <v>40</v>
      </c>
      <c r="T53" s="1" t="str">
        <f t="shared" si="10"/>
        <v>not out</v>
      </c>
      <c r="U53" s="1" t="str">
        <f t="shared" si="12"/>
        <v>2</v>
      </c>
      <c r="V53" s="1" t="str">
        <f t="shared" si="13"/>
        <v xml:space="preserve"> Pakistan</v>
      </c>
      <c r="W53" s="1" t="str">
        <f t="shared" si="14"/>
        <v>Multan</v>
      </c>
      <c r="X53" s="1" t="str">
        <f t="shared" si="15"/>
        <v>No</v>
      </c>
      <c r="Y53" s="1"/>
      <c r="Z53" s="1"/>
    </row>
    <row r="54" spans="1:26" ht="14.25" customHeight="1">
      <c r="A54" s="1"/>
      <c r="B54" s="1">
        <v>35</v>
      </c>
      <c r="C54" s="1" t="s">
        <v>310</v>
      </c>
      <c r="D54" s="1" t="s">
        <v>452</v>
      </c>
      <c r="E54" s="1" t="s">
        <v>136</v>
      </c>
      <c r="F54" s="1" t="s">
        <v>140</v>
      </c>
      <c r="G54" s="1" t="s">
        <v>567</v>
      </c>
      <c r="H54" s="1" t="s">
        <v>32</v>
      </c>
      <c r="I54" s="1" t="s">
        <v>151</v>
      </c>
      <c r="J54" s="1" t="s">
        <v>156</v>
      </c>
      <c r="K54" s="1" t="s">
        <v>568</v>
      </c>
      <c r="L54" s="1"/>
      <c r="M54" s="1"/>
      <c r="N54" s="1" t="str">
        <f t="shared" si="5"/>
        <v>No</v>
      </c>
      <c r="O54" s="1">
        <f t="shared" si="11"/>
        <v>77</v>
      </c>
      <c r="P54" s="1">
        <f t="shared" si="6"/>
        <v>56</v>
      </c>
      <c r="Q54" s="1">
        <f t="shared" si="7"/>
        <v>6</v>
      </c>
      <c r="R54" s="1">
        <f t="shared" si="8"/>
        <v>4</v>
      </c>
      <c r="S54" s="29">
        <f t="shared" si="9"/>
        <v>137.5</v>
      </c>
      <c r="T54" s="1" t="str">
        <f t="shared" si="10"/>
        <v>not out</v>
      </c>
      <c r="U54" s="1" t="str">
        <f t="shared" si="12"/>
        <v>2</v>
      </c>
      <c r="V54" s="1" t="str">
        <f t="shared" si="13"/>
        <v xml:space="preserve"> Pakistan</v>
      </c>
      <c r="W54" s="1" t="str">
        <f t="shared" si="14"/>
        <v>Karachi</v>
      </c>
      <c r="X54" s="1" t="str">
        <f t="shared" si="15"/>
        <v>No</v>
      </c>
      <c r="Y54" s="1"/>
      <c r="Z54" s="1"/>
    </row>
    <row r="55" spans="1:26" ht="14.25" customHeight="1">
      <c r="A55" s="1"/>
      <c r="B55" s="1">
        <v>36</v>
      </c>
      <c r="C55" s="1" t="s">
        <v>238</v>
      </c>
      <c r="D55" s="1" t="s">
        <v>207</v>
      </c>
      <c r="E55" s="1" t="s">
        <v>151</v>
      </c>
      <c r="F55" s="1" t="s">
        <v>131</v>
      </c>
      <c r="G55" s="1" t="s">
        <v>206</v>
      </c>
      <c r="H55" s="1" t="s">
        <v>24</v>
      </c>
      <c r="I55" s="1" t="s">
        <v>130</v>
      </c>
      <c r="J55" s="1" t="s">
        <v>234</v>
      </c>
      <c r="K55" s="1" t="s">
        <v>52</v>
      </c>
      <c r="L55" s="1"/>
      <c r="M55" s="1"/>
      <c r="N55" s="1" t="str">
        <f t="shared" si="5"/>
        <v>No</v>
      </c>
      <c r="O55" s="1">
        <f t="shared" si="11"/>
        <v>20</v>
      </c>
      <c r="P55" s="1">
        <f t="shared" si="6"/>
        <v>28</v>
      </c>
      <c r="Q55" s="1">
        <f t="shared" si="7"/>
        <v>2</v>
      </c>
      <c r="R55" s="1">
        <f t="shared" si="8"/>
        <v>0</v>
      </c>
      <c r="S55" s="29">
        <f t="shared" si="9"/>
        <v>71.42</v>
      </c>
      <c r="T55" s="1" t="str">
        <f t="shared" si="10"/>
        <v>caught</v>
      </c>
      <c r="U55" s="1" t="str">
        <f t="shared" si="12"/>
        <v>1</v>
      </c>
      <c r="V55" s="1" t="str">
        <f t="shared" si="13"/>
        <v xml:space="preserve"> England</v>
      </c>
      <c r="W55" s="1" t="str">
        <f t="shared" si="14"/>
        <v>Delhi</v>
      </c>
      <c r="X55" s="1" t="str">
        <f t="shared" si="15"/>
        <v>Yes</v>
      </c>
      <c r="Y55" s="1"/>
      <c r="Z55" s="1"/>
    </row>
    <row r="56" spans="1:26" ht="14.25" customHeight="1">
      <c r="A56" s="1"/>
      <c r="B56" s="1">
        <v>37</v>
      </c>
      <c r="C56" s="1" t="s">
        <v>139</v>
      </c>
      <c r="D56" s="1" t="s">
        <v>255</v>
      </c>
      <c r="E56" s="1" t="s">
        <v>151</v>
      </c>
      <c r="F56" s="1" t="s">
        <v>131</v>
      </c>
      <c r="G56" s="1" t="s">
        <v>569</v>
      </c>
      <c r="H56" s="1" t="s">
        <v>29</v>
      </c>
      <c r="I56" s="1" t="s">
        <v>151</v>
      </c>
      <c r="J56" s="1" t="s">
        <v>234</v>
      </c>
      <c r="K56" s="1" t="s">
        <v>570</v>
      </c>
      <c r="L56" s="1"/>
      <c r="M56" s="1"/>
      <c r="N56" s="1" t="str">
        <f t="shared" si="5"/>
        <v>No</v>
      </c>
      <c r="O56" s="1">
        <f t="shared" si="11"/>
        <v>38</v>
      </c>
      <c r="P56" s="1">
        <f t="shared" si="6"/>
        <v>55</v>
      </c>
      <c r="Q56" s="1">
        <f t="shared" si="7"/>
        <v>2</v>
      </c>
      <c r="R56" s="1">
        <f t="shared" si="8"/>
        <v>0</v>
      </c>
      <c r="S56" s="29">
        <f t="shared" si="9"/>
        <v>69.09</v>
      </c>
      <c r="T56" s="1" t="str">
        <f t="shared" si="10"/>
        <v>bowled</v>
      </c>
      <c r="U56" s="1" t="str">
        <f t="shared" si="12"/>
        <v>2</v>
      </c>
      <c r="V56" s="1" t="str">
        <f t="shared" si="13"/>
        <v xml:space="preserve"> England</v>
      </c>
      <c r="W56" s="1" t="str">
        <f t="shared" si="14"/>
        <v>Faridabad</v>
      </c>
      <c r="X56" s="1" t="str">
        <f t="shared" si="15"/>
        <v>Yes</v>
      </c>
      <c r="Y56" s="1"/>
      <c r="Z56" s="1"/>
    </row>
    <row r="57" spans="1:26" ht="14.25" customHeight="1">
      <c r="A57" s="1"/>
      <c r="B57" s="1">
        <v>38</v>
      </c>
      <c r="C57" s="1" t="s">
        <v>571</v>
      </c>
      <c r="D57" s="1" t="s">
        <v>136</v>
      </c>
      <c r="E57" s="1" t="s">
        <v>130</v>
      </c>
      <c r="F57" s="1" t="s">
        <v>130</v>
      </c>
      <c r="G57" s="1" t="s">
        <v>572</v>
      </c>
      <c r="H57" s="1" t="s">
        <v>32</v>
      </c>
      <c r="I57" s="1" t="s">
        <v>130</v>
      </c>
      <c r="J57" s="1" t="s">
        <v>234</v>
      </c>
      <c r="K57" s="1" t="s">
        <v>573</v>
      </c>
      <c r="L57" s="1"/>
      <c r="M57" s="1"/>
      <c r="N57" s="1" t="str">
        <f t="shared" si="5"/>
        <v>No</v>
      </c>
      <c r="O57" s="1">
        <f t="shared" si="11"/>
        <v>13</v>
      </c>
      <c r="P57" s="1">
        <f t="shared" si="6"/>
        <v>6</v>
      </c>
      <c r="Q57" s="1">
        <f t="shared" si="7"/>
        <v>1</v>
      </c>
      <c r="R57" s="1">
        <f t="shared" si="8"/>
        <v>1</v>
      </c>
      <c r="S57" s="29">
        <f t="shared" si="9"/>
        <v>216.66</v>
      </c>
      <c r="T57" s="1" t="str">
        <f t="shared" si="10"/>
        <v>not out</v>
      </c>
      <c r="U57" s="1" t="str">
        <f t="shared" si="12"/>
        <v>1</v>
      </c>
      <c r="V57" s="1" t="str">
        <f t="shared" si="13"/>
        <v xml:space="preserve"> England</v>
      </c>
      <c r="W57" s="1" t="str">
        <f t="shared" si="14"/>
        <v>Margao</v>
      </c>
      <c r="X57" s="1" t="str">
        <f t="shared" si="15"/>
        <v>No</v>
      </c>
      <c r="Y57" s="1"/>
      <c r="Z57" s="1"/>
    </row>
    <row r="58" spans="1:26" ht="14.25" customHeight="1">
      <c r="A58" s="1"/>
      <c r="B58" s="1">
        <v>39</v>
      </c>
      <c r="C58" s="1" t="s">
        <v>574</v>
      </c>
      <c r="D58" s="1" t="s">
        <v>325</v>
      </c>
      <c r="E58" s="1" t="s">
        <v>130</v>
      </c>
      <c r="F58" s="1" t="s">
        <v>131</v>
      </c>
      <c r="G58" s="1" t="s">
        <v>575</v>
      </c>
      <c r="H58" s="1" t="s">
        <v>32</v>
      </c>
      <c r="I58" s="1" t="s">
        <v>151</v>
      </c>
      <c r="J58" s="1" t="s">
        <v>234</v>
      </c>
      <c r="K58" s="1" t="s">
        <v>96</v>
      </c>
      <c r="L58" s="1"/>
      <c r="M58" s="1"/>
      <c r="N58" s="1" t="str">
        <f t="shared" si="5"/>
        <v>No</v>
      </c>
      <c r="O58" s="1">
        <f t="shared" si="11"/>
        <v>10</v>
      </c>
      <c r="P58" s="1">
        <f t="shared" si="6"/>
        <v>13</v>
      </c>
      <c r="Q58" s="1">
        <f t="shared" si="7"/>
        <v>1</v>
      </c>
      <c r="R58" s="1">
        <f t="shared" si="8"/>
        <v>0</v>
      </c>
      <c r="S58" s="29">
        <f t="shared" si="9"/>
        <v>76.92</v>
      </c>
      <c r="T58" s="1" t="str">
        <f t="shared" si="10"/>
        <v>not out</v>
      </c>
      <c r="U58" s="1" t="str">
        <f t="shared" si="12"/>
        <v>2</v>
      </c>
      <c r="V58" s="1" t="str">
        <f t="shared" si="13"/>
        <v xml:space="preserve"> England</v>
      </c>
      <c r="W58" s="1" t="str">
        <f t="shared" si="14"/>
        <v>Kochi</v>
      </c>
      <c r="X58" s="1" t="str">
        <f t="shared" si="15"/>
        <v>No</v>
      </c>
      <c r="Y58" s="1"/>
      <c r="Z58" s="1"/>
    </row>
    <row r="59" spans="1:26" ht="14.25" customHeight="1">
      <c r="A59" s="1"/>
      <c r="B59" s="1">
        <v>40</v>
      </c>
      <c r="C59" s="1" t="s">
        <v>430</v>
      </c>
      <c r="D59" s="1" t="s">
        <v>296</v>
      </c>
      <c r="E59" s="1" t="s">
        <v>167</v>
      </c>
      <c r="F59" s="1" t="s">
        <v>148</v>
      </c>
      <c r="G59" s="1" t="s">
        <v>576</v>
      </c>
      <c r="H59" s="1" t="s">
        <v>24</v>
      </c>
      <c r="I59" s="1" t="s">
        <v>130</v>
      </c>
      <c r="J59" s="1" t="s">
        <v>234</v>
      </c>
      <c r="K59" s="1" t="s">
        <v>535</v>
      </c>
      <c r="L59" s="1"/>
      <c r="M59" s="1"/>
      <c r="N59" s="1" t="str">
        <f t="shared" si="5"/>
        <v>No</v>
      </c>
      <c r="O59" s="1">
        <f t="shared" si="11"/>
        <v>96</v>
      </c>
      <c r="P59" s="1">
        <f t="shared" si="6"/>
        <v>106</v>
      </c>
      <c r="Q59" s="1">
        <f t="shared" si="7"/>
        <v>10</v>
      </c>
      <c r="R59" s="1">
        <f t="shared" si="8"/>
        <v>3</v>
      </c>
      <c r="S59" s="29">
        <f t="shared" si="9"/>
        <v>90.56</v>
      </c>
      <c r="T59" s="1" t="str">
        <f t="shared" si="10"/>
        <v>caught</v>
      </c>
      <c r="U59" s="1" t="str">
        <f t="shared" si="12"/>
        <v>1</v>
      </c>
      <c r="V59" s="1" t="str">
        <f t="shared" si="13"/>
        <v xml:space="preserve"> England</v>
      </c>
      <c r="W59" s="1" t="str">
        <f t="shared" si="14"/>
        <v>Jamshedpur</v>
      </c>
      <c r="X59" s="1" t="str">
        <f t="shared" si="15"/>
        <v>Yes</v>
      </c>
      <c r="Y59" s="1"/>
      <c r="Z59" s="1"/>
    </row>
    <row r="60" spans="1:26" ht="14.25" customHeight="1">
      <c r="A60" s="1"/>
      <c r="B60" s="1">
        <v>41</v>
      </c>
      <c r="C60" s="1" t="s">
        <v>148</v>
      </c>
      <c r="D60" s="1" t="s">
        <v>167</v>
      </c>
      <c r="E60" s="1" t="s">
        <v>131</v>
      </c>
      <c r="F60" s="1" t="s">
        <v>131</v>
      </c>
      <c r="G60" s="1" t="s">
        <v>350</v>
      </c>
      <c r="H60" s="1" t="s">
        <v>29</v>
      </c>
      <c r="I60" s="1" t="s">
        <v>130</v>
      </c>
      <c r="J60" s="1" t="s">
        <v>156</v>
      </c>
      <c r="K60" s="1" t="s">
        <v>577</v>
      </c>
      <c r="L60" s="1"/>
      <c r="M60" s="1"/>
      <c r="N60" s="1" t="str">
        <f t="shared" si="5"/>
        <v>No</v>
      </c>
      <c r="O60" s="1">
        <f t="shared" si="11"/>
        <v>3</v>
      </c>
      <c r="P60" s="1">
        <f t="shared" si="6"/>
        <v>10</v>
      </c>
      <c r="Q60" s="1">
        <f t="shared" si="7"/>
        <v>0</v>
      </c>
      <c r="R60" s="1">
        <f t="shared" si="8"/>
        <v>0</v>
      </c>
      <c r="S60" s="29">
        <f t="shared" si="9"/>
        <v>30</v>
      </c>
      <c r="T60" s="1" t="str">
        <f t="shared" si="10"/>
        <v>bowled</v>
      </c>
      <c r="U60" s="1" t="str">
        <f t="shared" si="12"/>
        <v>1</v>
      </c>
      <c r="V60" s="1" t="str">
        <f t="shared" si="13"/>
        <v xml:space="preserve"> Pakistan</v>
      </c>
      <c r="W60" s="1" t="str">
        <f t="shared" si="14"/>
        <v>Abu Dhabi</v>
      </c>
      <c r="X60" s="1" t="str">
        <f t="shared" si="15"/>
        <v>Yes</v>
      </c>
      <c r="Y60" s="1"/>
      <c r="Z60" s="1"/>
    </row>
    <row r="61" spans="1:26" ht="14.25" customHeight="1">
      <c r="A61" s="1"/>
      <c r="B61" s="1">
        <v>42</v>
      </c>
      <c r="C61" s="1" t="s">
        <v>241</v>
      </c>
      <c r="D61" s="1" t="s">
        <v>454</v>
      </c>
      <c r="E61" s="1" t="s">
        <v>202</v>
      </c>
      <c r="F61" s="1" t="s">
        <v>131</v>
      </c>
      <c r="G61" s="1" t="s">
        <v>578</v>
      </c>
      <c r="H61" s="1" t="s">
        <v>29</v>
      </c>
      <c r="I61" s="1" t="s">
        <v>130</v>
      </c>
      <c r="J61" s="1" t="s">
        <v>156</v>
      </c>
      <c r="K61" s="1" t="s">
        <v>577</v>
      </c>
      <c r="L61" s="1"/>
      <c r="M61" s="1"/>
      <c r="N61" s="1" t="str">
        <f t="shared" si="5"/>
        <v>No</v>
      </c>
      <c r="O61" s="1">
        <f t="shared" si="11"/>
        <v>59</v>
      </c>
      <c r="P61" s="1">
        <f t="shared" si="6"/>
        <v>72</v>
      </c>
      <c r="Q61" s="1">
        <f t="shared" si="7"/>
        <v>5</v>
      </c>
      <c r="R61" s="1">
        <f t="shared" si="8"/>
        <v>0</v>
      </c>
      <c r="S61" s="29">
        <f t="shared" si="9"/>
        <v>81.94</v>
      </c>
      <c r="T61" s="1" t="str">
        <f t="shared" si="10"/>
        <v>bowled</v>
      </c>
      <c r="U61" s="1" t="str">
        <f t="shared" si="12"/>
        <v>1</v>
      </c>
      <c r="V61" s="1" t="str">
        <f t="shared" si="13"/>
        <v xml:space="preserve"> Pakistan</v>
      </c>
      <c r="W61" s="1" t="str">
        <f t="shared" si="14"/>
        <v>Abu Dhabi</v>
      </c>
      <c r="X61" s="1" t="str">
        <f t="shared" si="15"/>
        <v>Yes</v>
      </c>
      <c r="Y61" s="1"/>
      <c r="Z61" s="1"/>
    </row>
    <row r="62" spans="1:26" ht="14.25" customHeight="1">
      <c r="A62" s="1"/>
      <c r="B62" s="1">
        <v>43</v>
      </c>
      <c r="C62" s="1" t="s">
        <v>199</v>
      </c>
      <c r="D62" s="1" t="s">
        <v>176</v>
      </c>
      <c r="E62" s="1" t="s">
        <v>151</v>
      </c>
      <c r="F62" s="1" t="s">
        <v>130</v>
      </c>
      <c r="G62" s="1" t="s">
        <v>579</v>
      </c>
      <c r="H62" s="1" t="s">
        <v>24</v>
      </c>
      <c r="I62" s="1" t="s">
        <v>151</v>
      </c>
      <c r="J62" s="1" t="s">
        <v>163</v>
      </c>
      <c r="K62" s="1" t="s">
        <v>78</v>
      </c>
      <c r="L62" s="1"/>
      <c r="M62" s="1"/>
      <c r="N62" s="1" t="str">
        <f t="shared" si="5"/>
        <v>No</v>
      </c>
      <c r="O62" s="1">
        <f t="shared" si="11"/>
        <v>18</v>
      </c>
      <c r="P62" s="1">
        <f t="shared" si="6"/>
        <v>11</v>
      </c>
      <c r="Q62" s="1">
        <f t="shared" si="7"/>
        <v>2</v>
      </c>
      <c r="R62" s="1">
        <f t="shared" si="8"/>
        <v>1</v>
      </c>
      <c r="S62" s="29">
        <f t="shared" si="9"/>
        <v>163.63</v>
      </c>
      <c r="T62" s="1" t="str">
        <f t="shared" si="10"/>
        <v>caught</v>
      </c>
      <c r="U62" s="1" t="str">
        <f t="shared" si="12"/>
        <v>2</v>
      </c>
      <c r="V62" s="1" t="str">
        <f t="shared" si="13"/>
        <v xml:space="preserve"> West Indies</v>
      </c>
      <c r="W62" s="1" t="str">
        <f t="shared" si="14"/>
        <v>Kingston</v>
      </c>
      <c r="X62" s="1" t="str">
        <f t="shared" si="15"/>
        <v>Yes</v>
      </c>
      <c r="Y62" s="1"/>
      <c r="Z62" s="1"/>
    </row>
    <row r="63" spans="1:26" ht="14.25" customHeight="1">
      <c r="A63" s="1"/>
      <c r="B63" s="1">
        <v>44</v>
      </c>
      <c r="C63" s="1" t="s">
        <v>151</v>
      </c>
      <c r="D63" s="1" t="s">
        <v>144</v>
      </c>
      <c r="E63" s="1" t="s">
        <v>131</v>
      </c>
      <c r="F63" s="1" t="s">
        <v>131</v>
      </c>
      <c r="G63" s="1" t="s">
        <v>539</v>
      </c>
      <c r="H63" s="1" t="s">
        <v>29</v>
      </c>
      <c r="I63" s="1" t="s">
        <v>151</v>
      </c>
      <c r="J63" s="1" t="s">
        <v>163</v>
      </c>
      <c r="K63" s="1" t="s">
        <v>78</v>
      </c>
      <c r="L63" s="1"/>
      <c r="M63" s="1"/>
      <c r="N63" s="1" t="str">
        <f t="shared" si="5"/>
        <v>No</v>
      </c>
      <c r="O63" s="1">
        <f t="shared" si="11"/>
        <v>2</v>
      </c>
      <c r="P63" s="1">
        <f t="shared" si="6"/>
        <v>7</v>
      </c>
      <c r="Q63" s="1">
        <f t="shared" si="7"/>
        <v>0</v>
      </c>
      <c r="R63" s="1">
        <f t="shared" si="8"/>
        <v>0</v>
      </c>
      <c r="S63" s="29">
        <f t="shared" si="9"/>
        <v>28.57</v>
      </c>
      <c r="T63" s="1" t="str">
        <f t="shared" si="10"/>
        <v>bowled</v>
      </c>
      <c r="U63" s="1" t="str">
        <f t="shared" si="12"/>
        <v>2</v>
      </c>
      <c r="V63" s="1" t="str">
        <f t="shared" si="13"/>
        <v xml:space="preserve"> West Indies</v>
      </c>
      <c r="W63" s="1" t="str">
        <f t="shared" si="14"/>
        <v>Kingston</v>
      </c>
      <c r="X63" s="1" t="str">
        <f t="shared" si="15"/>
        <v>Yes</v>
      </c>
      <c r="Y63" s="1"/>
      <c r="Z63" s="1"/>
    </row>
    <row r="64" spans="1:26" ht="14.25" customHeight="1">
      <c r="A64" s="1"/>
      <c r="B64" s="1">
        <v>45</v>
      </c>
      <c r="C64" s="1" t="s">
        <v>283</v>
      </c>
      <c r="D64" s="1" t="s">
        <v>313</v>
      </c>
      <c r="E64" s="1" t="s">
        <v>130</v>
      </c>
      <c r="F64" s="1" t="s">
        <v>131</v>
      </c>
      <c r="G64" s="1" t="s">
        <v>580</v>
      </c>
      <c r="H64" s="1" t="s">
        <v>26</v>
      </c>
      <c r="I64" s="1" t="s">
        <v>130</v>
      </c>
      <c r="J64" s="1" t="s">
        <v>163</v>
      </c>
      <c r="K64" s="1" t="s">
        <v>581</v>
      </c>
      <c r="L64" s="1"/>
      <c r="M64" s="1"/>
      <c r="N64" s="1" t="str">
        <f t="shared" si="5"/>
        <v>No</v>
      </c>
      <c r="O64" s="1">
        <f t="shared" si="11"/>
        <v>15</v>
      </c>
      <c r="P64" s="1">
        <f t="shared" si="6"/>
        <v>26</v>
      </c>
      <c r="Q64" s="1">
        <f t="shared" si="7"/>
        <v>1</v>
      </c>
      <c r="R64" s="1">
        <f t="shared" si="8"/>
        <v>0</v>
      </c>
      <c r="S64" s="29">
        <f t="shared" si="9"/>
        <v>57.69</v>
      </c>
      <c r="T64" s="1" t="str">
        <f t="shared" si="10"/>
        <v>run out</v>
      </c>
      <c r="U64" s="1" t="str">
        <f t="shared" si="12"/>
        <v>1</v>
      </c>
      <c r="V64" s="1" t="str">
        <f t="shared" si="13"/>
        <v xml:space="preserve"> West Indies</v>
      </c>
      <c r="W64" s="1" t="str">
        <f t="shared" si="14"/>
        <v>Basseterre</v>
      </c>
      <c r="X64" s="1" t="str">
        <f t="shared" si="15"/>
        <v>Yes</v>
      </c>
      <c r="Y64" s="1"/>
      <c r="Z64" s="1"/>
    </row>
    <row r="65" spans="1:26" ht="14.25" customHeight="1">
      <c r="A65" s="1"/>
      <c r="B65" s="1">
        <v>46</v>
      </c>
      <c r="C65" s="1" t="s">
        <v>442</v>
      </c>
      <c r="D65" s="1" t="s">
        <v>582</v>
      </c>
      <c r="E65" s="1" t="s">
        <v>136</v>
      </c>
      <c r="F65" s="1" t="s">
        <v>131</v>
      </c>
      <c r="G65" s="1" t="s">
        <v>583</v>
      </c>
      <c r="H65" s="1" t="s">
        <v>32</v>
      </c>
      <c r="I65" s="1" t="s">
        <v>130</v>
      </c>
      <c r="J65" s="1" t="s">
        <v>163</v>
      </c>
      <c r="K65" s="1" t="s">
        <v>76</v>
      </c>
      <c r="L65" s="1"/>
      <c r="M65" s="1"/>
      <c r="N65" s="1" t="str">
        <f t="shared" si="5"/>
        <v>No</v>
      </c>
      <c r="O65" s="1">
        <f t="shared" si="11"/>
        <v>46</v>
      </c>
      <c r="P65" s="1">
        <f t="shared" si="6"/>
        <v>58</v>
      </c>
      <c r="Q65" s="1">
        <f t="shared" si="7"/>
        <v>6</v>
      </c>
      <c r="R65" s="1">
        <f t="shared" si="8"/>
        <v>0</v>
      </c>
      <c r="S65" s="29">
        <f t="shared" si="9"/>
        <v>79.31</v>
      </c>
      <c r="T65" s="1" t="str">
        <f t="shared" si="10"/>
        <v>not out</v>
      </c>
      <c r="U65" s="1" t="str">
        <f t="shared" si="12"/>
        <v>1</v>
      </c>
      <c r="V65" s="1" t="str">
        <f t="shared" si="13"/>
        <v xml:space="preserve"> West Indies</v>
      </c>
      <c r="W65" s="1" t="str">
        <f t="shared" si="14"/>
        <v>Port of Spain</v>
      </c>
      <c r="X65" s="1" t="str">
        <f t="shared" si="15"/>
        <v>No</v>
      </c>
      <c r="Y65" s="1"/>
      <c r="Z65" s="1"/>
    </row>
    <row r="66" spans="1:26" ht="14.25" customHeight="1">
      <c r="A66" s="1"/>
      <c r="B66" s="1">
        <v>47</v>
      </c>
      <c r="C66" s="1" t="s">
        <v>205</v>
      </c>
      <c r="D66" s="1" t="s">
        <v>170</v>
      </c>
      <c r="E66" s="1" t="s">
        <v>151</v>
      </c>
      <c r="F66" s="1" t="s">
        <v>131</v>
      </c>
      <c r="G66" s="1" t="s">
        <v>522</v>
      </c>
      <c r="H66" s="1" t="s">
        <v>29</v>
      </c>
      <c r="I66" s="1" t="s">
        <v>151</v>
      </c>
      <c r="J66" s="1" t="s">
        <v>163</v>
      </c>
      <c r="K66" s="1" t="s">
        <v>76</v>
      </c>
      <c r="L66" s="1"/>
      <c r="M66" s="1"/>
      <c r="N66" s="1" t="str">
        <f t="shared" si="5"/>
        <v>No</v>
      </c>
      <c r="O66" s="1">
        <f t="shared" si="11"/>
        <v>14</v>
      </c>
      <c r="P66" s="1">
        <f t="shared" si="6"/>
        <v>19</v>
      </c>
      <c r="Q66" s="1">
        <f t="shared" si="7"/>
        <v>2</v>
      </c>
      <c r="R66" s="1">
        <f t="shared" si="8"/>
        <v>0</v>
      </c>
      <c r="S66" s="29">
        <f t="shared" si="9"/>
        <v>73.680000000000007</v>
      </c>
      <c r="T66" s="1" t="str">
        <f t="shared" si="10"/>
        <v>bowled</v>
      </c>
      <c r="U66" s="1" t="str">
        <f t="shared" si="12"/>
        <v>2</v>
      </c>
      <c r="V66" s="1" t="str">
        <f t="shared" si="13"/>
        <v xml:space="preserve"> West Indies</v>
      </c>
      <c r="W66" s="1" t="str">
        <f t="shared" si="14"/>
        <v>Port of Spain</v>
      </c>
      <c r="X66" s="1" t="str">
        <f t="shared" si="15"/>
        <v>Yes</v>
      </c>
      <c r="Y66" s="1"/>
      <c r="Z66" s="1"/>
    </row>
    <row r="67" spans="1:26" ht="14.25" customHeight="1">
      <c r="A67" s="1"/>
      <c r="B67" s="1">
        <v>48</v>
      </c>
      <c r="C67" s="1" t="s">
        <v>57</v>
      </c>
      <c r="D67" s="1" t="s">
        <v>157</v>
      </c>
      <c r="E67" s="1" t="s">
        <v>157</v>
      </c>
      <c r="F67" s="1" t="s">
        <v>157</v>
      </c>
      <c r="G67" s="1" t="s">
        <v>157</v>
      </c>
      <c r="H67" s="1" t="s">
        <v>157</v>
      </c>
      <c r="I67" s="1" t="s">
        <v>130</v>
      </c>
      <c r="J67" s="1" t="s">
        <v>133</v>
      </c>
      <c r="K67" s="1" t="s">
        <v>584</v>
      </c>
      <c r="L67" s="1"/>
      <c r="M67" s="1"/>
      <c r="N67" s="1" t="str">
        <f t="shared" si="5"/>
        <v>Yes</v>
      </c>
      <c r="O67" s="1" t="str">
        <f t="shared" si="11"/>
        <v>NA</v>
      </c>
      <c r="P67" s="1" t="str">
        <f t="shared" si="6"/>
        <v>NA</v>
      </c>
      <c r="Q67" s="1" t="str">
        <f t="shared" si="7"/>
        <v>NA</v>
      </c>
      <c r="R67" s="1" t="str">
        <f t="shared" si="8"/>
        <v>NA</v>
      </c>
      <c r="S67" s="29" t="str">
        <f t="shared" si="9"/>
        <v>NA</v>
      </c>
      <c r="T67" s="1" t="str">
        <f t="shared" si="10"/>
        <v>NA</v>
      </c>
      <c r="U67" s="1" t="str">
        <f t="shared" si="12"/>
        <v>1</v>
      </c>
      <c r="V67" s="1" t="str">
        <f t="shared" si="13"/>
        <v xml:space="preserve"> Sri Lanka</v>
      </c>
      <c r="W67" s="1" t="str">
        <f t="shared" si="14"/>
        <v>Colombo (SSC)</v>
      </c>
      <c r="X67" s="1" t="str">
        <f t="shared" si="15"/>
        <v>No</v>
      </c>
      <c r="Y67" s="1"/>
      <c r="Z67" s="1"/>
    </row>
    <row r="68" spans="1:26" ht="14.25" customHeight="1">
      <c r="A68" s="1"/>
      <c r="B68" s="1">
        <v>49</v>
      </c>
      <c r="C68" s="1" t="s">
        <v>151</v>
      </c>
      <c r="D68" s="1" t="s">
        <v>167</v>
      </c>
      <c r="E68" s="1" t="s">
        <v>131</v>
      </c>
      <c r="F68" s="1" t="s">
        <v>131</v>
      </c>
      <c r="G68" s="1" t="s">
        <v>299</v>
      </c>
      <c r="H68" s="1" t="s">
        <v>29</v>
      </c>
      <c r="I68" s="1" t="s">
        <v>130</v>
      </c>
      <c r="J68" s="1" t="s">
        <v>163</v>
      </c>
      <c r="K68" s="1" t="s">
        <v>585</v>
      </c>
      <c r="L68" s="1"/>
      <c r="M68" s="1"/>
      <c r="N68" s="1" t="str">
        <f t="shared" si="5"/>
        <v>No</v>
      </c>
      <c r="O68" s="1">
        <f t="shared" si="11"/>
        <v>2</v>
      </c>
      <c r="P68" s="1">
        <f t="shared" si="6"/>
        <v>10</v>
      </c>
      <c r="Q68" s="1">
        <f t="shared" si="7"/>
        <v>0</v>
      </c>
      <c r="R68" s="1">
        <f t="shared" si="8"/>
        <v>0</v>
      </c>
      <c r="S68" s="29">
        <f t="shared" si="9"/>
        <v>20</v>
      </c>
      <c r="T68" s="1" t="str">
        <f t="shared" si="10"/>
        <v>bowled</v>
      </c>
      <c r="U68" s="1" t="str">
        <f t="shared" si="12"/>
        <v>1</v>
      </c>
      <c r="V68" s="1" t="str">
        <f t="shared" si="13"/>
        <v xml:space="preserve"> West Indies</v>
      </c>
      <c r="W68" s="1" t="str">
        <f t="shared" si="14"/>
        <v>Kuala Lumpur</v>
      </c>
      <c r="X68" s="1" t="str">
        <f t="shared" si="15"/>
        <v>Yes</v>
      </c>
      <c r="Y68" s="1"/>
      <c r="Z68" s="1"/>
    </row>
    <row r="69" spans="1:26" ht="14.25" customHeight="1">
      <c r="A69" s="1"/>
      <c r="B69" s="1">
        <v>50</v>
      </c>
      <c r="C69" s="1" t="s">
        <v>57</v>
      </c>
      <c r="D69" s="1" t="s">
        <v>157</v>
      </c>
      <c r="E69" s="1" t="s">
        <v>157</v>
      </c>
      <c r="F69" s="1" t="s">
        <v>157</v>
      </c>
      <c r="G69" s="1" t="s">
        <v>157</v>
      </c>
      <c r="H69" s="1" t="s">
        <v>157</v>
      </c>
      <c r="I69" s="1" t="s">
        <v>151</v>
      </c>
      <c r="J69" s="1" t="s">
        <v>158</v>
      </c>
      <c r="K69" s="1" t="s">
        <v>585</v>
      </c>
      <c r="L69" s="1"/>
      <c r="M69" s="1"/>
      <c r="N69" s="1" t="str">
        <f t="shared" si="5"/>
        <v>Yes</v>
      </c>
      <c r="O69" s="1" t="str">
        <f t="shared" si="11"/>
        <v>NA</v>
      </c>
      <c r="P69" s="1" t="str">
        <f t="shared" si="6"/>
        <v>NA</v>
      </c>
      <c r="Q69" s="1" t="str">
        <f t="shared" si="7"/>
        <v>NA</v>
      </c>
      <c r="R69" s="1" t="str">
        <f t="shared" si="8"/>
        <v>NA</v>
      </c>
      <c r="S69" s="29" t="str">
        <f t="shared" si="9"/>
        <v>NA</v>
      </c>
      <c r="T69" s="1" t="str">
        <f t="shared" si="10"/>
        <v>NA</v>
      </c>
      <c r="U69" s="1" t="str">
        <f t="shared" si="12"/>
        <v>2</v>
      </c>
      <c r="V69" s="1" t="str">
        <f t="shared" si="13"/>
        <v xml:space="preserve"> Australia</v>
      </c>
      <c r="W69" s="1" t="str">
        <f t="shared" si="14"/>
        <v>Kuala Lumpur</v>
      </c>
      <c r="X69" s="1" t="str">
        <f t="shared" si="15"/>
        <v>No</v>
      </c>
      <c r="Y69" s="1"/>
      <c r="Z69" s="1"/>
    </row>
    <row r="70" spans="1:26" ht="14.25" customHeight="1">
      <c r="A70" s="1"/>
      <c r="B70" s="1">
        <v>51</v>
      </c>
      <c r="C70" s="1" t="s">
        <v>199</v>
      </c>
      <c r="D70" s="1" t="s">
        <v>325</v>
      </c>
      <c r="E70" s="1" t="s">
        <v>140</v>
      </c>
      <c r="F70" s="1" t="s">
        <v>131</v>
      </c>
      <c r="G70" s="1" t="s">
        <v>586</v>
      </c>
      <c r="H70" s="1" t="s">
        <v>29</v>
      </c>
      <c r="I70" s="1" t="s">
        <v>130</v>
      </c>
      <c r="J70" s="1" t="s">
        <v>163</v>
      </c>
      <c r="K70" s="1" t="s">
        <v>585</v>
      </c>
      <c r="L70" s="1"/>
      <c r="M70" s="1"/>
      <c r="N70" s="1" t="str">
        <f t="shared" si="5"/>
        <v>No</v>
      </c>
      <c r="O70" s="1">
        <f t="shared" si="11"/>
        <v>18</v>
      </c>
      <c r="P70" s="1">
        <f t="shared" si="6"/>
        <v>13</v>
      </c>
      <c r="Q70" s="1">
        <f t="shared" si="7"/>
        <v>4</v>
      </c>
      <c r="R70" s="1">
        <f t="shared" si="8"/>
        <v>0</v>
      </c>
      <c r="S70" s="29">
        <f t="shared" si="9"/>
        <v>138.46</v>
      </c>
      <c r="T70" s="1" t="str">
        <f t="shared" si="10"/>
        <v>bowled</v>
      </c>
      <c r="U70" s="1" t="str">
        <f t="shared" si="12"/>
        <v>1</v>
      </c>
      <c r="V70" s="1" t="str">
        <f t="shared" si="13"/>
        <v xml:space="preserve"> West Indies</v>
      </c>
      <c r="W70" s="1" t="str">
        <f t="shared" si="14"/>
        <v>Kuala Lumpur</v>
      </c>
      <c r="X70" s="1" t="str">
        <f t="shared" si="15"/>
        <v>Yes</v>
      </c>
      <c r="Y70" s="1"/>
      <c r="Z70" s="1"/>
    </row>
    <row r="71" spans="1:26" ht="14.25" customHeight="1">
      <c r="A71" s="1"/>
      <c r="B71" s="1">
        <v>52</v>
      </c>
      <c r="C71" s="1" t="s">
        <v>304</v>
      </c>
      <c r="D71" s="1" t="s">
        <v>208</v>
      </c>
      <c r="E71" s="1" t="s">
        <v>131</v>
      </c>
      <c r="F71" s="1" t="s">
        <v>130</v>
      </c>
      <c r="G71" s="1" t="s">
        <v>587</v>
      </c>
      <c r="H71" s="1" t="s">
        <v>24</v>
      </c>
      <c r="I71" s="1" t="s">
        <v>151</v>
      </c>
      <c r="J71" s="1" t="s">
        <v>158</v>
      </c>
      <c r="K71" s="1" t="s">
        <v>585</v>
      </c>
      <c r="L71" s="1"/>
      <c r="M71" s="1"/>
      <c r="N71" s="1" t="str">
        <f t="shared" si="5"/>
        <v>No</v>
      </c>
      <c r="O71" s="1">
        <f t="shared" si="11"/>
        <v>23</v>
      </c>
      <c r="P71" s="1">
        <f t="shared" si="6"/>
        <v>34</v>
      </c>
      <c r="Q71" s="1">
        <f t="shared" si="7"/>
        <v>0</v>
      </c>
      <c r="R71" s="1">
        <f t="shared" si="8"/>
        <v>1</v>
      </c>
      <c r="S71" s="29">
        <f t="shared" si="9"/>
        <v>67.64</v>
      </c>
      <c r="T71" s="1" t="str">
        <f t="shared" si="10"/>
        <v>caught</v>
      </c>
      <c r="U71" s="1" t="str">
        <f t="shared" si="12"/>
        <v>2</v>
      </c>
      <c r="V71" s="1" t="str">
        <f t="shared" si="13"/>
        <v xml:space="preserve"> Australia</v>
      </c>
      <c r="W71" s="1" t="str">
        <f t="shared" si="14"/>
        <v>Kuala Lumpur</v>
      </c>
      <c r="X71" s="1" t="str">
        <f t="shared" si="15"/>
        <v>Yes</v>
      </c>
      <c r="Y71" s="1"/>
      <c r="Z71" s="1"/>
    </row>
    <row r="72" spans="1:26" ht="14.25" customHeight="1">
      <c r="A72" s="1"/>
      <c r="B72" s="1">
        <v>53</v>
      </c>
      <c r="C72" s="1" t="s">
        <v>144</v>
      </c>
      <c r="D72" s="1" t="s">
        <v>129</v>
      </c>
      <c r="E72" s="1" t="s">
        <v>131</v>
      </c>
      <c r="F72" s="1" t="s">
        <v>131</v>
      </c>
      <c r="G72" s="1" t="s">
        <v>588</v>
      </c>
      <c r="H72" s="1" t="s">
        <v>24</v>
      </c>
      <c r="I72" s="1" t="s">
        <v>151</v>
      </c>
      <c r="J72" s="1" t="s">
        <v>234</v>
      </c>
      <c r="K72" s="1" t="s">
        <v>56</v>
      </c>
      <c r="L72" s="1"/>
      <c r="M72" s="1"/>
      <c r="N72" s="1" t="str">
        <f t="shared" si="5"/>
        <v>No</v>
      </c>
      <c r="O72" s="1">
        <f t="shared" si="11"/>
        <v>7</v>
      </c>
      <c r="P72" s="1">
        <f t="shared" si="6"/>
        <v>22</v>
      </c>
      <c r="Q72" s="1">
        <f t="shared" si="7"/>
        <v>0</v>
      </c>
      <c r="R72" s="1">
        <f t="shared" si="8"/>
        <v>0</v>
      </c>
      <c r="S72" s="29">
        <f t="shared" si="9"/>
        <v>31.81</v>
      </c>
      <c r="T72" s="1" t="str">
        <f t="shared" si="10"/>
        <v>caught</v>
      </c>
      <c r="U72" s="1" t="str">
        <f t="shared" si="12"/>
        <v>2</v>
      </c>
      <c r="V72" s="1" t="str">
        <f t="shared" si="13"/>
        <v xml:space="preserve"> England</v>
      </c>
      <c r="W72" s="1" t="str">
        <f t="shared" si="14"/>
        <v>Jaipur</v>
      </c>
      <c r="X72" s="1" t="str">
        <f t="shared" si="15"/>
        <v>Yes</v>
      </c>
      <c r="Y72" s="1"/>
      <c r="Z72" s="1"/>
    </row>
    <row r="73" spans="1:26" ht="14.25" customHeight="1">
      <c r="A73" s="1"/>
      <c r="B73" s="1">
        <v>54</v>
      </c>
      <c r="C73" s="1" t="s">
        <v>356</v>
      </c>
      <c r="D73" s="1" t="s">
        <v>172</v>
      </c>
      <c r="E73" s="1" t="s">
        <v>130</v>
      </c>
      <c r="F73" s="1" t="s">
        <v>151</v>
      </c>
      <c r="G73" s="1" t="s">
        <v>589</v>
      </c>
      <c r="H73" s="1" t="s">
        <v>26</v>
      </c>
      <c r="I73" s="1" t="s">
        <v>130</v>
      </c>
      <c r="J73" s="1" t="s">
        <v>163</v>
      </c>
      <c r="K73" s="1" t="s">
        <v>59</v>
      </c>
      <c r="L73" s="1"/>
      <c r="M73" s="1"/>
      <c r="N73" s="1" t="str">
        <f t="shared" si="5"/>
        <v>No</v>
      </c>
      <c r="O73" s="1">
        <f t="shared" si="11"/>
        <v>51</v>
      </c>
      <c r="P73" s="1">
        <f t="shared" si="6"/>
        <v>65</v>
      </c>
      <c r="Q73" s="1">
        <f t="shared" si="7"/>
        <v>1</v>
      </c>
      <c r="R73" s="1">
        <f t="shared" si="8"/>
        <v>2</v>
      </c>
      <c r="S73" s="29">
        <f t="shared" si="9"/>
        <v>78.459999999999994</v>
      </c>
      <c r="T73" s="1" t="str">
        <f t="shared" si="10"/>
        <v>run out</v>
      </c>
      <c r="U73" s="1" t="str">
        <f t="shared" si="12"/>
        <v>1</v>
      </c>
      <c r="V73" s="1" t="str">
        <f t="shared" si="13"/>
        <v xml:space="preserve"> West Indies</v>
      </c>
      <c r="W73" s="1" t="str">
        <f t="shared" si="14"/>
        <v>Ahmedabad</v>
      </c>
      <c r="X73" s="1" t="str">
        <f t="shared" si="15"/>
        <v>Yes</v>
      </c>
      <c r="Y73" s="1"/>
      <c r="Z73" s="1"/>
    </row>
    <row r="74" spans="1:26" ht="14.25" customHeight="1">
      <c r="A74" s="1"/>
      <c r="B74" s="1">
        <v>55</v>
      </c>
      <c r="C74" s="1" t="s">
        <v>207</v>
      </c>
      <c r="D74" s="1" t="s">
        <v>304</v>
      </c>
      <c r="E74" s="1" t="s">
        <v>151</v>
      </c>
      <c r="F74" s="1" t="s">
        <v>131</v>
      </c>
      <c r="G74" s="1" t="s">
        <v>546</v>
      </c>
      <c r="H74" s="1" t="s">
        <v>19</v>
      </c>
      <c r="I74" s="1" t="s">
        <v>130</v>
      </c>
      <c r="J74" s="1" t="s">
        <v>158</v>
      </c>
      <c r="K74" s="1" t="s">
        <v>46</v>
      </c>
      <c r="L74" s="1"/>
      <c r="M74" s="1"/>
      <c r="N74" s="1" t="str">
        <f t="shared" si="5"/>
        <v>No</v>
      </c>
      <c r="O74" s="1">
        <f t="shared" si="11"/>
        <v>28</v>
      </c>
      <c r="P74" s="1">
        <f t="shared" si="6"/>
        <v>23</v>
      </c>
      <c r="Q74" s="1">
        <f t="shared" si="7"/>
        <v>2</v>
      </c>
      <c r="R74" s="1">
        <f t="shared" si="8"/>
        <v>0</v>
      </c>
      <c r="S74" s="29">
        <f t="shared" si="9"/>
        <v>121.73</v>
      </c>
      <c r="T74" s="1" t="str">
        <f t="shared" si="10"/>
        <v>lbw</v>
      </c>
      <c r="U74" s="1" t="str">
        <f t="shared" si="12"/>
        <v>1</v>
      </c>
      <c r="V74" s="1" t="str">
        <f t="shared" si="13"/>
        <v xml:space="preserve"> Australia</v>
      </c>
      <c r="W74" s="1" t="str">
        <f t="shared" si="14"/>
        <v>Mohali</v>
      </c>
      <c r="X74" s="1" t="str">
        <f t="shared" si="15"/>
        <v>Yes</v>
      </c>
      <c r="Y74" s="1"/>
      <c r="Z74" s="1"/>
    </row>
    <row r="75" spans="1:26" ht="14.25" customHeight="1">
      <c r="A75" s="1"/>
      <c r="B75" s="1">
        <v>56</v>
      </c>
      <c r="C75" s="1" t="s">
        <v>205</v>
      </c>
      <c r="D75" s="1" t="s">
        <v>169</v>
      </c>
      <c r="E75" s="1" t="s">
        <v>148</v>
      </c>
      <c r="F75" s="1" t="s">
        <v>131</v>
      </c>
      <c r="G75" s="1" t="s">
        <v>590</v>
      </c>
      <c r="H75" s="1" t="s">
        <v>24</v>
      </c>
      <c r="I75" s="1" t="s">
        <v>151</v>
      </c>
      <c r="J75" s="1" t="s">
        <v>191</v>
      </c>
      <c r="K75" s="1" t="s">
        <v>69</v>
      </c>
      <c r="L75" s="1"/>
      <c r="M75" s="1"/>
      <c r="N75" s="1" t="str">
        <f t="shared" si="5"/>
        <v>No</v>
      </c>
      <c r="O75" s="1">
        <f t="shared" si="11"/>
        <v>14</v>
      </c>
      <c r="P75" s="1">
        <f t="shared" si="6"/>
        <v>27</v>
      </c>
      <c r="Q75" s="1">
        <f t="shared" si="7"/>
        <v>3</v>
      </c>
      <c r="R75" s="1">
        <f t="shared" si="8"/>
        <v>0</v>
      </c>
      <c r="S75" s="29">
        <f t="shared" si="9"/>
        <v>51.85</v>
      </c>
      <c r="T75" s="1" t="str">
        <f t="shared" si="10"/>
        <v>caught</v>
      </c>
      <c r="U75" s="1" t="str">
        <f t="shared" si="12"/>
        <v>2</v>
      </c>
      <c r="V75" s="1" t="str">
        <f t="shared" si="13"/>
        <v xml:space="preserve"> South Africa</v>
      </c>
      <c r="W75" s="1" t="str">
        <f t="shared" si="14"/>
        <v>Durban</v>
      </c>
      <c r="X75" s="1" t="str">
        <f t="shared" si="15"/>
        <v>Yes</v>
      </c>
      <c r="Y75" s="1"/>
      <c r="Z75" s="1"/>
    </row>
    <row r="76" spans="1:26" ht="14.25" customHeight="1">
      <c r="A76" s="1"/>
      <c r="B76" s="1">
        <v>57</v>
      </c>
      <c r="C76" s="1" t="s">
        <v>255</v>
      </c>
      <c r="D76" s="1" t="s">
        <v>355</v>
      </c>
      <c r="E76" s="1" t="s">
        <v>148</v>
      </c>
      <c r="F76" s="1" t="s">
        <v>140</v>
      </c>
      <c r="G76" s="1" t="s">
        <v>591</v>
      </c>
      <c r="H76" s="1" t="s">
        <v>24</v>
      </c>
      <c r="I76" s="1" t="s">
        <v>151</v>
      </c>
      <c r="J76" s="1" t="s">
        <v>191</v>
      </c>
      <c r="K76" s="1" t="s">
        <v>70</v>
      </c>
      <c r="L76" s="1"/>
      <c r="M76" s="1"/>
      <c r="N76" s="1" t="str">
        <f t="shared" si="5"/>
        <v>No</v>
      </c>
      <c r="O76" s="1">
        <f t="shared" si="11"/>
        <v>55</v>
      </c>
      <c r="P76" s="1">
        <f t="shared" si="6"/>
        <v>48</v>
      </c>
      <c r="Q76" s="1">
        <f t="shared" si="7"/>
        <v>3</v>
      </c>
      <c r="R76" s="1">
        <f t="shared" si="8"/>
        <v>4</v>
      </c>
      <c r="S76" s="29">
        <f t="shared" si="9"/>
        <v>114.58</v>
      </c>
      <c r="T76" s="1" t="str">
        <f t="shared" si="10"/>
        <v>caught</v>
      </c>
      <c r="U76" s="1" t="str">
        <f t="shared" si="12"/>
        <v>2</v>
      </c>
      <c r="V76" s="1" t="str">
        <f t="shared" si="13"/>
        <v xml:space="preserve"> South Africa</v>
      </c>
      <c r="W76" s="1" t="str">
        <f t="shared" si="14"/>
        <v>Cape Town</v>
      </c>
      <c r="X76" s="1" t="str">
        <f t="shared" si="15"/>
        <v>Yes</v>
      </c>
      <c r="Y76" s="1"/>
      <c r="Z76" s="1"/>
    </row>
    <row r="77" spans="1:26" ht="14.25" customHeight="1">
      <c r="A77" s="1"/>
      <c r="B77" s="1">
        <v>58</v>
      </c>
      <c r="C77" s="1" t="s">
        <v>313</v>
      </c>
      <c r="D77" s="1" t="s">
        <v>246</v>
      </c>
      <c r="E77" s="1" t="s">
        <v>140</v>
      </c>
      <c r="F77" s="1" t="s">
        <v>130</v>
      </c>
      <c r="G77" s="1" t="s">
        <v>592</v>
      </c>
      <c r="H77" s="1" t="s">
        <v>24</v>
      </c>
      <c r="I77" s="1" t="s">
        <v>151</v>
      </c>
      <c r="J77" s="1" t="s">
        <v>191</v>
      </c>
      <c r="K77" s="1" t="s">
        <v>71</v>
      </c>
      <c r="L77" s="1"/>
      <c r="M77" s="1"/>
      <c r="N77" s="1" t="str">
        <f t="shared" si="5"/>
        <v>No</v>
      </c>
      <c r="O77" s="1">
        <f t="shared" si="11"/>
        <v>26</v>
      </c>
      <c r="P77" s="1">
        <f t="shared" si="6"/>
        <v>21</v>
      </c>
      <c r="Q77" s="1">
        <f t="shared" si="7"/>
        <v>4</v>
      </c>
      <c r="R77" s="1">
        <f t="shared" si="8"/>
        <v>1</v>
      </c>
      <c r="S77" s="29">
        <f t="shared" si="9"/>
        <v>123.8</v>
      </c>
      <c r="T77" s="1" t="str">
        <f t="shared" si="10"/>
        <v>caught</v>
      </c>
      <c r="U77" s="1" t="str">
        <f t="shared" si="12"/>
        <v>2</v>
      </c>
      <c r="V77" s="1" t="str">
        <f t="shared" si="13"/>
        <v xml:space="preserve"> South Africa</v>
      </c>
      <c r="W77" s="1" t="str">
        <f t="shared" si="14"/>
        <v>Gqeberha</v>
      </c>
      <c r="X77" s="1" t="str">
        <f t="shared" si="15"/>
        <v>Yes</v>
      </c>
      <c r="Y77" s="1"/>
      <c r="Z77" s="1"/>
    </row>
    <row r="78" spans="1:26" ht="14.25" customHeight="1">
      <c r="A78" s="1"/>
      <c r="B78" s="1">
        <v>59</v>
      </c>
      <c r="C78" s="1" t="s">
        <v>369</v>
      </c>
      <c r="D78" s="1" t="s">
        <v>249</v>
      </c>
      <c r="E78" s="1" t="s">
        <v>151</v>
      </c>
      <c r="F78" s="1" t="s">
        <v>151</v>
      </c>
      <c r="G78" s="1" t="s">
        <v>593</v>
      </c>
      <c r="H78" s="1" t="s">
        <v>24</v>
      </c>
      <c r="I78" s="1" t="s">
        <v>130</v>
      </c>
      <c r="J78" s="1" t="s">
        <v>191</v>
      </c>
      <c r="K78" s="1" t="s">
        <v>36</v>
      </c>
      <c r="L78" s="1"/>
      <c r="M78" s="1"/>
      <c r="N78" s="1" t="str">
        <f t="shared" si="5"/>
        <v>No</v>
      </c>
      <c r="O78" s="1">
        <f t="shared" si="11"/>
        <v>44</v>
      </c>
      <c r="P78" s="1">
        <f t="shared" si="6"/>
        <v>49</v>
      </c>
      <c r="Q78" s="1">
        <f t="shared" si="7"/>
        <v>2</v>
      </c>
      <c r="R78" s="1">
        <f t="shared" si="8"/>
        <v>2</v>
      </c>
      <c r="S78" s="29">
        <f t="shared" si="9"/>
        <v>89.79</v>
      </c>
      <c r="T78" s="1" t="str">
        <f t="shared" si="10"/>
        <v>caught</v>
      </c>
      <c r="U78" s="1" t="str">
        <f t="shared" si="12"/>
        <v>1</v>
      </c>
      <c r="V78" s="1" t="str">
        <f t="shared" si="13"/>
        <v xml:space="preserve"> South Africa</v>
      </c>
      <c r="W78" s="1" t="str">
        <f t="shared" si="14"/>
        <v>Centurion</v>
      </c>
      <c r="X78" s="1" t="str">
        <f t="shared" si="15"/>
        <v>Yes</v>
      </c>
      <c r="Y78" s="1"/>
      <c r="Z78" s="1"/>
    </row>
    <row r="79" spans="1:26" ht="14.25" customHeight="1">
      <c r="A79" s="1"/>
      <c r="B79" s="1">
        <v>60</v>
      </c>
      <c r="C79" s="1" t="s">
        <v>594</v>
      </c>
      <c r="D79" s="1" t="s">
        <v>386</v>
      </c>
      <c r="E79" s="1" t="s">
        <v>148</v>
      </c>
      <c r="F79" s="1" t="s">
        <v>140</v>
      </c>
      <c r="G79" s="1" t="s">
        <v>595</v>
      </c>
      <c r="H79" s="1" t="s">
        <v>32</v>
      </c>
      <c r="I79" s="1" t="s">
        <v>130</v>
      </c>
      <c r="J79" s="1" t="s">
        <v>163</v>
      </c>
      <c r="K79" s="1" t="s">
        <v>50</v>
      </c>
      <c r="L79" s="1"/>
      <c r="M79" s="1"/>
      <c r="N79" s="1" t="str">
        <f t="shared" si="5"/>
        <v>No</v>
      </c>
      <c r="O79" s="1">
        <f t="shared" si="11"/>
        <v>62</v>
      </c>
      <c r="P79" s="1">
        <f t="shared" si="6"/>
        <v>42</v>
      </c>
      <c r="Q79" s="1">
        <f t="shared" si="7"/>
        <v>3</v>
      </c>
      <c r="R79" s="1">
        <f t="shared" si="8"/>
        <v>4</v>
      </c>
      <c r="S79" s="29">
        <f t="shared" si="9"/>
        <v>147.61000000000001</v>
      </c>
      <c r="T79" s="1" t="str">
        <f t="shared" si="10"/>
        <v>not out</v>
      </c>
      <c r="U79" s="1" t="str">
        <f t="shared" si="12"/>
        <v>1</v>
      </c>
      <c r="V79" s="1" t="str">
        <f t="shared" si="13"/>
        <v xml:space="preserve"> West Indies</v>
      </c>
      <c r="W79" s="1" t="str">
        <f t="shared" si="14"/>
        <v>Nagpur</v>
      </c>
      <c r="X79" s="1" t="str">
        <f t="shared" si="15"/>
        <v>No</v>
      </c>
      <c r="Y79" s="1"/>
      <c r="Z79" s="1"/>
    </row>
    <row r="80" spans="1:26" ht="14.25" customHeight="1">
      <c r="A80" s="1"/>
      <c r="B80" s="1">
        <v>61</v>
      </c>
      <c r="C80" s="1" t="s">
        <v>136</v>
      </c>
      <c r="D80" s="1" t="s">
        <v>170</v>
      </c>
      <c r="E80" s="1" t="s">
        <v>131</v>
      </c>
      <c r="F80" s="1" t="s">
        <v>131</v>
      </c>
      <c r="G80" s="1" t="s">
        <v>596</v>
      </c>
      <c r="H80" s="1" t="s">
        <v>24</v>
      </c>
      <c r="I80" s="1" t="s">
        <v>130</v>
      </c>
      <c r="J80" s="1" t="s">
        <v>163</v>
      </c>
      <c r="K80" s="1" t="s">
        <v>86</v>
      </c>
      <c r="L80" s="1"/>
      <c r="M80" s="1"/>
      <c r="N80" s="1" t="str">
        <f t="shared" si="5"/>
        <v>No</v>
      </c>
      <c r="O80" s="1">
        <f t="shared" si="11"/>
        <v>6</v>
      </c>
      <c r="P80" s="1">
        <f t="shared" si="6"/>
        <v>19</v>
      </c>
      <c r="Q80" s="1">
        <f t="shared" si="7"/>
        <v>0</v>
      </c>
      <c r="R80" s="1">
        <f t="shared" si="8"/>
        <v>0</v>
      </c>
      <c r="S80" s="29">
        <f t="shared" si="9"/>
        <v>31.57</v>
      </c>
      <c r="T80" s="1" t="str">
        <f t="shared" si="10"/>
        <v>caught</v>
      </c>
      <c r="U80" s="1" t="str">
        <f t="shared" si="12"/>
        <v>1</v>
      </c>
      <c r="V80" s="1" t="str">
        <f t="shared" si="13"/>
        <v xml:space="preserve"> West Indies</v>
      </c>
      <c r="W80" s="1" t="str">
        <f t="shared" si="14"/>
        <v>Cuttack</v>
      </c>
      <c r="X80" s="1" t="str">
        <f t="shared" si="15"/>
        <v>Yes</v>
      </c>
      <c r="Y80" s="1"/>
      <c r="Z80" s="1"/>
    </row>
    <row r="81" spans="1:26" ht="14.25" customHeight="1">
      <c r="A81" s="1"/>
      <c r="B81" s="1">
        <v>62</v>
      </c>
      <c r="C81" s="1" t="s">
        <v>597</v>
      </c>
      <c r="D81" s="1" t="s">
        <v>238</v>
      </c>
      <c r="E81" s="1" t="s">
        <v>130</v>
      </c>
      <c r="F81" s="1" t="s">
        <v>148</v>
      </c>
      <c r="G81" s="1" t="s">
        <v>427</v>
      </c>
      <c r="H81" s="1" t="s">
        <v>32</v>
      </c>
      <c r="I81" s="1" t="s">
        <v>130</v>
      </c>
      <c r="J81" s="1" t="s">
        <v>163</v>
      </c>
      <c r="K81" s="1" t="s">
        <v>44</v>
      </c>
      <c r="L81" s="1"/>
      <c r="M81" s="1"/>
      <c r="N81" s="1" t="str">
        <f t="shared" si="5"/>
        <v>No</v>
      </c>
      <c r="O81" s="1">
        <f t="shared" si="11"/>
        <v>40</v>
      </c>
      <c r="P81" s="1">
        <f t="shared" si="6"/>
        <v>20</v>
      </c>
      <c r="Q81" s="1">
        <f t="shared" si="7"/>
        <v>1</v>
      </c>
      <c r="R81" s="1">
        <f t="shared" si="8"/>
        <v>3</v>
      </c>
      <c r="S81" s="29">
        <f t="shared" si="9"/>
        <v>200</v>
      </c>
      <c r="T81" s="1" t="str">
        <f t="shared" si="10"/>
        <v>not out</v>
      </c>
      <c r="U81" s="1" t="str">
        <f t="shared" si="12"/>
        <v>1</v>
      </c>
      <c r="V81" s="1" t="str">
        <f t="shared" si="13"/>
        <v xml:space="preserve"> West Indies</v>
      </c>
      <c r="W81" s="1" t="str">
        <f t="shared" si="14"/>
        <v>Vadodara</v>
      </c>
      <c r="X81" s="1" t="str">
        <f t="shared" si="15"/>
        <v>No</v>
      </c>
      <c r="Y81" s="1"/>
      <c r="Z81" s="1"/>
    </row>
    <row r="82" spans="1:26" ht="14.25" customHeight="1">
      <c r="A82" s="1"/>
      <c r="B82" s="1">
        <v>63</v>
      </c>
      <c r="C82" s="1" t="s">
        <v>38</v>
      </c>
      <c r="D82" s="1" t="s">
        <v>157</v>
      </c>
      <c r="E82" s="1" t="s">
        <v>157</v>
      </c>
      <c r="F82" s="1" t="s">
        <v>157</v>
      </c>
      <c r="G82" s="1" t="s">
        <v>157</v>
      </c>
      <c r="H82" s="1" t="s">
        <v>157</v>
      </c>
      <c r="I82" s="1" t="s">
        <v>157</v>
      </c>
      <c r="J82" s="1" t="s">
        <v>133</v>
      </c>
      <c r="K82" s="1" t="s">
        <v>51</v>
      </c>
      <c r="L82" s="1"/>
      <c r="M82" s="1"/>
      <c r="N82" s="1" t="str">
        <f t="shared" si="5"/>
        <v>Yes</v>
      </c>
      <c r="O82" s="1" t="str">
        <f t="shared" si="11"/>
        <v>NA</v>
      </c>
      <c r="P82" s="1" t="str">
        <f t="shared" si="6"/>
        <v>NA</v>
      </c>
      <c r="Q82" s="1" t="str">
        <f t="shared" si="7"/>
        <v>NA</v>
      </c>
      <c r="R82" s="1" t="str">
        <f t="shared" si="8"/>
        <v>NA</v>
      </c>
      <c r="S82" s="29" t="str">
        <f t="shared" si="9"/>
        <v>NA</v>
      </c>
      <c r="T82" s="1" t="str">
        <f t="shared" si="10"/>
        <v>NA</v>
      </c>
      <c r="U82" s="1" t="str">
        <f t="shared" si="12"/>
        <v>-</v>
      </c>
      <c r="V82" s="1" t="str">
        <f t="shared" si="13"/>
        <v xml:space="preserve"> Sri Lanka</v>
      </c>
      <c r="W82" s="1" t="str">
        <f t="shared" si="14"/>
        <v>Eden Gardens</v>
      </c>
      <c r="X82" s="1" t="str">
        <f t="shared" si="15"/>
        <v>No</v>
      </c>
      <c r="Y82" s="1"/>
      <c r="Z82" s="1"/>
    </row>
    <row r="83" spans="1:26" ht="14.25" customHeight="1">
      <c r="A83" s="1"/>
      <c r="B83" s="1">
        <v>64</v>
      </c>
      <c r="C83" s="1" t="s">
        <v>355</v>
      </c>
      <c r="D83" s="1" t="s">
        <v>184</v>
      </c>
      <c r="E83" s="1" t="s">
        <v>130</v>
      </c>
      <c r="F83" s="1" t="s">
        <v>131</v>
      </c>
      <c r="G83" s="1" t="s">
        <v>598</v>
      </c>
      <c r="H83" s="1" t="s">
        <v>24</v>
      </c>
      <c r="I83" s="1" t="s">
        <v>151</v>
      </c>
      <c r="J83" s="1" t="s">
        <v>133</v>
      </c>
      <c r="K83" s="1" t="s">
        <v>48</v>
      </c>
      <c r="L83" s="1"/>
      <c r="M83" s="1"/>
      <c r="N83" s="1" t="str">
        <f t="shared" si="5"/>
        <v>No</v>
      </c>
      <c r="O83" s="1">
        <f t="shared" si="11"/>
        <v>48</v>
      </c>
      <c r="P83" s="1">
        <f t="shared" si="6"/>
        <v>68</v>
      </c>
      <c r="Q83" s="1">
        <f t="shared" si="7"/>
        <v>1</v>
      </c>
      <c r="R83" s="1">
        <f t="shared" si="8"/>
        <v>0</v>
      </c>
      <c r="S83" s="29">
        <f t="shared" si="9"/>
        <v>70.58</v>
      </c>
      <c r="T83" s="1" t="str">
        <f t="shared" si="10"/>
        <v>caught</v>
      </c>
      <c r="U83" s="1" t="str">
        <f t="shared" si="12"/>
        <v>2</v>
      </c>
      <c r="V83" s="1" t="str">
        <f t="shared" si="13"/>
        <v xml:space="preserve"> Sri Lanka</v>
      </c>
      <c r="W83" s="1" t="str">
        <f t="shared" si="14"/>
        <v>Rajkot</v>
      </c>
      <c r="X83" s="1" t="str">
        <f t="shared" si="15"/>
        <v>Yes</v>
      </c>
      <c r="Y83" s="1"/>
      <c r="Z83" s="1"/>
    </row>
    <row r="84" spans="1:26" ht="14.25" customHeight="1">
      <c r="A84" s="1"/>
      <c r="B84" s="1">
        <v>65</v>
      </c>
      <c r="C84" s="1" t="s">
        <v>549</v>
      </c>
      <c r="D84" s="1" t="s">
        <v>466</v>
      </c>
      <c r="E84" s="1" t="s">
        <v>140</v>
      </c>
      <c r="F84" s="1" t="s">
        <v>131</v>
      </c>
      <c r="G84" s="1" t="s">
        <v>599</v>
      </c>
      <c r="H84" s="1" t="s">
        <v>32</v>
      </c>
      <c r="I84" s="1" t="s">
        <v>151</v>
      </c>
      <c r="J84" s="1" t="s">
        <v>133</v>
      </c>
      <c r="K84" s="1" t="s">
        <v>573</v>
      </c>
      <c r="L84" s="1"/>
      <c r="M84" s="1"/>
      <c r="N84" s="1" t="str">
        <f t="shared" ref="N84:N147" si="16">IF(OR(C84="DNB",C84="TDNB"),"Yes","No")</f>
        <v>No</v>
      </c>
      <c r="O84" s="1">
        <f t="shared" si="11"/>
        <v>67</v>
      </c>
      <c r="P84" s="1">
        <f t="shared" ref="P84:P147" si="17">IF(D84="-","NA",D84*1)</f>
        <v>74</v>
      </c>
      <c r="Q84" s="1">
        <f t="shared" ref="Q84:Q147" si="18">IF(E84="-","NA",E84*1)</f>
        <v>4</v>
      </c>
      <c r="R84" s="1">
        <f t="shared" ref="R84:R147" si="19">IF(F84="-","NA",F84*1)</f>
        <v>0</v>
      </c>
      <c r="S84" s="29">
        <f t="shared" ref="S84:S147" si="20">IF(G84="-","NA",G84*1)</f>
        <v>90.54</v>
      </c>
      <c r="T84" s="1" t="str">
        <f t="shared" ref="T84:T147" si="21">IF(H84="-","NA",H84)</f>
        <v>not out</v>
      </c>
      <c r="U84" s="1" t="str">
        <f t="shared" si="12"/>
        <v>2</v>
      </c>
      <c r="V84" s="1" t="str">
        <f t="shared" si="13"/>
        <v xml:space="preserve"> Sri Lanka</v>
      </c>
      <c r="W84" s="1" t="str">
        <f t="shared" si="14"/>
        <v>Margao</v>
      </c>
      <c r="X84" s="1" t="str">
        <f t="shared" si="15"/>
        <v>No</v>
      </c>
      <c r="Y84" s="1"/>
      <c r="Z84" s="1"/>
    </row>
    <row r="85" spans="1:26" ht="14.25" customHeight="1">
      <c r="A85" s="1"/>
      <c r="B85" s="1">
        <v>66</v>
      </c>
      <c r="C85" s="1" t="s">
        <v>57</v>
      </c>
      <c r="D85" s="1" t="s">
        <v>157</v>
      </c>
      <c r="E85" s="1" t="s">
        <v>157</v>
      </c>
      <c r="F85" s="1" t="s">
        <v>157</v>
      </c>
      <c r="G85" s="1" t="s">
        <v>157</v>
      </c>
      <c r="H85" s="1" t="s">
        <v>157</v>
      </c>
      <c r="I85" s="1" t="s">
        <v>151</v>
      </c>
      <c r="J85" s="1" t="s">
        <v>133</v>
      </c>
      <c r="K85" s="1" t="s">
        <v>65</v>
      </c>
      <c r="L85" s="1"/>
      <c r="M85" s="1"/>
      <c r="N85" s="1" t="str">
        <f t="shared" si="16"/>
        <v>Yes</v>
      </c>
      <c r="O85" s="1" t="str">
        <f t="shared" ref="O85:O148" si="22">IF(N85="Yes", "NA",SUBSTITUTE(C85,"*","")*1)</f>
        <v>NA</v>
      </c>
      <c r="P85" s="1" t="str">
        <f t="shared" si="17"/>
        <v>NA</v>
      </c>
      <c r="Q85" s="1" t="str">
        <f t="shared" si="18"/>
        <v>NA</v>
      </c>
      <c r="R85" s="1" t="str">
        <f t="shared" si="19"/>
        <v>NA</v>
      </c>
      <c r="S85" s="29" t="str">
        <f t="shared" si="20"/>
        <v>NA</v>
      </c>
      <c r="T85" s="1" t="str">
        <f t="shared" si="21"/>
        <v>NA</v>
      </c>
      <c r="U85" s="1" t="str">
        <f t="shared" ref="U85:U148" si="23">I85</f>
        <v>2</v>
      </c>
      <c r="V85" s="1" t="str">
        <f t="shared" ref="V85:V148" si="24">SUBSTITUTE(J85,"v","")</f>
        <v xml:space="preserve"> Sri Lanka</v>
      </c>
      <c r="W85" s="1" t="str">
        <f t="shared" ref="W85:W148" si="25">K85</f>
        <v>Visakhapatnam</v>
      </c>
      <c r="X85" s="1" t="str">
        <f t="shared" ref="X85:X148" si="26">IF(N85="Yes","No",IF(T85="not out","No","Yes"))</f>
        <v>No</v>
      </c>
      <c r="Y85" s="1"/>
      <c r="Z85" s="1"/>
    </row>
    <row r="86" spans="1:26" ht="14.25" customHeight="1">
      <c r="A86" s="1"/>
      <c r="B86" s="1">
        <v>67</v>
      </c>
      <c r="C86" s="1" t="s">
        <v>131</v>
      </c>
      <c r="D86" s="1" t="s">
        <v>148</v>
      </c>
      <c r="E86" s="1" t="s">
        <v>131</v>
      </c>
      <c r="F86" s="1" t="s">
        <v>131</v>
      </c>
      <c r="G86" s="1" t="s">
        <v>210</v>
      </c>
      <c r="H86" s="1" t="s">
        <v>24</v>
      </c>
      <c r="I86" s="1" t="s">
        <v>130</v>
      </c>
      <c r="J86" s="1" t="s">
        <v>182</v>
      </c>
      <c r="K86" s="1" t="s">
        <v>76</v>
      </c>
      <c r="L86" s="1"/>
      <c r="M86" s="1"/>
      <c r="N86" s="1" t="str">
        <f t="shared" si="16"/>
        <v>No</v>
      </c>
      <c r="O86" s="1">
        <f t="shared" si="22"/>
        <v>0</v>
      </c>
      <c r="P86" s="1">
        <f t="shared" si="17"/>
        <v>3</v>
      </c>
      <c r="Q86" s="1">
        <f t="shared" si="18"/>
        <v>0</v>
      </c>
      <c r="R86" s="1">
        <f t="shared" si="19"/>
        <v>0</v>
      </c>
      <c r="S86" s="29">
        <f t="shared" si="20"/>
        <v>0</v>
      </c>
      <c r="T86" s="1" t="str">
        <f t="shared" si="21"/>
        <v>caught</v>
      </c>
      <c r="U86" s="1" t="str">
        <f t="shared" si="23"/>
        <v>1</v>
      </c>
      <c r="V86" s="1" t="str">
        <f t="shared" si="24"/>
        <v xml:space="preserve"> Bangladesh</v>
      </c>
      <c r="W86" s="1" t="str">
        <f t="shared" si="25"/>
        <v>Port of Spain</v>
      </c>
      <c r="X86" s="1" t="str">
        <f t="shared" si="26"/>
        <v>Yes</v>
      </c>
      <c r="Y86" s="1"/>
      <c r="Z86" s="1"/>
    </row>
    <row r="87" spans="1:26" ht="14.25" customHeight="1">
      <c r="A87" s="1"/>
      <c r="B87" s="1">
        <v>68</v>
      </c>
      <c r="C87" s="1" t="s">
        <v>200</v>
      </c>
      <c r="D87" s="1" t="s">
        <v>138</v>
      </c>
      <c r="E87" s="1" t="s">
        <v>151</v>
      </c>
      <c r="F87" s="1" t="s">
        <v>130</v>
      </c>
      <c r="G87" s="1" t="s">
        <v>600</v>
      </c>
      <c r="H87" s="1" t="s">
        <v>24</v>
      </c>
      <c r="I87" s="1" t="s">
        <v>130</v>
      </c>
      <c r="J87" s="1" t="s">
        <v>601</v>
      </c>
      <c r="K87" s="1" t="s">
        <v>76</v>
      </c>
      <c r="L87" s="1"/>
      <c r="M87" s="1"/>
      <c r="N87" s="1" t="str">
        <f t="shared" si="16"/>
        <v>No</v>
      </c>
      <c r="O87" s="1">
        <f t="shared" si="22"/>
        <v>29</v>
      </c>
      <c r="P87" s="1">
        <f t="shared" si="17"/>
        <v>25</v>
      </c>
      <c r="Q87" s="1">
        <f t="shared" si="18"/>
        <v>2</v>
      </c>
      <c r="R87" s="1">
        <f t="shared" si="19"/>
        <v>1</v>
      </c>
      <c r="S87" s="29">
        <f t="shared" si="20"/>
        <v>116</v>
      </c>
      <c r="T87" s="1" t="str">
        <f t="shared" si="21"/>
        <v>caught</v>
      </c>
      <c r="U87" s="1" t="str">
        <f t="shared" si="23"/>
        <v>1</v>
      </c>
      <c r="V87" s="1" t="str">
        <f t="shared" si="24"/>
        <v xml:space="preserve"> Bermuda</v>
      </c>
      <c r="W87" s="1" t="str">
        <f t="shared" si="25"/>
        <v>Port of Spain</v>
      </c>
      <c r="X87" s="1" t="str">
        <f t="shared" si="26"/>
        <v>Yes</v>
      </c>
      <c r="Y87" s="1"/>
      <c r="Z87" s="1"/>
    </row>
    <row r="88" spans="1:26" ht="14.25" customHeight="1">
      <c r="A88" s="1"/>
      <c r="B88" s="1">
        <v>69</v>
      </c>
      <c r="C88" s="1" t="s">
        <v>131</v>
      </c>
      <c r="D88" s="1" t="s">
        <v>130</v>
      </c>
      <c r="E88" s="1" t="s">
        <v>131</v>
      </c>
      <c r="F88" s="1" t="s">
        <v>131</v>
      </c>
      <c r="G88" s="1" t="s">
        <v>210</v>
      </c>
      <c r="H88" s="1" t="s">
        <v>19</v>
      </c>
      <c r="I88" s="1" t="s">
        <v>151</v>
      </c>
      <c r="J88" s="1" t="s">
        <v>133</v>
      </c>
      <c r="K88" s="1" t="s">
        <v>76</v>
      </c>
      <c r="L88" s="1"/>
      <c r="M88" s="1"/>
      <c r="N88" s="1" t="str">
        <f t="shared" si="16"/>
        <v>No</v>
      </c>
      <c r="O88" s="1">
        <f t="shared" si="22"/>
        <v>0</v>
      </c>
      <c r="P88" s="1">
        <f t="shared" si="17"/>
        <v>1</v>
      </c>
      <c r="Q88" s="1">
        <f t="shared" si="18"/>
        <v>0</v>
      </c>
      <c r="R88" s="1">
        <f t="shared" si="19"/>
        <v>0</v>
      </c>
      <c r="S88" s="29">
        <f t="shared" si="20"/>
        <v>0</v>
      </c>
      <c r="T88" s="1" t="str">
        <f t="shared" si="21"/>
        <v>lbw</v>
      </c>
      <c r="U88" s="1" t="str">
        <f t="shared" si="23"/>
        <v>2</v>
      </c>
      <c r="V88" s="1" t="str">
        <f t="shared" si="24"/>
        <v xml:space="preserve"> Sri Lanka</v>
      </c>
      <c r="W88" s="1" t="str">
        <f t="shared" si="25"/>
        <v>Port of Spain</v>
      </c>
      <c r="X88" s="1" t="str">
        <f t="shared" si="26"/>
        <v>Yes</v>
      </c>
      <c r="Y88" s="1"/>
      <c r="Z88" s="1"/>
    </row>
    <row r="89" spans="1:26" ht="14.25" customHeight="1">
      <c r="A89" s="1"/>
      <c r="B89" s="1">
        <v>70</v>
      </c>
      <c r="C89" s="1" t="s">
        <v>602</v>
      </c>
      <c r="D89" s="1" t="s">
        <v>296</v>
      </c>
      <c r="E89" s="1" t="s">
        <v>144</v>
      </c>
      <c r="F89" s="1" t="s">
        <v>131</v>
      </c>
      <c r="G89" s="1" t="s">
        <v>603</v>
      </c>
      <c r="H89" s="1" t="s">
        <v>32</v>
      </c>
      <c r="I89" s="1" t="s">
        <v>151</v>
      </c>
      <c r="J89" s="1" t="s">
        <v>182</v>
      </c>
      <c r="K89" s="1" t="s">
        <v>53</v>
      </c>
      <c r="L89" s="1"/>
      <c r="M89" s="1"/>
      <c r="N89" s="1" t="str">
        <f t="shared" si="16"/>
        <v>No</v>
      </c>
      <c r="O89" s="1">
        <f t="shared" si="22"/>
        <v>91</v>
      </c>
      <c r="P89" s="1">
        <f t="shared" si="17"/>
        <v>106</v>
      </c>
      <c r="Q89" s="1">
        <f t="shared" si="18"/>
        <v>7</v>
      </c>
      <c r="R89" s="1">
        <f t="shared" si="19"/>
        <v>0</v>
      </c>
      <c r="S89" s="29">
        <f t="shared" si="20"/>
        <v>85.84</v>
      </c>
      <c r="T89" s="1" t="str">
        <f t="shared" si="21"/>
        <v>not out</v>
      </c>
      <c r="U89" s="1" t="str">
        <f t="shared" si="23"/>
        <v>2</v>
      </c>
      <c r="V89" s="1" t="str">
        <f t="shared" si="24"/>
        <v xml:space="preserve"> Bangladesh</v>
      </c>
      <c r="W89" s="1" t="str">
        <f t="shared" si="25"/>
        <v>Mirpur</v>
      </c>
      <c r="X89" s="1" t="str">
        <f t="shared" si="26"/>
        <v>No</v>
      </c>
      <c r="Y89" s="1"/>
      <c r="Z89" s="1"/>
    </row>
    <row r="90" spans="1:26" ht="14.25" customHeight="1">
      <c r="A90" s="1"/>
      <c r="B90" s="1">
        <v>71</v>
      </c>
      <c r="C90" s="1" t="s">
        <v>258</v>
      </c>
      <c r="D90" s="1" t="s">
        <v>142</v>
      </c>
      <c r="E90" s="1" t="s">
        <v>140</v>
      </c>
      <c r="F90" s="1" t="s">
        <v>131</v>
      </c>
      <c r="G90" s="1" t="s">
        <v>155</v>
      </c>
      <c r="H90" s="1" t="s">
        <v>24</v>
      </c>
      <c r="I90" s="1" t="s">
        <v>130</v>
      </c>
      <c r="J90" s="1" t="s">
        <v>182</v>
      </c>
      <c r="K90" s="1" t="s">
        <v>53</v>
      </c>
      <c r="L90" s="1"/>
      <c r="M90" s="1"/>
      <c r="N90" s="1" t="str">
        <f t="shared" si="16"/>
        <v>No</v>
      </c>
      <c r="O90" s="1">
        <f t="shared" si="22"/>
        <v>36</v>
      </c>
      <c r="P90" s="1">
        <f t="shared" si="17"/>
        <v>54</v>
      </c>
      <c r="Q90" s="1">
        <f t="shared" si="18"/>
        <v>4</v>
      </c>
      <c r="R90" s="1">
        <f t="shared" si="19"/>
        <v>0</v>
      </c>
      <c r="S90" s="29">
        <f t="shared" si="20"/>
        <v>66.66</v>
      </c>
      <c r="T90" s="1" t="str">
        <f t="shared" si="21"/>
        <v>caught</v>
      </c>
      <c r="U90" s="1" t="str">
        <f t="shared" si="23"/>
        <v>1</v>
      </c>
      <c r="V90" s="1" t="str">
        <f t="shared" si="24"/>
        <v xml:space="preserve"> Bangladesh</v>
      </c>
      <c r="W90" s="1" t="str">
        <f t="shared" si="25"/>
        <v>Mirpur</v>
      </c>
      <c r="X90" s="1" t="str">
        <f t="shared" si="26"/>
        <v>Yes</v>
      </c>
      <c r="Y90" s="1"/>
      <c r="Z90" s="1"/>
    </row>
    <row r="91" spans="1:26" ht="14.25" customHeight="1">
      <c r="A91" s="1"/>
      <c r="B91" s="1">
        <v>72</v>
      </c>
      <c r="C91" s="1" t="s">
        <v>151</v>
      </c>
      <c r="D91" s="1" t="s">
        <v>140</v>
      </c>
      <c r="E91" s="1" t="s">
        <v>131</v>
      </c>
      <c r="F91" s="1" t="s">
        <v>131</v>
      </c>
      <c r="G91" s="1" t="s">
        <v>204</v>
      </c>
      <c r="H91" s="1" t="s">
        <v>26</v>
      </c>
      <c r="I91" s="1" t="s">
        <v>130</v>
      </c>
      <c r="J91" s="1" t="s">
        <v>604</v>
      </c>
      <c r="K91" s="1" t="s">
        <v>67</v>
      </c>
      <c r="L91" s="1"/>
      <c r="M91" s="1"/>
      <c r="N91" s="1" t="str">
        <f t="shared" si="16"/>
        <v>No</v>
      </c>
      <c r="O91" s="1">
        <f t="shared" si="22"/>
        <v>2</v>
      </c>
      <c r="P91" s="1">
        <f t="shared" si="17"/>
        <v>4</v>
      </c>
      <c r="Q91" s="1">
        <f t="shared" si="18"/>
        <v>0</v>
      </c>
      <c r="R91" s="1">
        <f t="shared" si="19"/>
        <v>0</v>
      </c>
      <c r="S91" s="29">
        <f t="shared" si="20"/>
        <v>50</v>
      </c>
      <c r="T91" s="1" t="str">
        <f t="shared" si="21"/>
        <v>run out</v>
      </c>
      <c r="U91" s="1" t="str">
        <f t="shared" si="23"/>
        <v>1</v>
      </c>
      <c r="V91" s="1" t="str">
        <f t="shared" si="24"/>
        <v xml:space="preserve"> Africa XI</v>
      </c>
      <c r="W91" s="1" t="str">
        <f t="shared" si="25"/>
        <v>Bengaluru</v>
      </c>
      <c r="X91" s="1" t="str">
        <f t="shared" si="26"/>
        <v>Yes</v>
      </c>
      <c r="Y91" s="1"/>
      <c r="Z91" s="1"/>
    </row>
    <row r="92" spans="1:26" ht="14.25" customHeight="1">
      <c r="A92" s="1"/>
      <c r="B92" s="1">
        <v>73</v>
      </c>
      <c r="C92" s="1" t="s">
        <v>244</v>
      </c>
      <c r="D92" s="1" t="s">
        <v>139</v>
      </c>
      <c r="E92" s="1" t="s">
        <v>151</v>
      </c>
      <c r="F92" s="1" t="s">
        <v>151</v>
      </c>
      <c r="G92" s="1" t="s">
        <v>477</v>
      </c>
      <c r="H92" s="1" t="s">
        <v>29</v>
      </c>
      <c r="I92" s="1" t="s">
        <v>130</v>
      </c>
      <c r="J92" s="1" t="s">
        <v>604</v>
      </c>
      <c r="K92" s="1" t="s">
        <v>68</v>
      </c>
      <c r="L92" s="1"/>
      <c r="M92" s="1"/>
      <c r="N92" s="1" t="str">
        <f t="shared" si="16"/>
        <v>No</v>
      </c>
      <c r="O92" s="1">
        <f t="shared" si="22"/>
        <v>33</v>
      </c>
      <c r="P92" s="1">
        <f t="shared" si="17"/>
        <v>38</v>
      </c>
      <c r="Q92" s="1">
        <f t="shared" si="18"/>
        <v>2</v>
      </c>
      <c r="R92" s="1">
        <f t="shared" si="19"/>
        <v>2</v>
      </c>
      <c r="S92" s="29">
        <f t="shared" si="20"/>
        <v>86.84</v>
      </c>
      <c r="T92" s="1" t="str">
        <f t="shared" si="21"/>
        <v>bowled</v>
      </c>
      <c r="U92" s="1" t="str">
        <f t="shared" si="23"/>
        <v>1</v>
      </c>
      <c r="V92" s="1" t="str">
        <f t="shared" si="24"/>
        <v xml:space="preserve"> Africa XI</v>
      </c>
      <c r="W92" s="1" t="str">
        <f t="shared" si="25"/>
        <v>Chennai</v>
      </c>
      <c r="X92" s="1" t="str">
        <f t="shared" si="26"/>
        <v>Yes</v>
      </c>
      <c r="Y92" s="1"/>
      <c r="Z92" s="1"/>
    </row>
    <row r="93" spans="1:26" ht="14.25" customHeight="1">
      <c r="A93" s="1"/>
      <c r="B93" s="1">
        <v>74</v>
      </c>
      <c r="C93" s="1" t="s">
        <v>373</v>
      </c>
      <c r="D93" s="1" t="s">
        <v>395</v>
      </c>
      <c r="E93" s="1" t="s">
        <v>283</v>
      </c>
      <c r="F93" s="1" t="s">
        <v>202</v>
      </c>
      <c r="G93" s="1" t="s">
        <v>605</v>
      </c>
      <c r="H93" s="1" t="s">
        <v>32</v>
      </c>
      <c r="I93" s="1" t="s">
        <v>130</v>
      </c>
      <c r="J93" s="1" t="s">
        <v>604</v>
      </c>
      <c r="K93" s="1" t="s">
        <v>68</v>
      </c>
      <c r="L93" s="1"/>
      <c r="M93" s="1"/>
      <c r="N93" s="1" t="str">
        <f t="shared" si="16"/>
        <v>No</v>
      </c>
      <c r="O93" s="1">
        <f t="shared" si="22"/>
        <v>139</v>
      </c>
      <c r="P93" s="1">
        <f t="shared" si="17"/>
        <v>97</v>
      </c>
      <c r="Q93" s="1">
        <f t="shared" si="18"/>
        <v>15</v>
      </c>
      <c r="R93" s="1">
        <f t="shared" si="19"/>
        <v>5</v>
      </c>
      <c r="S93" s="29">
        <f t="shared" si="20"/>
        <v>143.29</v>
      </c>
      <c r="T93" s="1" t="str">
        <f t="shared" si="21"/>
        <v>not out</v>
      </c>
      <c r="U93" s="1" t="str">
        <f t="shared" si="23"/>
        <v>1</v>
      </c>
      <c r="V93" s="1" t="str">
        <f t="shared" si="24"/>
        <v xml:space="preserve"> Africa XI</v>
      </c>
      <c r="W93" s="1" t="str">
        <f t="shared" si="25"/>
        <v>Chennai</v>
      </c>
      <c r="X93" s="1" t="str">
        <f t="shared" si="26"/>
        <v>No</v>
      </c>
      <c r="Y93" s="1"/>
      <c r="Z93" s="1"/>
    </row>
    <row r="94" spans="1:26" ht="14.25" customHeight="1">
      <c r="A94" s="1"/>
      <c r="B94" s="1">
        <v>75</v>
      </c>
      <c r="C94" s="1" t="s">
        <v>131</v>
      </c>
      <c r="D94" s="1" t="s">
        <v>140</v>
      </c>
      <c r="E94" s="1" t="s">
        <v>131</v>
      </c>
      <c r="F94" s="1" t="s">
        <v>131</v>
      </c>
      <c r="G94" s="1" t="s">
        <v>210</v>
      </c>
      <c r="H94" s="1" t="s">
        <v>29</v>
      </c>
      <c r="I94" s="1" t="s">
        <v>151</v>
      </c>
      <c r="J94" s="1" t="s">
        <v>191</v>
      </c>
      <c r="K94" s="1" t="s">
        <v>606</v>
      </c>
      <c r="L94" s="1"/>
      <c r="M94" s="1"/>
      <c r="N94" s="1" t="str">
        <f t="shared" si="16"/>
        <v>No</v>
      </c>
      <c r="O94" s="1">
        <f t="shared" si="22"/>
        <v>0</v>
      </c>
      <c r="P94" s="1">
        <f t="shared" si="17"/>
        <v>4</v>
      </c>
      <c r="Q94" s="1">
        <f t="shared" si="18"/>
        <v>0</v>
      </c>
      <c r="R94" s="1">
        <f t="shared" si="19"/>
        <v>0</v>
      </c>
      <c r="S94" s="29">
        <f t="shared" si="20"/>
        <v>0</v>
      </c>
      <c r="T94" s="1" t="str">
        <f t="shared" si="21"/>
        <v>bowled</v>
      </c>
      <c r="U94" s="1" t="str">
        <f t="shared" si="23"/>
        <v>2</v>
      </c>
      <c r="V94" s="1" t="str">
        <f t="shared" si="24"/>
        <v xml:space="preserve"> South Africa</v>
      </c>
      <c r="W94" s="1" t="str">
        <f t="shared" si="25"/>
        <v>Belfast</v>
      </c>
      <c r="X94" s="1" t="str">
        <f t="shared" si="26"/>
        <v>Yes</v>
      </c>
      <c r="Y94" s="1"/>
      <c r="Z94" s="1"/>
    </row>
    <row r="95" spans="1:26" ht="14.25" customHeight="1">
      <c r="A95" s="1"/>
      <c r="B95" s="1">
        <v>76</v>
      </c>
      <c r="C95" s="1" t="s">
        <v>607</v>
      </c>
      <c r="D95" s="1" t="s">
        <v>176</v>
      </c>
      <c r="E95" s="1" t="s">
        <v>151</v>
      </c>
      <c r="F95" s="1" t="s">
        <v>131</v>
      </c>
      <c r="G95" s="1" t="s">
        <v>608</v>
      </c>
      <c r="H95" s="1" t="s">
        <v>32</v>
      </c>
      <c r="I95" s="1" t="s">
        <v>151</v>
      </c>
      <c r="J95" s="1" t="s">
        <v>191</v>
      </c>
      <c r="K95" s="1" t="s">
        <v>606</v>
      </c>
      <c r="L95" s="1"/>
      <c r="M95" s="1"/>
      <c r="N95" s="1" t="str">
        <f t="shared" si="16"/>
        <v>No</v>
      </c>
      <c r="O95" s="1">
        <f t="shared" si="22"/>
        <v>14</v>
      </c>
      <c r="P95" s="1">
        <f t="shared" si="17"/>
        <v>11</v>
      </c>
      <c r="Q95" s="1">
        <f t="shared" si="18"/>
        <v>2</v>
      </c>
      <c r="R95" s="1">
        <f t="shared" si="19"/>
        <v>0</v>
      </c>
      <c r="S95" s="29">
        <f t="shared" si="20"/>
        <v>127.27</v>
      </c>
      <c r="T95" s="1" t="str">
        <f t="shared" si="21"/>
        <v>not out</v>
      </c>
      <c r="U95" s="1" t="str">
        <f t="shared" si="23"/>
        <v>2</v>
      </c>
      <c r="V95" s="1" t="str">
        <f t="shared" si="24"/>
        <v xml:space="preserve"> South Africa</v>
      </c>
      <c r="W95" s="1" t="str">
        <f t="shared" si="25"/>
        <v>Belfast</v>
      </c>
      <c r="X95" s="1" t="str">
        <f t="shared" si="26"/>
        <v>No</v>
      </c>
      <c r="Y95" s="1"/>
      <c r="Z95" s="1"/>
    </row>
    <row r="96" spans="1:26" ht="14.25" customHeight="1">
      <c r="A96" s="1"/>
      <c r="B96" s="1">
        <v>77</v>
      </c>
      <c r="C96" s="1" t="s">
        <v>57</v>
      </c>
      <c r="D96" s="1" t="s">
        <v>157</v>
      </c>
      <c r="E96" s="1" t="s">
        <v>157</v>
      </c>
      <c r="F96" s="1" t="s">
        <v>157</v>
      </c>
      <c r="G96" s="1" t="s">
        <v>157</v>
      </c>
      <c r="H96" s="1" t="s">
        <v>157</v>
      </c>
      <c r="I96" s="1" t="s">
        <v>151</v>
      </c>
      <c r="J96" s="1" t="s">
        <v>609</v>
      </c>
      <c r="K96" s="1" t="s">
        <v>610</v>
      </c>
      <c r="L96" s="1"/>
      <c r="M96" s="1"/>
      <c r="N96" s="1" t="str">
        <f t="shared" si="16"/>
        <v>Yes</v>
      </c>
      <c r="O96" s="1" t="str">
        <f t="shared" si="22"/>
        <v>NA</v>
      </c>
      <c r="P96" s="1" t="str">
        <f t="shared" si="17"/>
        <v>NA</v>
      </c>
      <c r="Q96" s="1" t="str">
        <f t="shared" si="18"/>
        <v>NA</v>
      </c>
      <c r="R96" s="1" t="str">
        <f t="shared" si="19"/>
        <v>NA</v>
      </c>
      <c r="S96" s="29" t="str">
        <f t="shared" si="20"/>
        <v>NA</v>
      </c>
      <c r="T96" s="1" t="str">
        <f t="shared" si="21"/>
        <v>NA</v>
      </c>
      <c r="U96" s="1" t="str">
        <f t="shared" si="23"/>
        <v>2</v>
      </c>
      <c r="V96" s="1" t="str">
        <f t="shared" si="24"/>
        <v xml:space="preserve"> Scotland</v>
      </c>
      <c r="W96" s="1" t="str">
        <f t="shared" si="25"/>
        <v>Glasgow</v>
      </c>
      <c r="X96" s="1" t="str">
        <f t="shared" si="26"/>
        <v>No</v>
      </c>
      <c r="Y96" s="1"/>
      <c r="Z96" s="1"/>
    </row>
    <row r="97" spans="1:26" ht="14.25" customHeight="1">
      <c r="A97" s="1"/>
      <c r="B97" s="1">
        <v>78</v>
      </c>
      <c r="C97" s="1" t="s">
        <v>170</v>
      </c>
      <c r="D97" s="1" t="s">
        <v>380</v>
      </c>
      <c r="E97" s="1" t="s">
        <v>130</v>
      </c>
      <c r="F97" s="1" t="s">
        <v>131</v>
      </c>
      <c r="G97" s="1" t="s">
        <v>611</v>
      </c>
      <c r="H97" s="1" t="s">
        <v>24</v>
      </c>
      <c r="I97" s="1" t="s">
        <v>151</v>
      </c>
      <c r="J97" s="1" t="s">
        <v>234</v>
      </c>
      <c r="K97" s="1" t="s">
        <v>80</v>
      </c>
      <c r="L97" s="1"/>
      <c r="M97" s="1"/>
      <c r="N97" s="1" t="str">
        <f t="shared" si="16"/>
        <v>No</v>
      </c>
      <c r="O97" s="1">
        <f t="shared" si="22"/>
        <v>19</v>
      </c>
      <c r="P97" s="1">
        <f t="shared" si="17"/>
        <v>60</v>
      </c>
      <c r="Q97" s="1">
        <f t="shared" si="18"/>
        <v>1</v>
      </c>
      <c r="R97" s="1">
        <f t="shared" si="19"/>
        <v>0</v>
      </c>
      <c r="S97" s="29">
        <f t="shared" si="20"/>
        <v>31.66</v>
      </c>
      <c r="T97" s="1" t="str">
        <f t="shared" si="21"/>
        <v>caught</v>
      </c>
      <c r="U97" s="1" t="str">
        <f t="shared" si="23"/>
        <v>2</v>
      </c>
      <c r="V97" s="1" t="str">
        <f t="shared" si="24"/>
        <v xml:space="preserve"> England</v>
      </c>
      <c r="W97" s="1" t="str">
        <f t="shared" si="25"/>
        <v>Southampton</v>
      </c>
      <c r="X97" s="1" t="str">
        <f t="shared" si="26"/>
        <v>Yes</v>
      </c>
      <c r="Y97" s="1"/>
      <c r="Z97" s="1"/>
    </row>
    <row r="98" spans="1:26" ht="14.25" customHeight="1">
      <c r="A98" s="1"/>
      <c r="B98" s="1">
        <v>79</v>
      </c>
      <c r="C98" s="1" t="s">
        <v>246</v>
      </c>
      <c r="D98" s="1" t="s">
        <v>199</v>
      </c>
      <c r="E98" s="1" t="s">
        <v>148</v>
      </c>
      <c r="F98" s="1" t="s">
        <v>131</v>
      </c>
      <c r="G98" s="1" t="s">
        <v>267</v>
      </c>
      <c r="H98" s="1" t="s">
        <v>24</v>
      </c>
      <c r="I98" s="1" t="s">
        <v>130</v>
      </c>
      <c r="J98" s="1" t="s">
        <v>234</v>
      </c>
      <c r="K98" s="1" t="s">
        <v>612</v>
      </c>
      <c r="L98" s="1"/>
      <c r="M98" s="1"/>
      <c r="N98" s="1" t="str">
        <f t="shared" si="16"/>
        <v>No</v>
      </c>
      <c r="O98" s="1">
        <f t="shared" si="22"/>
        <v>21</v>
      </c>
      <c r="P98" s="1">
        <f t="shared" si="17"/>
        <v>18</v>
      </c>
      <c r="Q98" s="1">
        <f t="shared" si="18"/>
        <v>3</v>
      </c>
      <c r="R98" s="1">
        <f t="shared" si="19"/>
        <v>0</v>
      </c>
      <c r="S98" s="29">
        <f t="shared" si="20"/>
        <v>116.66</v>
      </c>
      <c r="T98" s="1" t="str">
        <f t="shared" si="21"/>
        <v>caught</v>
      </c>
      <c r="U98" s="1" t="str">
        <f t="shared" si="23"/>
        <v>1</v>
      </c>
      <c r="V98" s="1" t="str">
        <f t="shared" si="24"/>
        <v xml:space="preserve"> England</v>
      </c>
      <c r="W98" s="1" t="str">
        <f t="shared" si="25"/>
        <v>Bristol</v>
      </c>
      <c r="X98" s="1" t="str">
        <f t="shared" si="26"/>
        <v>Yes</v>
      </c>
      <c r="Y98" s="1"/>
      <c r="Z98" s="1"/>
    </row>
    <row r="99" spans="1:26" ht="14.25" customHeight="1">
      <c r="A99" s="1"/>
      <c r="B99" s="1">
        <v>80</v>
      </c>
      <c r="C99" s="1" t="s">
        <v>325</v>
      </c>
      <c r="D99" s="1" t="s">
        <v>238</v>
      </c>
      <c r="E99" s="1" t="s">
        <v>131</v>
      </c>
      <c r="F99" s="1" t="s">
        <v>131</v>
      </c>
      <c r="G99" s="1" t="s">
        <v>613</v>
      </c>
      <c r="H99" s="1" t="s">
        <v>24</v>
      </c>
      <c r="I99" s="1" t="s">
        <v>151</v>
      </c>
      <c r="J99" s="1" t="s">
        <v>234</v>
      </c>
      <c r="K99" s="1" t="s">
        <v>99</v>
      </c>
      <c r="L99" s="1"/>
      <c r="M99" s="1"/>
      <c r="N99" s="1" t="str">
        <f t="shared" si="16"/>
        <v>No</v>
      </c>
      <c r="O99" s="1">
        <f t="shared" si="22"/>
        <v>13</v>
      </c>
      <c r="P99" s="1">
        <f t="shared" si="17"/>
        <v>20</v>
      </c>
      <c r="Q99" s="1">
        <f t="shared" si="18"/>
        <v>0</v>
      </c>
      <c r="R99" s="1">
        <f t="shared" si="19"/>
        <v>0</v>
      </c>
      <c r="S99" s="29">
        <f t="shared" si="20"/>
        <v>65</v>
      </c>
      <c r="T99" s="1" t="str">
        <f t="shared" si="21"/>
        <v>caught</v>
      </c>
      <c r="U99" s="1" t="str">
        <f t="shared" si="23"/>
        <v>2</v>
      </c>
      <c r="V99" s="1" t="str">
        <f t="shared" si="24"/>
        <v xml:space="preserve"> England</v>
      </c>
      <c r="W99" s="1" t="str">
        <f t="shared" si="25"/>
        <v>Birmingham</v>
      </c>
      <c r="X99" s="1" t="str">
        <f t="shared" si="26"/>
        <v>Yes</v>
      </c>
      <c r="Y99" s="1"/>
      <c r="Z99" s="1"/>
    </row>
    <row r="100" spans="1:26" ht="14.25" customHeight="1">
      <c r="A100" s="1"/>
      <c r="B100" s="1">
        <v>81</v>
      </c>
      <c r="C100" s="1" t="s">
        <v>325</v>
      </c>
      <c r="D100" s="1" t="s">
        <v>199</v>
      </c>
      <c r="E100" s="1" t="s">
        <v>130</v>
      </c>
      <c r="F100" s="1" t="s">
        <v>131</v>
      </c>
      <c r="G100" s="1" t="s">
        <v>614</v>
      </c>
      <c r="H100" s="1" t="s">
        <v>29</v>
      </c>
      <c r="I100" s="1" t="s">
        <v>130</v>
      </c>
      <c r="J100" s="1" t="s">
        <v>234</v>
      </c>
      <c r="K100" s="1" t="s">
        <v>115</v>
      </c>
      <c r="L100" s="1"/>
      <c r="M100" s="1"/>
      <c r="N100" s="1" t="str">
        <f t="shared" si="16"/>
        <v>No</v>
      </c>
      <c r="O100" s="1">
        <f t="shared" si="22"/>
        <v>13</v>
      </c>
      <c r="P100" s="1">
        <f t="shared" si="17"/>
        <v>18</v>
      </c>
      <c r="Q100" s="1">
        <f t="shared" si="18"/>
        <v>1</v>
      </c>
      <c r="R100" s="1">
        <f t="shared" si="19"/>
        <v>0</v>
      </c>
      <c r="S100" s="29">
        <f t="shared" si="20"/>
        <v>72.22</v>
      </c>
      <c r="T100" s="1" t="str">
        <f t="shared" si="21"/>
        <v>bowled</v>
      </c>
      <c r="U100" s="1" t="str">
        <f t="shared" si="23"/>
        <v>1</v>
      </c>
      <c r="V100" s="1" t="str">
        <f t="shared" si="24"/>
        <v xml:space="preserve"> England</v>
      </c>
      <c r="W100" s="1" t="str">
        <f t="shared" si="25"/>
        <v>Manchester</v>
      </c>
      <c r="X100" s="1" t="str">
        <f t="shared" si="26"/>
        <v>Yes</v>
      </c>
      <c r="Y100" s="1"/>
      <c r="Z100" s="1"/>
    </row>
    <row r="101" spans="1:26" ht="14.25" customHeight="1">
      <c r="A101" s="1"/>
      <c r="B101" s="1">
        <v>82</v>
      </c>
      <c r="C101" s="1" t="s">
        <v>154</v>
      </c>
      <c r="D101" s="1" t="s">
        <v>306</v>
      </c>
      <c r="E101" s="1" t="s">
        <v>148</v>
      </c>
      <c r="F101" s="1" t="s">
        <v>131</v>
      </c>
      <c r="G101" s="1" t="s">
        <v>615</v>
      </c>
      <c r="H101" s="1" t="s">
        <v>24</v>
      </c>
      <c r="I101" s="1" t="s">
        <v>130</v>
      </c>
      <c r="J101" s="1" t="s">
        <v>234</v>
      </c>
      <c r="K101" s="1" t="s">
        <v>109</v>
      </c>
      <c r="L101" s="1"/>
      <c r="M101" s="1"/>
      <c r="N101" s="1" t="str">
        <f t="shared" si="16"/>
        <v>No</v>
      </c>
      <c r="O101" s="1">
        <f t="shared" si="22"/>
        <v>24</v>
      </c>
      <c r="P101" s="1">
        <f t="shared" si="17"/>
        <v>17</v>
      </c>
      <c r="Q101" s="1">
        <f t="shared" si="18"/>
        <v>3</v>
      </c>
      <c r="R101" s="1">
        <f t="shared" si="19"/>
        <v>0</v>
      </c>
      <c r="S101" s="29">
        <f t="shared" si="20"/>
        <v>141.16999999999999</v>
      </c>
      <c r="T101" s="1" t="str">
        <f t="shared" si="21"/>
        <v>caught</v>
      </c>
      <c r="U101" s="1" t="str">
        <f t="shared" si="23"/>
        <v>1</v>
      </c>
      <c r="V101" s="1" t="str">
        <f t="shared" si="24"/>
        <v xml:space="preserve"> England</v>
      </c>
      <c r="W101" s="1" t="str">
        <f t="shared" si="25"/>
        <v>Leeds</v>
      </c>
      <c r="X101" s="1" t="str">
        <f t="shared" si="26"/>
        <v>Yes</v>
      </c>
      <c r="Y101" s="1"/>
      <c r="Z101" s="1"/>
    </row>
    <row r="102" spans="1:26" ht="14.25" customHeight="1">
      <c r="A102" s="1"/>
      <c r="B102" s="1">
        <v>83</v>
      </c>
      <c r="C102" s="1" t="s">
        <v>248</v>
      </c>
      <c r="D102" s="1" t="s">
        <v>134</v>
      </c>
      <c r="E102" s="1" t="s">
        <v>148</v>
      </c>
      <c r="F102" s="1" t="s">
        <v>131</v>
      </c>
      <c r="G102" s="1" t="s">
        <v>616</v>
      </c>
      <c r="H102" s="1" t="s">
        <v>29</v>
      </c>
      <c r="I102" s="1" t="s">
        <v>151</v>
      </c>
      <c r="J102" s="1" t="s">
        <v>234</v>
      </c>
      <c r="K102" s="1" t="s">
        <v>81</v>
      </c>
      <c r="L102" s="1"/>
      <c r="M102" s="1"/>
      <c r="N102" s="1" t="str">
        <f t="shared" si="16"/>
        <v>No</v>
      </c>
      <c r="O102" s="1">
        <f t="shared" si="22"/>
        <v>35</v>
      </c>
      <c r="P102" s="1">
        <f t="shared" si="17"/>
        <v>37</v>
      </c>
      <c r="Q102" s="1">
        <f t="shared" si="18"/>
        <v>3</v>
      </c>
      <c r="R102" s="1">
        <f t="shared" si="19"/>
        <v>0</v>
      </c>
      <c r="S102" s="29">
        <f t="shared" si="20"/>
        <v>94.59</v>
      </c>
      <c r="T102" s="1" t="str">
        <f t="shared" si="21"/>
        <v>bowled</v>
      </c>
      <c r="U102" s="1" t="str">
        <f t="shared" si="23"/>
        <v>2</v>
      </c>
      <c r="V102" s="1" t="str">
        <f t="shared" si="24"/>
        <v xml:space="preserve"> England</v>
      </c>
      <c r="W102" s="1" t="str">
        <f t="shared" si="25"/>
        <v>The Oval</v>
      </c>
      <c r="X102" s="1" t="str">
        <f t="shared" si="26"/>
        <v>Yes</v>
      </c>
      <c r="Y102" s="1"/>
      <c r="Z102" s="1"/>
    </row>
    <row r="103" spans="1:26" ht="14.25" customHeight="1">
      <c r="A103" s="1"/>
      <c r="B103" s="1">
        <v>84</v>
      </c>
      <c r="C103" s="1" t="s">
        <v>360</v>
      </c>
      <c r="D103" s="1" t="s">
        <v>454</v>
      </c>
      <c r="E103" s="1" t="s">
        <v>140</v>
      </c>
      <c r="F103" s="1" t="s">
        <v>130</v>
      </c>
      <c r="G103" s="1" t="s">
        <v>617</v>
      </c>
      <c r="H103" s="1" t="s">
        <v>24</v>
      </c>
      <c r="I103" s="1" t="s">
        <v>130</v>
      </c>
      <c r="J103" s="1" t="s">
        <v>234</v>
      </c>
      <c r="K103" s="1" t="s">
        <v>82</v>
      </c>
      <c r="L103" s="1"/>
      <c r="M103" s="1"/>
      <c r="N103" s="1" t="str">
        <f t="shared" si="16"/>
        <v>No</v>
      </c>
      <c r="O103" s="1">
        <f t="shared" si="22"/>
        <v>50</v>
      </c>
      <c r="P103" s="1">
        <f t="shared" si="17"/>
        <v>72</v>
      </c>
      <c r="Q103" s="1">
        <f t="shared" si="18"/>
        <v>4</v>
      </c>
      <c r="R103" s="1">
        <f t="shared" si="19"/>
        <v>1</v>
      </c>
      <c r="S103" s="29">
        <f t="shared" si="20"/>
        <v>69.44</v>
      </c>
      <c r="T103" s="1" t="str">
        <f t="shared" si="21"/>
        <v>caught</v>
      </c>
      <c r="U103" s="1" t="str">
        <f t="shared" si="23"/>
        <v>1</v>
      </c>
      <c r="V103" s="1" t="str">
        <f t="shared" si="24"/>
        <v xml:space="preserve"> England</v>
      </c>
      <c r="W103" s="1" t="str">
        <f t="shared" si="25"/>
        <v>Lord's</v>
      </c>
      <c r="X103" s="1" t="str">
        <f t="shared" si="26"/>
        <v>Yes</v>
      </c>
      <c r="Y103" s="1"/>
      <c r="Z103" s="1"/>
    </row>
    <row r="104" spans="1:26" ht="14.25" customHeight="1">
      <c r="A104" s="1"/>
      <c r="B104" s="1">
        <v>85</v>
      </c>
      <c r="C104" s="1" t="s">
        <v>57</v>
      </c>
      <c r="D104" s="1" t="s">
        <v>157</v>
      </c>
      <c r="E104" s="1" t="s">
        <v>157</v>
      </c>
      <c r="F104" s="1" t="s">
        <v>157</v>
      </c>
      <c r="G104" s="1" t="s">
        <v>157</v>
      </c>
      <c r="H104" s="1" t="s">
        <v>157</v>
      </c>
      <c r="I104" s="1" t="s">
        <v>151</v>
      </c>
      <c r="J104" s="1" t="s">
        <v>158</v>
      </c>
      <c r="K104" s="1" t="s">
        <v>67</v>
      </c>
      <c r="L104" s="1"/>
      <c r="M104" s="1"/>
      <c r="N104" s="1" t="str">
        <f t="shared" si="16"/>
        <v>Yes</v>
      </c>
      <c r="O104" s="1" t="str">
        <f t="shared" si="22"/>
        <v>NA</v>
      </c>
      <c r="P104" s="1" t="str">
        <f t="shared" si="17"/>
        <v>NA</v>
      </c>
      <c r="Q104" s="1" t="str">
        <f t="shared" si="18"/>
        <v>NA</v>
      </c>
      <c r="R104" s="1" t="str">
        <f t="shared" si="19"/>
        <v>NA</v>
      </c>
      <c r="S104" s="29" t="str">
        <f t="shared" si="20"/>
        <v>NA</v>
      </c>
      <c r="T104" s="1" t="str">
        <f t="shared" si="21"/>
        <v>NA</v>
      </c>
      <c r="U104" s="1" t="str">
        <f t="shared" si="23"/>
        <v>2</v>
      </c>
      <c r="V104" s="1" t="str">
        <f t="shared" si="24"/>
        <v xml:space="preserve"> Australia</v>
      </c>
      <c r="W104" s="1" t="str">
        <f t="shared" si="25"/>
        <v>Bengaluru</v>
      </c>
      <c r="X104" s="1" t="str">
        <f t="shared" si="26"/>
        <v>No</v>
      </c>
      <c r="Y104" s="1"/>
      <c r="Z104" s="1"/>
    </row>
    <row r="105" spans="1:26" ht="14.25" customHeight="1">
      <c r="A105" s="1"/>
      <c r="B105" s="1">
        <v>86</v>
      </c>
      <c r="C105" s="1" t="s">
        <v>582</v>
      </c>
      <c r="D105" s="1" t="s">
        <v>332</v>
      </c>
      <c r="E105" s="1" t="s">
        <v>151</v>
      </c>
      <c r="F105" s="1" t="s">
        <v>151</v>
      </c>
      <c r="G105" s="1" t="s">
        <v>618</v>
      </c>
      <c r="H105" s="1" t="s">
        <v>24</v>
      </c>
      <c r="I105" s="1" t="s">
        <v>151</v>
      </c>
      <c r="J105" s="1" t="s">
        <v>158</v>
      </c>
      <c r="K105" s="1" t="s">
        <v>96</v>
      </c>
      <c r="L105" s="1"/>
      <c r="M105" s="1"/>
      <c r="N105" s="1" t="str">
        <f t="shared" si="16"/>
        <v>No</v>
      </c>
      <c r="O105" s="1">
        <f t="shared" si="22"/>
        <v>58</v>
      </c>
      <c r="P105" s="1">
        <f t="shared" si="17"/>
        <v>88</v>
      </c>
      <c r="Q105" s="1">
        <f t="shared" si="18"/>
        <v>2</v>
      </c>
      <c r="R105" s="1">
        <f t="shared" si="19"/>
        <v>2</v>
      </c>
      <c r="S105" s="29">
        <f t="shared" si="20"/>
        <v>65.900000000000006</v>
      </c>
      <c r="T105" s="1" t="str">
        <f t="shared" si="21"/>
        <v>caught</v>
      </c>
      <c r="U105" s="1" t="str">
        <f t="shared" si="23"/>
        <v>2</v>
      </c>
      <c r="V105" s="1" t="str">
        <f t="shared" si="24"/>
        <v xml:space="preserve"> Australia</v>
      </c>
      <c r="W105" s="1" t="str">
        <f t="shared" si="25"/>
        <v>Kochi</v>
      </c>
      <c r="X105" s="1" t="str">
        <f t="shared" si="26"/>
        <v>Yes</v>
      </c>
      <c r="Y105" s="1"/>
      <c r="Z105" s="1"/>
    </row>
    <row r="106" spans="1:26" ht="14.25" customHeight="1">
      <c r="A106" s="1"/>
      <c r="B106" s="1">
        <v>87</v>
      </c>
      <c r="C106" s="1" t="s">
        <v>244</v>
      </c>
      <c r="D106" s="1" t="s">
        <v>134</v>
      </c>
      <c r="E106" s="1" t="s">
        <v>140</v>
      </c>
      <c r="F106" s="1" t="s">
        <v>131</v>
      </c>
      <c r="G106" s="1" t="s">
        <v>619</v>
      </c>
      <c r="H106" s="1" t="s">
        <v>24</v>
      </c>
      <c r="I106" s="1" t="s">
        <v>151</v>
      </c>
      <c r="J106" s="1" t="s">
        <v>158</v>
      </c>
      <c r="K106" s="1" t="s">
        <v>85</v>
      </c>
      <c r="L106" s="1"/>
      <c r="M106" s="1"/>
      <c r="N106" s="1" t="str">
        <f t="shared" si="16"/>
        <v>No</v>
      </c>
      <c r="O106" s="1">
        <f t="shared" si="22"/>
        <v>33</v>
      </c>
      <c r="P106" s="1">
        <f t="shared" si="17"/>
        <v>37</v>
      </c>
      <c r="Q106" s="1">
        <f t="shared" si="18"/>
        <v>4</v>
      </c>
      <c r="R106" s="1">
        <f t="shared" si="19"/>
        <v>0</v>
      </c>
      <c r="S106" s="29">
        <f t="shared" si="20"/>
        <v>89.18</v>
      </c>
      <c r="T106" s="1" t="str">
        <f t="shared" si="21"/>
        <v>caught</v>
      </c>
      <c r="U106" s="1" t="str">
        <f t="shared" si="23"/>
        <v>2</v>
      </c>
      <c r="V106" s="1" t="str">
        <f t="shared" si="24"/>
        <v xml:space="preserve"> Australia</v>
      </c>
      <c r="W106" s="1" t="str">
        <f t="shared" si="25"/>
        <v>Hyderabad</v>
      </c>
      <c r="X106" s="1" t="str">
        <f t="shared" si="26"/>
        <v>Yes</v>
      </c>
      <c r="Y106" s="1"/>
      <c r="Z106" s="1"/>
    </row>
    <row r="107" spans="1:26" ht="14.25" customHeight="1">
      <c r="A107" s="1"/>
      <c r="B107" s="1">
        <v>88</v>
      </c>
      <c r="C107" s="1" t="s">
        <v>620</v>
      </c>
      <c r="D107" s="1" t="s">
        <v>248</v>
      </c>
      <c r="E107" s="1" t="s">
        <v>202</v>
      </c>
      <c r="F107" s="1" t="s">
        <v>130</v>
      </c>
      <c r="G107" s="1" t="s">
        <v>621</v>
      </c>
      <c r="H107" s="1" t="s">
        <v>32</v>
      </c>
      <c r="I107" s="1" t="s">
        <v>130</v>
      </c>
      <c r="J107" s="1" t="s">
        <v>158</v>
      </c>
      <c r="K107" s="1" t="s">
        <v>622</v>
      </c>
      <c r="L107" s="1"/>
      <c r="M107" s="1"/>
      <c r="N107" s="1" t="str">
        <f t="shared" si="16"/>
        <v>No</v>
      </c>
      <c r="O107" s="1">
        <f t="shared" si="22"/>
        <v>50</v>
      </c>
      <c r="P107" s="1">
        <f t="shared" si="17"/>
        <v>35</v>
      </c>
      <c r="Q107" s="1">
        <f t="shared" si="18"/>
        <v>5</v>
      </c>
      <c r="R107" s="1">
        <f t="shared" si="19"/>
        <v>1</v>
      </c>
      <c r="S107" s="29">
        <f t="shared" si="20"/>
        <v>142.85</v>
      </c>
      <c r="T107" s="1" t="str">
        <f t="shared" si="21"/>
        <v>not out</v>
      </c>
      <c r="U107" s="1" t="str">
        <f t="shared" si="23"/>
        <v>1</v>
      </c>
      <c r="V107" s="1" t="str">
        <f t="shared" si="24"/>
        <v xml:space="preserve"> Australia</v>
      </c>
      <c r="W107" s="1" t="str">
        <f t="shared" si="25"/>
        <v>Chandigarh</v>
      </c>
      <c r="X107" s="1" t="str">
        <f t="shared" si="26"/>
        <v>No</v>
      </c>
      <c r="Y107" s="1"/>
      <c r="Z107" s="1"/>
    </row>
    <row r="108" spans="1:26" ht="14.25" customHeight="1">
      <c r="A108" s="1"/>
      <c r="B108" s="1">
        <v>89</v>
      </c>
      <c r="C108" s="1" t="s">
        <v>140</v>
      </c>
      <c r="D108" s="1" t="s">
        <v>144</v>
      </c>
      <c r="E108" s="1" t="s">
        <v>130</v>
      </c>
      <c r="F108" s="1" t="s">
        <v>131</v>
      </c>
      <c r="G108" s="1" t="s">
        <v>503</v>
      </c>
      <c r="H108" s="1" t="s">
        <v>24</v>
      </c>
      <c r="I108" s="1" t="s">
        <v>130</v>
      </c>
      <c r="J108" s="1" t="s">
        <v>158</v>
      </c>
      <c r="K108" s="1" t="s">
        <v>44</v>
      </c>
      <c r="L108" s="1"/>
      <c r="M108" s="1"/>
      <c r="N108" s="1" t="str">
        <f t="shared" si="16"/>
        <v>No</v>
      </c>
      <c r="O108" s="1">
        <f t="shared" si="22"/>
        <v>4</v>
      </c>
      <c r="P108" s="1">
        <f t="shared" si="17"/>
        <v>7</v>
      </c>
      <c r="Q108" s="1">
        <f t="shared" si="18"/>
        <v>1</v>
      </c>
      <c r="R108" s="1">
        <f t="shared" si="19"/>
        <v>0</v>
      </c>
      <c r="S108" s="29">
        <f t="shared" si="20"/>
        <v>57.14</v>
      </c>
      <c r="T108" s="1" t="str">
        <f t="shared" si="21"/>
        <v>caught</v>
      </c>
      <c r="U108" s="1" t="str">
        <f t="shared" si="23"/>
        <v>1</v>
      </c>
      <c r="V108" s="1" t="str">
        <f t="shared" si="24"/>
        <v xml:space="preserve"> Australia</v>
      </c>
      <c r="W108" s="1" t="str">
        <f t="shared" si="25"/>
        <v>Vadodara</v>
      </c>
      <c r="X108" s="1" t="str">
        <f t="shared" si="26"/>
        <v>Yes</v>
      </c>
      <c r="Y108" s="1"/>
      <c r="Z108" s="1"/>
    </row>
    <row r="109" spans="1:26" ht="14.25" customHeight="1">
      <c r="A109" s="1"/>
      <c r="B109" s="1">
        <v>90</v>
      </c>
      <c r="C109" s="1" t="s">
        <v>313</v>
      </c>
      <c r="D109" s="1" t="s">
        <v>200</v>
      </c>
      <c r="E109" s="1" t="s">
        <v>151</v>
      </c>
      <c r="F109" s="1" t="s">
        <v>130</v>
      </c>
      <c r="G109" s="1" t="s">
        <v>623</v>
      </c>
      <c r="H109" s="1" t="s">
        <v>24</v>
      </c>
      <c r="I109" s="1" t="s">
        <v>151</v>
      </c>
      <c r="J109" s="1" t="s">
        <v>158</v>
      </c>
      <c r="K109" s="1" t="s">
        <v>50</v>
      </c>
      <c r="L109" s="1"/>
      <c r="M109" s="1"/>
      <c r="N109" s="1" t="str">
        <f t="shared" si="16"/>
        <v>No</v>
      </c>
      <c r="O109" s="1">
        <f t="shared" si="22"/>
        <v>26</v>
      </c>
      <c r="P109" s="1">
        <f t="shared" si="17"/>
        <v>29</v>
      </c>
      <c r="Q109" s="1">
        <f t="shared" si="18"/>
        <v>2</v>
      </c>
      <c r="R109" s="1">
        <f t="shared" si="19"/>
        <v>1</v>
      </c>
      <c r="S109" s="29">
        <f t="shared" si="20"/>
        <v>89.65</v>
      </c>
      <c r="T109" s="1" t="str">
        <f t="shared" si="21"/>
        <v>caught</v>
      </c>
      <c r="U109" s="1" t="str">
        <f t="shared" si="23"/>
        <v>2</v>
      </c>
      <c r="V109" s="1" t="str">
        <f t="shared" si="24"/>
        <v xml:space="preserve"> Australia</v>
      </c>
      <c r="W109" s="1" t="str">
        <f t="shared" si="25"/>
        <v>Nagpur</v>
      </c>
      <c r="X109" s="1" t="str">
        <f t="shared" si="26"/>
        <v>Yes</v>
      </c>
      <c r="Y109" s="1"/>
      <c r="Z109" s="1"/>
    </row>
    <row r="110" spans="1:26" ht="14.25" customHeight="1">
      <c r="A110" s="1"/>
      <c r="B110" s="1">
        <v>91</v>
      </c>
      <c r="C110" s="1" t="s">
        <v>202</v>
      </c>
      <c r="D110" s="1" t="s">
        <v>176</v>
      </c>
      <c r="E110" s="1" t="s">
        <v>130</v>
      </c>
      <c r="F110" s="1" t="s">
        <v>131</v>
      </c>
      <c r="G110" s="1" t="s">
        <v>357</v>
      </c>
      <c r="H110" s="1" t="s">
        <v>24</v>
      </c>
      <c r="I110" s="1" t="s">
        <v>151</v>
      </c>
      <c r="J110" s="1" t="s">
        <v>158</v>
      </c>
      <c r="K110" s="1" t="s">
        <v>75</v>
      </c>
      <c r="L110" s="1"/>
      <c r="M110" s="1"/>
      <c r="N110" s="1" t="str">
        <f t="shared" si="16"/>
        <v>No</v>
      </c>
      <c r="O110" s="1">
        <f t="shared" si="22"/>
        <v>5</v>
      </c>
      <c r="P110" s="1">
        <f t="shared" si="17"/>
        <v>11</v>
      </c>
      <c r="Q110" s="1">
        <f t="shared" si="18"/>
        <v>1</v>
      </c>
      <c r="R110" s="1">
        <f t="shared" si="19"/>
        <v>0</v>
      </c>
      <c r="S110" s="29">
        <f t="shared" si="20"/>
        <v>45.45</v>
      </c>
      <c r="T110" s="1" t="str">
        <f t="shared" si="21"/>
        <v>caught</v>
      </c>
      <c r="U110" s="1" t="str">
        <f t="shared" si="23"/>
        <v>2</v>
      </c>
      <c r="V110" s="1" t="str">
        <f t="shared" si="24"/>
        <v xml:space="preserve"> Australia</v>
      </c>
      <c r="W110" s="1" t="str">
        <f t="shared" si="25"/>
        <v>Wankhede</v>
      </c>
      <c r="X110" s="1" t="str">
        <f t="shared" si="26"/>
        <v>Yes</v>
      </c>
      <c r="Y110" s="1"/>
      <c r="Z110" s="1"/>
    </row>
    <row r="111" spans="1:26" ht="14.25" customHeight="1">
      <c r="A111" s="1"/>
      <c r="B111" s="1">
        <v>92</v>
      </c>
      <c r="C111" s="1" t="s">
        <v>262</v>
      </c>
      <c r="D111" s="1" t="s">
        <v>280</v>
      </c>
      <c r="E111" s="1" t="s">
        <v>189</v>
      </c>
      <c r="F111" s="1" t="s">
        <v>131</v>
      </c>
      <c r="G111" s="1" t="s">
        <v>145</v>
      </c>
      <c r="H111" s="1" t="s">
        <v>24</v>
      </c>
      <c r="I111" s="1" t="s">
        <v>151</v>
      </c>
      <c r="J111" s="1" t="s">
        <v>156</v>
      </c>
      <c r="K111" s="1" t="s">
        <v>66</v>
      </c>
      <c r="L111" s="1"/>
      <c r="M111" s="1"/>
      <c r="N111" s="1" t="str">
        <f t="shared" si="16"/>
        <v>No</v>
      </c>
      <c r="O111" s="1">
        <f t="shared" si="22"/>
        <v>63</v>
      </c>
      <c r="P111" s="1">
        <f t="shared" si="17"/>
        <v>77</v>
      </c>
      <c r="Q111" s="1">
        <f t="shared" si="18"/>
        <v>8</v>
      </c>
      <c r="R111" s="1">
        <f t="shared" si="19"/>
        <v>0</v>
      </c>
      <c r="S111" s="29">
        <f t="shared" si="20"/>
        <v>81.81</v>
      </c>
      <c r="T111" s="1" t="str">
        <f t="shared" si="21"/>
        <v>caught</v>
      </c>
      <c r="U111" s="1" t="str">
        <f t="shared" si="23"/>
        <v>2</v>
      </c>
      <c r="V111" s="1" t="str">
        <f t="shared" si="24"/>
        <v xml:space="preserve"> Pakistan</v>
      </c>
      <c r="W111" s="1" t="str">
        <f t="shared" si="25"/>
        <v>Guwahati</v>
      </c>
      <c r="X111" s="1" t="str">
        <f t="shared" si="26"/>
        <v>Yes</v>
      </c>
      <c r="Y111" s="1"/>
      <c r="Z111" s="1"/>
    </row>
    <row r="112" spans="1:26" ht="14.25" customHeight="1">
      <c r="A112" s="1"/>
      <c r="B112" s="1">
        <v>93</v>
      </c>
      <c r="C112" s="1" t="s">
        <v>140</v>
      </c>
      <c r="D112" s="1" t="s">
        <v>167</v>
      </c>
      <c r="E112" s="1" t="s">
        <v>131</v>
      </c>
      <c r="F112" s="1" t="s">
        <v>131</v>
      </c>
      <c r="G112" s="1" t="s">
        <v>324</v>
      </c>
      <c r="H112" s="1" t="s">
        <v>24</v>
      </c>
      <c r="I112" s="1" t="s">
        <v>130</v>
      </c>
      <c r="J112" s="1" t="s">
        <v>156</v>
      </c>
      <c r="K112" s="1" t="s">
        <v>46</v>
      </c>
      <c r="L112" s="1"/>
      <c r="M112" s="1"/>
      <c r="N112" s="1" t="str">
        <f t="shared" si="16"/>
        <v>No</v>
      </c>
      <c r="O112" s="1">
        <f t="shared" si="22"/>
        <v>4</v>
      </c>
      <c r="P112" s="1">
        <f t="shared" si="17"/>
        <v>10</v>
      </c>
      <c r="Q112" s="1">
        <f t="shared" si="18"/>
        <v>0</v>
      </c>
      <c r="R112" s="1">
        <f t="shared" si="19"/>
        <v>0</v>
      </c>
      <c r="S112" s="29">
        <f t="shared" si="20"/>
        <v>40</v>
      </c>
      <c r="T112" s="1" t="str">
        <f t="shared" si="21"/>
        <v>caught</v>
      </c>
      <c r="U112" s="1" t="str">
        <f t="shared" si="23"/>
        <v>1</v>
      </c>
      <c r="V112" s="1" t="str">
        <f t="shared" si="24"/>
        <v xml:space="preserve"> Pakistan</v>
      </c>
      <c r="W112" s="1" t="str">
        <f t="shared" si="25"/>
        <v>Mohali</v>
      </c>
      <c r="X112" s="1" t="str">
        <f t="shared" si="26"/>
        <v>Yes</v>
      </c>
      <c r="Y112" s="1"/>
      <c r="Z112" s="1"/>
    </row>
    <row r="113" spans="1:26" ht="14.25" customHeight="1">
      <c r="A113" s="1"/>
      <c r="B113" s="1">
        <v>94</v>
      </c>
      <c r="C113" s="1" t="s">
        <v>249</v>
      </c>
      <c r="D113" s="1" t="s">
        <v>327</v>
      </c>
      <c r="E113" s="1" t="s">
        <v>140</v>
      </c>
      <c r="F113" s="1" t="s">
        <v>151</v>
      </c>
      <c r="G113" s="1" t="s">
        <v>624</v>
      </c>
      <c r="H113" s="1" t="s">
        <v>29</v>
      </c>
      <c r="I113" s="1" t="s">
        <v>130</v>
      </c>
      <c r="J113" s="1" t="s">
        <v>156</v>
      </c>
      <c r="K113" s="1" t="s">
        <v>101</v>
      </c>
      <c r="L113" s="1"/>
      <c r="M113" s="1"/>
      <c r="N113" s="1" t="str">
        <f t="shared" si="16"/>
        <v>No</v>
      </c>
      <c r="O113" s="1">
        <f t="shared" si="22"/>
        <v>49</v>
      </c>
      <c r="P113" s="1">
        <f t="shared" si="17"/>
        <v>52</v>
      </c>
      <c r="Q113" s="1">
        <f t="shared" si="18"/>
        <v>4</v>
      </c>
      <c r="R113" s="1">
        <f t="shared" si="19"/>
        <v>2</v>
      </c>
      <c r="S113" s="29">
        <f t="shared" si="20"/>
        <v>94.23</v>
      </c>
      <c r="T113" s="1" t="str">
        <f t="shared" si="21"/>
        <v>bowled</v>
      </c>
      <c r="U113" s="1" t="str">
        <f t="shared" si="23"/>
        <v>1</v>
      </c>
      <c r="V113" s="1" t="str">
        <f t="shared" si="24"/>
        <v xml:space="preserve"> Pakistan</v>
      </c>
      <c r="W113" s="1" t="str">
        <f t="shared" si="25"/>
        <v>Kanpur</v>
      </c>
      <c r="X113" s="1" t="str">
        <f t="shared" si="26"/>
        <v>Yes</v>
      </c>
      <c r="Y113" s="1"/>
      <c r="Z113" s="1"/>
    </row>
    <row r="114" spans="1:26" ht="14.25" customHeight="1">
      <c r="A114" s="1"/>
      <c r="B114" s="1">
        <v>95</v>
      </c>
      <c r="C114" s="1" t="s">
        <v>554</v>
      </c>
      <c r="D114" s="1" t="s">
        <v>405</v>
      </c>
      <c r="E114" s="1" t="s">
        <v>148</v>
      </c>
      <c r="F114" s="1" t="s">
        <v>130</v>
      </c>
      <c r="G114" s="1" t="s">
        <v>152</v>
      </c>
      <c r="H114" s="1" t="s">
        <v>32</v>
      </c>
      <c r="I114" s="1" t="s">
        <v>151</v>
      </c>
      <c r="J114" s="1" t="s">
        <v>156</v>
      </c>
      <c r="K114" s="1" t="s">
        <v>58</v>
      </c>
      <c r="L114" s="1"/>
      <c r="M114" s="1"/>
      <c r="N114" s="1" t="str">
        <f t="shared" si="16"/>
        <v>No</v>
      </c>
      <c r="O114" s="1">
        <f t="shared" si="22"/>
        <v>45</v>
      </c>
      <c r="P114" s="1">
        <f t="shared" si="17"/>
        <v>45</v>
      </c>
      <c r="Q114" s="1">
        <f t="shared" si="18"/>
        <v>3</v>
      </c>
      <c r="R114" s="1">
        <f t="shared" si="19"/>
        <v>1</v>
      </c>
      <c r="S114" s="29">
        <f t="shared" si="20"/>
        <v>100</v>
      </c>
      <c r="T114" s="1" t="str">
        <f t="shared" si="21"/>
        <v>not out</v>
      </c>
      <c r="U114" s="1" t="str">
        <f t="shared" si="23"/>
        <v>2</v>
      </c>
      <c r="V114" s="1" t="str">
        <f t="shared" si="24"/>
        <v xml:space="preserve"> Pakistan</v>
      </c>
      <c r="W114" s="1" t="str">
        <f t="shared" si="25"/>
        <v>Gwalior</v>
      </c>
      <c r="X114" s="1" t="str">
        <f t="shared" si="26"/>
        <v>No</v>
      </c>
      <c r="Y114" s="1"/>
      <c r="Z114" s="1"/>
    </row>
    <row r="115" spans="1:26" ht="14.25" customHeight="1">
      <c r="A115" s="1"/>
      <c r="B115" s="1">
        <v>96</v>
      </c>
      <c r="C115" s="1" t="s">
        <v>154</v>
      </c>
      <c r="D115" s="1" t="s">
        <v>521</v>
      </c>
      <c r="E115" s="1" t="s">
        <v>130</v>
      </c>
      <c r="F115" s="1" t="s">
        <v>131</v>
      </c>
      <c r="G115" s="1" t="s">
        <v>178</v>
      </c>
      <c r="H115" s="1" t="s">
        <v>24</v>
      </c>
      <c r="I115" s="1" t="s">
        <v>151</v>
      </c>
      <c r="J115" s="1" t="s">
        <v>156</v>
      </c>
      <c r="K115" s="1" t="s">
        <v>56</v>
      </c>
      <c r="L115" s="1"/>
      <c r="M115" s="1"/>
      <c r="N115" s="1" t="str">
        <f t="shared" si="16"/>
        <v>No</v>
      </c>
      <c r="O115" s="1">
        <f t="shared" si="22"/>
        <v>24</v>
      </c>
      <c r="P115" s="1">
        <f t="shared" si="17"/>
        <v>32</v>
      </c>
      <c r="Q115" s="1">
        <f t="shared" si="18"/>
        <v>1</v>
      </c>
      <c r="R115" s="1">
        <f t="shared" si="19"/>
        <v>0</v>
      </c>
      <c r="S115" s="29">
        <f t="shared" si="20"/>
        <v>75</v>
      </c>
      <c r="T115" s="1" t="str">
        <f t="shared" si="21"/>
        <v>caught</v>
      </c>
      <c r="U115" s="1" t="str">
        <f t="shared" si="23"/>
        <v>2</v>
      </c>
      <c r="V115" s="1" t="str">
        <f t="shared" si="24"/>
        <v xml:space="preserve"> Pakistan</v>
      </c>
      <c r="W115" s="1" t="str">
        <f t="shared" si="25"/>
        <v>Jaipur</v>
      </c>
      <c r="X115" s="1" t="str">
        <f t="shared" si="26"/>
        <v>Yes</v>
      </c>
      <c r="Y115" s="1"/>
      <c r="Z115" s="1"/>
    </row>
    <row r="116" spans="1:26" ht="14.25" customHeight="1">
      <c r="A116" s="1"/>
      <c r="B116" s="1">
        <v>97</v>
      </c>
      <c r="C116" s="1" t="s">
        <v>134</v>
      </c>
      <c r="D116" s="1" t="s">
        <v>334</v>
      </c>
      <c r="E116" s="1" t="s">
        <v>130</v>
      </c>
      <c r="F116" s="1" t="s">
        <v>131</v>
      </c>
      <c r="G116" s="1" t="s">
        <v>625</v>
      </c>
      <c r="H116" s="1" t="s">
        <v>24</v>
      </c>
      <c r="I116" s="1" t="s">
        <v>130</v>
      </c>
      <c r="J116" s="1" t="s">
        <v>158</v>
      </c>
      <c r="K116" s="1" t="s">
        <v>91</v>
      </c>
      <c r="L116" s="1"/>
      <c r="M116" s="1"/>
      <c r="N116" s="1" t="str">
        <f t="shared" si="16"/>
        <v>No</v>
      </c>
      <c r="O116" s="1">
        <f t="shared" si="22"/>
        <v>37</v>
      </c>
      <c r="P116" s="1">
        <f t="shared" si="17"/>
        <v>61</v>
      </c>
      <c r="Q116" s="1">
        <f t="shared" si="18"/>
        <v>1</v>
      </c>
      <c r="R116" s="1">
        <f t="shared" si="19"/>
        <v>0</v>
      </c>
      <c r="S116" s="29">
        <f t="shared" si="20"/>
        <v>60.65</v>
      </c>
      <c r="T116" s="1" t="str">
        <f t="shared" si="21"/>
        <v>caught</v>
      </c>
      <c r="U116" s="1" t="str">
        <f t="shared" si="23"/>
        <v>1</v>
      </c>
      <c r="V116" s="1" t="str">
        <f t="shared" si="24"/>
        <v xml:space="preserve"> Australia</v>
      </c>
      <c r="W116" s="1" t="str">
        <f t="shared" si="25"/>
        <v>Brisbane</v>
      </c>
      <c r="X116" s="1" t="str">
        <f t="shared" si="26"/>
        <v>Yes</v>
      </c>
      <c r="Y116" s="1"/>
      <c r="Z116" s="1"/>
    </row>
    <row r="117" spans="1:26" ht="14.25" customHeight="1">
      <c r="A117" s="1"/>
      <c r="B117" s="1">
        <v>98</v>
      </c>
      <c r="C117" s="1" t="s">
        <v>626</v>
      </c>
      <c r="D117" s="1" t="s">
        <v>187</v>
      </c>
      <c r="E117" s="1" t="s">
        <v>202</v>
      </c>
      <c r="F117" s="1" t="s">
        <v>130</v>
      </c>
      <c r="G117" s="1" t="s">
        <v>627</v>
      </c>
      <c r="H117" s="1" t="s">
        <v>32</v>
      </c>
      <c r="I117" s="1" t="s">
        <v>130</v>
      </c>
      <c r="J117" s="1" t="s">
        <v>133</v>
      </c>
      <c r="K117" s="1" t="s">
        <v>91</v>
      </c>
      <c r="L117" s="1"/>
      <c r="M117" s="1"/>
      <c r="N117" s="1" t="str">
        <f t="shared" si="16"/>
        <v>No</v>
      </c>
      <c r="O117" s="1">
        <f t="shared" si="22"/>
        <v>88</v>
      </c>
      <c r="P117" s="1">
        <f t="shared" si="17"/>
        <v>95</v>
      </c>
      <c r="Q117" s="1">
        <f t="shared" si="18"/>
        <v>5</v>
      </c>
      <c r="R117" s="1">
        <f t="shared" si="19"/>
        <v>1</v>
      </c>
      <c r="S117" s="29">
        <f t="shared" si="20"/>
        <v>92.63</v>
      </c>
      <c r="T117" s="1" t="str">
        <f t="shared" si="21"/>
        <v>not out</v>
      </c>
      <c r="U117" s="1" t="str">
        <f t="shared" si="23"/>
        <v>1</v>
      </c>
      <c r="V117" s="1" t="str">
        <f t="shared" si="24"/>
        <v xml:space="preserve"> Sri Lanka</v>
      </c>
      <c r="W117" s="1" t="str">
        <f t="shared" si="25"/>
        <v>Brisbane</v>
      </c>
      <c r="X117" s="1" t="str">
        <f t="shared" si="26"/>
        <v>No</v>
      </c>
      <c r="Y117" s="1"/>
      <c r="Z117" s="1"/>
    </row>
    <row r="118" spans="1:26" ht="14.25" customHeight="1">
      <c r="A118" s="1"/>
      <c r="B118" s="1">
        <v>99</v>
      </c>
      <c r="C118" s="1" t="s">
        <v>628</v>
      </c>
      <c r="D118" s="1" t="s">
        <v>142</v>
      </c>
      <c r="E118" s="1" t="s">
        <v>131</v>
      </c>
      <c r="F118" s="1" t="s">
        <v>131</v>
      </c>
      <c r="G118" s="1" t="s">
        <v>629</v>
      </c>
      <c r="H118" s="1" t="s">
        <v>32</v>
      </c>
      <c r="I118" s="1" t="s">
        <v>151</v>
      </c>
      <c r="J118" s="1" t="s">
        <v>158</v>
      </c>
      <c r="K118" s="1" t="s">
        <v>88</v>
      </c>
      <c r="L118" s="1"/>
      <c r="M118" s="1"/>
      <c r="N118" s="1" t="str">
        <f t="shared" si="16"/>
        <v>No</v>
      </c>
      <c r="O118" s="1">
        <f t="shared" si="22"/>
        <v>17</v>
      </c>
      <c r="P118" s="1">
        <f t="shared" si="17"/>
        <v>54</v>
      </c>
      <c r="Q118" s="1">
        <f t="shared" si="18"/>
        <v>0</v>
      </c>
      <c r="R118" s="1">
        <f t="shared" si="19"/>
        <v>0</v>
      </c>
      <c r="S118" s="29">
        <f t="shared" si="20"/>
        <v>31.48</v>
      </c>
      <c r="T118" s="1" t="str">
        <f t="shared" si="21"/>
        <v>not out</v>
      </c>
      <c r="U118" s="1" t="str">
        <f t="shared" si="23"/>
        <v>2</v>
      </c>
      <c r="V118" s="1" t="str">
        <f t="shared" si="24"/>
        <v xml:space="preserve"> Australia</v>
      </c>
      <c r="W118" s="1" t="str">
        <f t="shared" si="25"/>
        <v>Melbourne</v>
      </c>
      <c r="X118" s="1" t="str">
        <f t="shared" si="26"/>
        <v>No</v>
      </c>
      <c r="Y118" s="1"/>
      <c r="Z118" s="1"/>
    </row>
    <row r="119" spans="1:26" ht="14.25" customHeight="1">
      <c r="A119" s="1"/>
      <c r="B119" s="1">
        <v>100</v>
      </c>
      <c r="C119" s="1" t="s">
        <v>146</v>
      </c>
      <c r="D119" s="1" t="s">
        <v>313</v>
      </c>
      <c r="E119" s="1" t="s">
        <v>148</v>
      </c>
      <c r="F119" s="1" t="s">
        <v>131</v>
      </c>
      <c r="G119" s="1" t="s">
        <v>630</v>
      </c>
      <c r="H119" s="1" t="s">
        <v>26</v>
      </c>
      <c r="I119" s="1" t="s">
        <v>130</v>
      </c>
      <c r="J119" s="1" t="s">
        <v>133</v>
      </c>
      <c r="K119" s="1" t="s">
        <v>111</v>
      </c>
      <c r="L119" s="1"/>
      <c r="M119" s="1"/>
      <c r="N119" s="1" t="str">
        <f t="shared" si="16"/>
        <v>No</v>
      </c>
      <c r="O119" s="1">
        <f t="shared" si="22"/>
        <v>31</v>
      </c>
      <c r="P119" s="1">
        <f t="shared" si="17"/>
        <v>26</v>
      </c>
      <c r="Q119" s="1">
        <f t="shared" si="18"/>
        <v>3</v>
      </c>
      <c r="R119" s="1">
        <f t="shared" si="19"/>
        <v>0</v>
      </c>
      <c r="S119" s="29">
        <f t="shared" si="20"/>
        <v>119.23</v>
      </c>
      <c r="T119" s="1" t="str">
        <f t="shared" si="21"/>
        <v>run out</v>
      </c>
      <c r="U119" s="1" t="str">
        <f t="shared" si="23"/>
        <v>1</v>
      </c>
      <c r="V119" s="1" t="str">
        <f t="shared" si="24"/>
        <v xml:space="preserve"> Sri Lanka</v>
      </c>
      <c r="W119" s="1" t="str">
        <f t="shared" si="25"/>
        <v>Canberra</v>
      </c>
      <c r="X119" s="1" t="str">
        <f t="shared" si="26"/>
        <v>Yes</v>
      </c>
      <c r="Y119" s="1"/>
      <c r="Z119" s="1"/>
    </row>
    <row r="120" spans="1:26" ht="14.25" customHeight="1">
      <c r="A120" s="1"/>
      <c r="B120" s="1">
        <v>101</v>
      </c>
      <c r="C120" s="1" t="s">
        <v>134</v>
      </c>
      <c r="D120" s="1" t="s">
        <v>360</v>
      </c>
      <c r="E120" s="1" t="s">
        <v>130</v>
      </c>
      <c r="F120" s="1" t="s">
        <v>131</v>
      </c>
      <c r="G120" s="1" t="s">
        <v>631</v>
      </c>
      <c r="H120" s="1" t="s">
        <v>26</v>
      </c>
      <c r="I120" s="1" t="s">
        <v>151</v>
      </c>
      <c r="J120" s="1" t="s">
        <v>158</v>
      </c>
      <c r="K120" s="1" t="s">
        <v>90</v>
      </c>
      <c r="L120" s="1"/>
      <c r="M120" s="1"/>
      <c r="N120" s="1" t="str">
        <f t="shared" si="16"/>
        <v>No</v>
      </c>
      <c r="O120" s="1">
        <f t="shared" si="22"/>
        <v>37</v>
      </c>
      <c r="P120" s="1">
        <f t="shared" si="17"/>
        <v>50</v>
      </c>
      <c r="Q120" s="1">
        <f t="shared" si="18"/>
        <v>1</v>
      </c>
      <c r="R120" s="1">
        <f t="shared" si="19"/>
        <v>0</v>
      </c>
      <c r="S120" s="29">
        <f t="shared" si="20"/>
        <v>74</v>
      </c>
      <c r="T120" s="1" t="str">
        <f t="shared" si="21"/>
        <v>run out</v>
      </c>
      <c r="U120" s="1" t="str">
        <f t="shared" si="23"/>
        <v>2</v>
      </c>
      <c r="V120" s="1" t="str">
        <f t="shared" si="24"/>
        <v xml:space="preserve"> Australia</v>
      </c>
      <c r="W120" s="1" t="str">
        <f t="shared" si="25"/>
        <v>Adelaide</v>
      </c>
      <c r="X120" s="1" t="str">
        <f t="shared" si="26"/>
        <v>Yes</v>
      </c>
      <c r="Y120" s="1"/>
      <c r="Z120" s="1"/>
    </row>
    <row r="121" spans="1:26" ht="14.25" customHeight="1">
      <c r="A121" s="1"/>
      <c r="B121" s="1">
        <v>102</v>
      </c>
      <c r="C121" s="1" t="s">
        <v>620</v>
      </c>
      <c r="D121" s="1" t="s">
        <v>184</v>
      </c>
      <c r="E121" s="1" t="s">
        <v>131</v>
      </c>
      <c r="F121" s="1" t="s">
        <v>131</v>
      </c>
      <c r="G121" s="1" t="s">
        <v>632</v>
      </c>
      <c r="H121" s="1" t="s">
        <v>32</v>
      </c>
      <c r="I121" s="1" t="s">
        <v>151</v>
      </c>
      <c r="J121" s="1" t="s">
        <v>133</v>
      </c>
      <c r="K121" s="1" t="s">
        <v>90</v>
      </c>
      <c r="L121" s="1"/>
      <c r="M121" s="1"/>
      <c r="N121" s="1" t="str">
        <f t="shared" si="16"/>
        <v>No</v>
      </c>
      <c r="O121" s="1">
        <f t="shared" si="22"/>
        <v>50</v>
      </c>
      <c r="P121" s="1">
        <f t="shared" si="17"/>
        <v>68</v>
      </c>
      <c r="Q121" s="1">
        <f t="shared" si="18"/>
        <v>0</v>
      </c>
      <c r="R121" s="1">
        <f t="shared" si="19"/>
        <v>0</v>
      </c>
      <c r="S121" s="29">
        <f t="shared" si="20"/>
        <v>73.52</v>
      </c>
      <c r="T121" s="1" t="str">
        <f t="shared" si="21"/>
        <v>not out</v>
      </c>
      <c r="U121" s="1" t="str">
        <f t="shared" si="23"/>
        <v>2</v>
      </c>
      <c r="V121" s="1" t="str">
        <f t="shared" si="24"/>
        <v xml:space="preserve"> Sri Lanka</v>
      </c>
      <c r="W121" s="1" t="str">
        <f t="shared" si="25"/>
        <v>Adelaide</v>
      </c>
      <c r="X121" s="1" t="str">
        <f t="shared" si="26"/>
        <v>No</v>
      </c>
      <c r="Y121" s="1"/>
      <c r="Z121" s="1"/>
    </row>
    <row r="122" spans="1:26" ht="14.25" customHeight="1">
      <c r="A122" s="1"/>
      <c r="B122" s="1">
        <v>103</v>
      </c>
      <c r="C122" s="1" t="s">
        <v>258</v>
      </c>
      <c r="D122" s="1" t="s">
        <v>143</v>
      </c>
      <c r="E122" s="1" t="s">
        <v>140</v>
      </c>
      <c r="F122" s="1" t="s">
        <v>131</v>
      </c>
      <c r="G122" s="1" t="s">
        <v>132</v>
      </c>
      <c r="H122" s="1" t="s">
        <v>24</v>
      </c>
      <c r="I122" s="1" t="s">
        <v>151</v>
      </c>
      <c r="J122" s="1" t="s">
        <v>158</v>
      </c>
      <c r="K122" s="1" t="s">
        <v>92</v>
      </c>
      <c r="L122" s="1"/>
      <c r="M122" s="1"/>
      <c r="N122" s="1" t="str">
        <f t="shared" si="16"/>
        <v>No</v>
      </c>
      <c r="O122" s="1">
        <f t="shared" si="22"/>
        <v>36</v>
      </c>
      <c r="P122" s="1">
        <f t="shared" si="17"/>
        <v>66</v>
      </c>
      <c r="Q122" s="1">
        <f t="shared" si="18"/>
        <v>4</v>
      </c>
      <c r="R122" s="1">
        <f t="shared" si="19"/>
        <v>0</v>
      </c>
      <c r="S122" s="29">
        <f t="shared" si="20"/>
        <v>54.54</v>
      </c>
      <c r="T122" s="1" t="str">
        <f t="shared" si="21"/>
        <v>caught</v>
      </c>
      <c r="U122" s="1" t="str">
        <f t="shared" si="23"/>
        <v>2</v>
      </c>
      <c r="V122" s="1" t="str">
        <f t="shared" si="24"/>
        <v xml:space="preserve"> Australia</v>
      </c>
      <c r="W122" s="1" t="str">
        <f t="shared" si="25"/>
        <v>Sydney</v>
      </c>
      <c r="X122" s="1" t="str">
        <f t="shared" si="26"/>
        <v>Yes</v>
      </c>
      <c r="Y122" s="1"/>
      <c r="Z122" s="1"/>
    </row>
    <row r="123" spans="1:26" ht="14.25" customHeight="1">
      <c r="A123" s="1"/>
      <c r="B123" s="1">
        <v>104</v>
      </c>
      <c r="C123" s="1" t="s">
        <v>57</v>
      </c>
      <c r="D123" s="1" t="s">
        <v>157</v>
      </c>
      <c r="E123" s="1" t="s">
        <v>157</v>
      </c>
      <c r="F123" s="1" t="s">
        <v>157</v>
      </c>
      <c r="G123" s="1" t="s">
        <v>157</v>
      </c>
      <c r="H123" s="1" t="s">
        <v>157</v>
      </c>
      <c r="I123" s="1" t="s">
        <v>151</v>
      </c>
      <c r="J123" s="1" t="s">
        <v>133</v>
      </c>
      <c r="K123" s="1" t="s">
        <v>93</v>
      </c>
      <c r="L123" s="1"/>
      <c r="M123" s="1"/>
      <c r="N123" s="1" t="str">
        <f t="shared" si="16"/>
        <v>Yes</v>
      </c>
      <c r="O123" s="1" t="str">
        <f t="shared" si="22"/>
        <v>NA</v>
      </c>
      <c r="P123" s="1" t="str">
        <f t="shared" si="17"/>
        <v>NA</v>
      </c>
      <c r="Q123" s="1" t="str">
        <f t="shared" si="18"/>
        <v>NA</v>
      </c>
      <c r="R123" s="1" t="str">
        <f t="shared" si="19"/>
        <v>NA</v>
      </c>
      <c r="S123" s="29" t="str">
        <f t="shared" si="20"/>
        <v>NA</v>
      </c>
      <c r="T123" s="1" t="str">
        <f t="shared" si="21"/>
        <v>NA</v>
      </c>
      <c r="U123" s="1" t="str">
        <f t="shared" si="23"/>
        <v>2</v>
      </c>
      <c r="V123" s="1" t="str">
        <f t="shared" si="24"/>
        <v xml:space="preserve"> Sri Lanka</v>
      </c>
      <c r="W123" s="1" t="str">
        <f t="shared" si="25"/>
        <v>Hobart</v>
      </c>
      <c r="X123" s="1" t="str">
        <f t="shared" si="26"/>
        <v>No</v>
      </c>
      <c r="Y123" s="1"/>
      <c r="Z123" s="1"/>
    </row>
    <row r="124" spans="1:26" ht="14.25" customHeight="1">
      <c r="A124" s="1"/>
      <c r="B124" s="1">
        <v>105</v>
      </c>
      <c r="C124" s="1" t="s">
        <v>540</v>
      </c>
      <c r="D124" s="1" t="s">
        <v>128</v>
      </c>
      <c r="E124" s="1" t="s">
        <v>148</v>
      </c>
      <c r="F124" s="1" t="s">
        <v>131</v>
      </c>
      <c r="G124" s="1" t="s">
        <v>633</v>
      </c>
      <c r="H124" s="1" t="s">
        <v>32</v>
      </c>
      <c r="I124" s="1" t="s">
        <v>151</v>
      </c>
      <c r="J124" s="1" t="s">
        <v>158</v>
      </c>
      <c r="K124" s="1" t="s">
        <v>92</v>
      </c>
      <c r="L124" s="1"/>
      <c r="M124" s="1"/>
      <c r="N124" s="1" t="str">
        <f t="shared" si="16"/>
        <v>No</v>
      </c>
      <c r="O124" s="1">
        <f t="shared" si="22"/>
        <v>15</v>
      </c>
      <c r="P124" s="1">
        <f t="shared" si="17"/>
        <v>12</v>
      </c>
      <c r="Q124" s="1">
        <f t="shared" si="18"/>
        <v>3</v>
      </c>
      <c r="R124" s="1">
        <f t="shared" si="19"/>
        <v>0</v>
      </c>
      <c r="S124" s="29">
        <f t="shared" si="20"/>
        <v>125</v>
      </c>
      <c r="T124" s="1" t="str">
        <f t="shared" si="21"/>
        <v>not out</v>
      </c>
      <c r="U124" s="1" t="str">
        <f t="shared" si="23"/>
        <v>2</v>
      </c>
      <c r="V124" s="1" t="str">
        <f t="shared" si="24"/>
        <v xml:space="preserve"> Australia</v>
      </c>
      <c r="W124" s="1" t="str">
        <f t="shared" si="25"/>
        <v>Sydney</v>
      </c>
      <c r="X124" s="1" t="str">
        <f t="shared" si="26"/>
        <v>No</v>
      </c>
      <c r="Y124" s="1"/>
      <c r="Z124" s="1"/>
    </row>
    <row r="125" spans="1:26" ht="14.25" customHeight="1">
      <c r="A125" s="1"/>
      <c r="B125" s="1">
        <v>106</v>
      </c>
      <c r="C125" s="1" t="s">
        <v>258</v>
      </c>
      <c r="D125" s="1" t="s">
        <v>134</v>
      </c>
      <c r="E125" s="1" t="s">
        <v>151</v>
      </c>
      <c r="F125" s="1" t="s">
        <v>130</v>
      </c>
      <c r="G125" s="1" t="s">
        <v>634</v>
      </c>
      <c r="H125" s="1" t="s">
        <v>24</v>
      </c>
      <c r="I125" s="1" t="s">
        <v>130</v>
      </c>
      <c r="J125" s="1" t="s">
        <v>158</v>
      </c>
      <c r="K125" s="1" t="s">
        <v>91</v>
      </c>
      <c r="L125" s="1"/>
      <c r="M125" s="1"/>
      <c r="N125" s="1" t="str">
        <f t="shared" si="16"/>
        <v>No</v>
      </c>
      <c r="O125" s="1">
        <f t="shared" si="22"/>
        <v>36</v>
      </c>
      <c r="P125" s="1">
        <f t="shared" si="17"/>
        <v>37</v>
      </c>
      <c r="Q125" s="1">
        <f t="shared" si="18"/>
        <v>2</v>
      </c>
      <c r="R125" s="1">
        <f t="shared" si="19"/>
        <v>1</v>
      </c>
      <c r="S125" s="29">
        <f t="shared" si="20"/>
        <v>97.29</v>
      </c>
      <c r="T125" s="1" t="str">
        <f t="shared" si="21"/>
        <v>caught</v>
      </c>
      <c r="U125" s="1" t="str">
        <f t="shared" si="23"/>
        <v>1</v>
      </c>
      <c r="V125" s="1" t="str">
        <f t="shared" si="24"/>
        <v xml:space="preserve"> Australia</v>
      </c>
      <c r="W125" s="1" t="str">
        <f t="shared" si="25"/>
        <v>Brisbane</v>
      </c>
      <c r="X125" s="1" t="str">
        <f t="shared" si="26"/>
        <v>Yes</v>
      </c>
      <c r="Y125" s="1"/>
      <c r="Z125" s="1"/>
    </row>
    <row r="126" spans="1:26" ht="14.25" customHeight="1">
      <c r="A126" s="1"/>
      <c r="B126" s="1">
        <v>107</v>
      </c>
      <c r="C126" s="1" t="s">
        <v>154</v>
      </c>
      <c r="D126" s="1" t="s">
        <v>304</v>
      </c>
      <c r="E126" s="1" t="s">
        <v>202</v>
      </c>
      <c r="F126" s="1" t="s">
        <v>131</v>
      </c>
      <c r="G126" s="1" t="s">
        <v>635</v>
      </c>
      <c r="H126" s="1" t="s">
        <v>19</v>
      </c>
      <c r="I126" s="1" t="s">
        <v>130</v>
      </c>
      <c r="J126" s="1" t="s">
        <v>156</v>
      </c>
      <c r="K126" s="1" t="s">
        <v>53</v>
      </c>
      <c r="L126" s="1"/>
      <c r="M126" s="1"/>
      <c r="N126" s="1" t="str">
        <f t="shared" si="16"/>
        <v>No</v>
      </c>
      <c r="O126" s="1">
        <f t="shared" si="22"/>
        <v>24</v>
      </c>
      <c r="P126" s="1">
        <f t="shared" si="17"/>
        <v>23</v>
      </c>
      <c r="Q126" s="1">
        <f t="shared" si="18"/>
        <v>5</v>
      </c>
      <c r="R126" s="1">
        <f t="shared" si="19"/>
        <v>0</v>
      </c>
      <c r="S126" s="29">
        <f t="shared" si="20"/>
        <v>104.34</v>
      </c>
      <c r="T126" s="1" t="str">
        <f t="shared" si="21"/>
        <v>lbw</v>
      </c>
      <c r="U126" s="1" t="str">
        <f t="shared" si="23"/>
        <v>1</v>
      </c>
      <c r="V126" s="1" t="str">
        <f t="shared" si="24"/>
        <v xml:space="preserve"> Pakistan</v>
      </c>
      <c r="W126" s="1" t="str">
        <f t="shared" si="25"/>
        <v>Mirpur</v>
      </c>
      <c r="X126" s="1" t="str">
        <f t="shared" si="26"/>
        <v>Yes</v>
      </c>
      <c r="Y126" s="1"/>
      <c r="Z126" s="1"/>
    </row>
    <row r="127" spans="1:26" ht="14.25" customHeight="1">
      <c r="A127" s="1"/>
      <c r="B127" s="1">
        <v>108</v>
      </c>
      <c r="C127" s="1" t="s">
        <v>57</v>
      </c>
      <c r="D127" s="1" t="s">
        <v>157</v>
      </c>
      <c r="E127" s="1" t="s">
        <v>157</v>
      </c>
      <c r="F127" s="1" t="s">
        <v>157</v>
      </c>
      <c r="G127" s="1" t="s">
        <v>157</v>
      </c>
      <c r="H127" s="1" t="s">
        <v>157</v>
      </c>
      <c r="I127" s="1" t="s">
        <v>151</v>
      </c>
      <c r="J127" s="1" t="s">
        <v>182</v>
      </c>
      <c r="K127" s="1" t="s">
        <v>53</v>
      </c>
      <c r="L127" s="1"/>
      <c r="M127" s="1"/>
      <c r="N127" s="1" t="str">
        <f t="shared" si="16"/>
        <v>Yes</v>
      </c>
      <c r="O127" s="1" t="str">
        <f t="shared" si="22"/>
        <v>NA</v>
      </c>
      <c r="P127" s="1" t="str">
        <f t="shared" si="17"/>
        <v>NA</v>
      </c>
      <c r="Q127" s="1" t="str">
        <f t="shared" si="18"/>
        <v>NA</v>
      </c>
      <c r="R127" s="1" t="str">
        <f t="shared" si="19"/>
        <v>NA</v>
      </c>
      <c r="S127" s="29" t="str">
        <f t="shared" si="20"/>
        <v>NA</v>
      </c>
      <c r="T127" s="1" t="str">
        <f t="shared" si="21"/>
        <v>NA</v>
      </c>
      <c r="U127" s="1" t="str">
        <f t="shared" si="23"/>
        <v>2</v>
      </c>
      <c r="V127" s="1" t="str">
        <f t="shared" si="24"/>
        <v xml:space="preserve"> Bangladesh</v>
      </c>
      <c r="W127" s="1" t="str">
        <f t="shared" si="25"/>
        <v>Mirpur</v>
      </c>
      <c r="X127" s="1" t="str">
        <f t="shared" si="26"/>
        <v>No</v>
      </c>
      <c r="Y127" s="1"/>
      <c r="Z127" s="1"/>
    </row>
    <row r="128" spans="1:26" ht="14.25" customHeight="1">
      <c r="A128" s="1"/>
      <c r="B128" s="1">
        <v>109</v>
      </c>
      <c r="C128" s="1" t="s">
        <v>218</v>
      </c>
      <c r="D128" s="1" t="s">
        <v>241</v>
      </c>
      <c r="E128" s="1" t="s">
        <v>148</v>
      </c>
      <c r="F128" s="1" t="s">
        <v>151</v>
      </c>
      <c r="G128" s="1" t="s">
        <v>636</v>
      </c>
      <c r="H128" s="1" t="s">
        <v>24</v>
      </c>
      <c r="I128" s="1" t="s">
        <v>151</v>
      </c>
      <c r="J128" s="1" t="s">
        <v>156</v>
      </c>
      <c r="K128" s="1" t="s">
        <v>53</v>
      </c>
      <c r="L128" s="1"/>
      <c r="M128" s="1"/>
      <c r="N128" s="1" t="str">
        <f t="shared" si="16"/>
        <v>No</v>
      </c>
      <c r="O128" s="1">
        <f t="shared" si="22"/>
        <v>64</v>
      </c>
      <c r="P128" s="1">
        <f t="shared" si="17"/>
        <v>59</v>
      </c>
      <c r="Q128" s="1">
        <f t="shared" si="18"/>
        <v>3</v>
      </c>
      <c r="R128" s="1">
        <f t="shared" si="19"/>
        <v>2</v>
      </c>
      <c r="S128" s="29">
        <f t="shared" si="20"/>
        <v>108.47</v>
      </c>
      <c r="T128" s="1" t="str">
        <f t="shared" si="21"/>
        <v>caught</v>
      </c>
      <c r="U128" s="1" t="str">
        <f t="shared" si="23"/>
        <v>2</v>
      </c>
      <c r="V128" s="1" t="str">
        <f t="shared" si="24"/>
        <v xml:space="preserve"> Pakistan</v>
      </c>
      <c r="W128" s="1" t="str">
        <f t="shared" si="25"/>
        <v>Mirpur</v>
      </c>
      <c r="X128" s="1" t="str">
        <f t="shared" si="26"/>
        <v>Yes</v>
      </c>
      <c r="Y128" s="1"/>
      <c r="Z128" s="1"/>
    </row>
    <row r="129" spans="1:26" ht="14.25" customHeight="1">
      <c r="A129" s="1"/>
      <c r="B129" s="1">
        <v>110</v>
      </c>
      <c r="C129" s="1" t="s">
        <v>637</v>
      </c>
      <c r="D129" s="1" t="s">
        <v>430</v>
      </c>
      <c r="E129" s="1" t="s">
        <v>136</v>
      </c>
      <c r="F129" s="1" t="s">
        <v>136</v>
      </c>
      <c r="G129" s="1" t="s">
        <v>638</v>
      </c>
      <c r="H129" s="1" t="s">
        <v>32</v>
      </c>
      <c r="I129" s="1" t="s">
        <v>130</v>
      </c>
      <c r="J129" s="1" t="s">
        <v>639</v>
      </c>
      <c r="K129" s="1" t="s">
        <v>568</v>
      </c>
      <c r="L129" s="1"/>
      <c r="M129" s="1"/>
      <c r="N129" s="1" t="str">
        <f t="shared" si="16"/>
        <v>No</v>
      </c>
      <c r="O129" s="1">
        <f t="shared" si="22"/>
        <v>109</v>
      </c>
      <c r="P129" s="1">
        <f t="shared" si="17"/>
        <v>96</v>
      </c>
      <c r="Q129" s="1">
        <f t="shared" si="18"/>
        <v>6</v>
      </c>
      <c r="R129" s="1">
        <f t="shared" si="19"/>
        <v>6</v>
      </c>
      <c r="S129" s="29">
        <f t="shared" si="20"/>
        <v>113.54</v>
      </c>
      <c r="T129" s="1" t="str">
        <f t="shared" si="21"/>
        <v>not out</v>
      </c>
      <c r="U129" s="1" t="str">
        <f t="shared" si="23"/>
        <v>1</v>
      </c>
      <c r="V129" s="1" t="str">
        <f t="shared" si="24"/>
        <v xml:space="preserve"> Hong Kong</v>
      </c>
      <c r="W129" s="1" t="str">
        <f t="shared" si="25"/>
        <v>Karachi</v>
      </c>
      <c r="X129" s="1" t="str">
        <f t="shared" si="26"/>
        <v>No</v>
      </c>
      <c r="Y129" s="1"/>
      <c r="Z129" s="1"/>
    </row>
    <row r="130" spans="1:26" ht="14.25" customHeight="1">
      <c r="A130" s="1"/>
      <c r="B130" s="1">
        <v>111</v>
      </c>
      <c r="C130" s="1" t="s">
        <v>640</v>
      </c>
      <c r="D130" s="1" t="s">
        <v>164</v>
      </c>
      <c r="E130" s="1" t="s">
        <v>131</v>
      </c>
      <c r="F130" s="1" t="s">
        <v>130</v>
      </c>
      <c r="G130" s="1" t="s">
        <v>641</v>
      </c>
      <c r="H130" s="1" t="s">
        <v>32</v>
      </c>
      <c r="I130" s="1" t="s">
        <v>151</v>
      </c>
      <c r="J130" s="1" t="s">
        <v>156</v>
      </c>
      <c r="K130" s="1" t="s">
        <v>568</v>
      </c>
      <c r="L130" s="1"/>
      <c r="M130" s="1"/>
      <c r="N130" s="1" t="str">
        <f t="shared" si="16"/>
        <v>No</v>
      </c>
      <c r="O130" s="1">
        <f t="shared" si="22"/>
        <v>26</v>
      </c>
      <c r="P130" s="1">
        <f t="shared" si="17"/>
        <v>30</v>
      </c>
      <c r="Q130" s="1">
        <f t="shared" si="18"/>
        <v>0</v>
      </c>
      <c r="R130" s="1">
        <f t="shared" si="19"/>
        <v>1</v>
      </c>
      <c r="S130" s="29">
        <f t="shared" si="20"/>
        <v>86.66</v>
      </c>
      <c r="T130" s="1" t="str">
        <f t="shared" si="21"/>
        <v>not out</v>
      </c>
      <c r="U130" s="1" t="str">
        <f t="shared" si="23"/>
        <v>2</v>
      </c>
      <c r="V130" s="1" t="str">
        <f t="shared" si="24"/>
        <v xml:space="preserve"> Pakistan</v>
      </c>
      <c r="W130" s="1" t="str">
        <f t="shared" si="25"/>
        <v>Karachi</v>
      </c>
      <c r="X130" s="1" t="str">
        <f t="shared" si="26"/>
        <v>No</v>
      </c>
      <c r="Y130" s="1"/>
      <c r="Z130" s="1"/>
    </row>
    <row r="131" spans="1:26" ht="14.25" customHeight="1">
      <c r="A131" s="1"/>
      <c r="B131" s="1">
        <v>112</v>
      </c>
      <c r="C131" s="1" t="s">
        <v>57</v>
      </c>
      <c r="D131" s="1" t="s">
        <v>157</v>
      </c>
      <c r="E131" s="1" t="s">
        <v>157</v>
      </c>
      <c r="F131" s="1" t="s">
        <v>157</v>
      </c>
      <c r="G131" s="1" t="s">
        <v>157</v>
      </c>
      <c r="H131" s="1" t="s">
        <v>157</v>
      </c>
      <c r="I131" s="1" t="s">
        <v>151</v>
      </c>
      <c r="J131" s="1" t="s">
        <v>182</v>
      </c>
      <c r="K131" s="1" t="s">
        <v>568</v>
      </c>
      <c r="L131" s="1"/>
      <c r="M131" s="1"/>
      <c r="N131" s="1" t="str">
        <f t="shared" si="16"/>
        <v>Yes</v>
      </c>
      <c r="O131" s="1" t="str">
        <f t="shared" si="22"/>
        <v>NA</v>
      </c>
      <c r="P131" s="1" t="str">
        <f t="shared" si="17"/>
        <v>NA</v>
      </c>
      <c r="Q131" s="1" t="str">
        <f t="shared" si="18"/>
        <v>NA</v>
      </c>
      <c r="R131" s="1" t="str">
        <f t="shared" si="19"/>
        <v>NA</v>
      </c>
      <c r="S131" s="29" t="str">
        <f t="shared" si="20"/>
        <v>NA</v>
      </c>
      <c r="T131" s="1" t="str">
        <f t="shared" si="21"/>
        <v>NA</v>
      </c>
      <c r="U131" s="1" t="str">
        <f t="shared" si="23"/>
        <v>2</v>
      </c>
      <c r="V131" s="1" t="str">
        <f t="shared" si="24"/>
        <v xml:space="preserve"> Bangladesh</v>
      </c>
      <c r="W131" s="1" t="str">
        <f t="shared" si="25"/>
        <v>Karachi</v>
      </c>
      <c r="X131" s="1" t="str">
        <f t="shared" si="26"/>
        <v>No</v>
      </c>
      <c r="Y131" s="1"/>
      <c r="Z131" s="1"/>
    </row>
    <row r="132" spans="1:26" ht="14.25" customHeight="1">
      <c r="A132" s="1"/>
      <c r="B132" s="1">
        <v>113</v>
      </c>
      <c r="C132" s="1" t="s">
        <v>242</v>
      </c>
      <c r="D132" s="1" t="s">
        <v>430</v>
      </c>
      <c r="E132" s="1" t="s">
        <v>140</v>
      </c>
      <c r="F132" s="1" t="s">
        <v>131</v>
      </c>
      <c r="G132" s="1" t="s">
        <v>387</v>
      </c>
      <c r="H132" s="1" t="s">
        <v>24</v>
      </c>
      <c r="I132" s="1" t="s">
        <v>130</v>
      </c>
      <c r="J132" s="1" t="s">
        <v>156</v>
      </c>
      <c r="K132" s="1" t="s">
        <v>568</v>
      </c>
      <c r="L132" s="1"/>
      <c r="M132" s="1"/>
      <c r="N132" s="1" t="str">
        <f t="shared" si="16"/>
        <v>No</v>
      </c>
      <c r="O132" s="1">
        <f t="shared" si="22"/>
        <v>76</v>
      </c>
      <c r="P132" s="1">
        <f t="shared" si="17"/>
        <v>96</v>
      </c>
      <c r="Q132" s="1">
        <f t="shared" si="18"/>
        <v>4</v>
      </c>
      <c r="R132" s="1">
        <f t="shared" si="19"/>
        <v>0</v>
      </c>
      <c r="S132" s="29">
        <f t="shared" si="20"/>
        <v>79.16</v>
      </c>
      <c r="T132" s="1" t="str">
        <f t="shared" si="21"/>
        <v>caught</v>
      </c>
      <c r="U132" s="1" t="str">
        <f t="shared" si="23"/>
        <v>1</v>
      </c>
      <c r="V132" s="1" t="str">
        <f t="shared" si="24"/>
        <v xml:space="preserve"> Pakistan</v>
      </c>
      <c r="W132" s="1" t="str">
        <f t="shared" si="25"/>
        <v>Karachi</v>
      </c>
      <c r="X132" s="1" t="str">
        <f t="shared" si="26"/>
        <v>Yes</v>
      </c>
      <c r="Y132" s="1"/>
      <c r="Z132" s="1"/>
    </row>
    <row r="133" spans="1:26" ht="14.25" customHeight="1">
      <c r="A133" s="1"/>
      <c r="B133" s="1">
        <v>114</v>
      </c>
      <c r="C133" s="1" t="s">
        <v>135</v>
      </c>
      <c r="D133" s="1" t="s">
        <v>364</v>
      </c>
      <c r="E133" s="1" t="s">
        <v>202</v>
      </c>
      <c r="F133" s="1" t="s">
        <v>130</v>
      </c>
      <c r="G133" s="1" t="s">
        <v>642</v>
      </c>
      <c r="H133" s="1" t="s">
        <v>29</v>
      </c>
      <c r="I133" s="1" t="s">
        <v>151</v>
      </c>
      <c r="J133" s="1" t="s">
        <v>133</v>
      </c>
      <c r="K133" s="1" t="s">
        <v>568</v>
      </c>
      <c r="L133" s="1"/>
      <c r="M133" s="1"/>
      <c r="N133" s="1" t="str">
        <f t="shared" si="16"/>
        <v>No</v>
      </c>
      <c r="O133" s="1">
        <f t="shared" si="22"/>
        <v>67</v>
      </c>
      <c r="P133" s="1">
        <f t="shared" si="17"/>
        <v>62</v>
      </c>
      <c r="Q133" s="1">
        <f t="shared" si="18"/>
        <v>5</v>
      </c>
      <c r="R133" s="1">
        <f t="shared" si="19"/>
        <v>1</v>
      </c>
      <c r="S133" s="29">
        <f t="shared" si="20"/>
        <v>108.06</v>
      </c>
      <c r="T133" s="1" t="str">
        <f t="shared" si="21"/>
        <v>bowled</v>
      </c>
      <c r="U133" s="1" t="str">
        <f t="shared" si="23"/>
        <v>2</v>
      </c>
      <c r="V133" s="1" t="str">
        <f t="shared" si="24"/>
        <v xml:space="preserve"> Sri Lanka</v>
      </c>
      <c r="W133" s="1" t="str">
        <f t="shared" si="25"/>
        <v>Karachi</v>
      </c>
      <c r="X133" s="1" t="str">
        <f t="shared" si="26"/>
        <v>Yes</v>
      </c>
      <c r="Y133" s="1"/>
      <c r="Z133" s="1"/>
    </row>
    <row r="134" spans="1:26" ht="14.25" customHeight="1">
      <c r="A134" s="1"/>
      <c r="B134" s="1">
        <v>115</v>
      </c>
      <c r="C134" s="1" t="s">
        <v>249</v>
      </c>
      <c r="D134" s="1" t="s">
        <v>466</v>
      </c>
      <c r="E134" s="1" t="s">
        <v>140</v>
      </c>
      <c r="F134" s="1" t="s">
        <v>131</v>
      </c>
      <c r="G134" s="1" t="s">
        <v>643</v>
      </c>
      <c r="H134" s="1" t="s">
        <v>24</v>
      </c>
      <c r="I134" s="1" t="s">
        <v>151</v>
      </c>
      <c r="J134" s="1" t="s">
        <v>133</v>
      </c>
      <c r="K134" s="1" t="s">
        <v>568</v>
      </c>
      <c r="L134" s="1"/>
      <c r="M134" s="1"/>
      <c r="N134" s="1" t="str">
        <f t="shared" si="16"/>
        <v>No</v>
      </c>
      <c r="O134" s="1">
        <f t="shared" si="22"/>
        <v>49</v>
      </c>
      <c r="P134" s="1">
        <f t="shared" si="17"/>
        <v>74</v>
      </c>
      <c r="Q134" s="1">
        <f t="shared" si="18"/>
        <v>4</v>
      </c>
      <c r="R134" s="1">
        <f t="shared" si="19"/>
        <v>0</v>
      </c>
      <c r="S134" s="29">
        <f t="shared" si="20"/>
        <v>66.209999999999994</v>
      </c>
      <c r="T134" s="1" t="str">
        <f t="shared" si="21"/>
        <v>caught</v>
      </c>
      <c r="U134" s="1" t="str">
        <f t="shared" si="23"/>
        <v>2</v>
      </c>
      <c r="V134" s="1" t="str">
        <f t="shared" si="24"/>
        <v xml:space="preserve"> Sri Lanka</v>
      </c>
      <c r="W134" s="1" t="str">
        <f t="shared" si="25"/>
        <v>Karachi</v>
      </c>
      <c r="X134" s="1" t="str">
        <f t="shared" si="26"/>
        <v>Yes</v>
      </c>
      <c r="Y134" s="1"/>
      <c r="Z134" s="1"/>
    </row>
    <row r="135" spans="1:26" ht="14.25" customHeight="1">
      <c r="A135" s="1"/>
      <c r="B135" s="1">
        <v>116</v>
      </c>
      <c r="C135" s="1" t="s">
        <v>136</v>
      </c>
      <c r="D135" s="1" t="s">
        <v>207</v>
      </c>
      <c r="E135" s="1" t="s">
        <v>131</v>
      </c>
      <c r="F135" s="1" t="s">
        <v>131</v>
      </c>
      <c r="G135" s="1" t="s">
        <v>644</v>
      </c>
      <c r="H135" s="1" t="s">
        <v>24</v>
      </c>
      <c r="I135" s="1" t="s">
        <v>130</v>
      </c>
      <c r="J135" s="1" t="s">
        <v>133</v>
      </c>
      <c r="K135" s="1" t="s">
        <v>21</v>
      </c>
      <c r="L135" s="1"/>
      <c r="M135" s="1"/>
      <c r="N135" s="1" t="str">
        <f t="shared" si="16"/>
        <v>No</v>
      </c>
      <c r="O135" s="1">
        <f t="shared" si="22"/>
        <v>6</v>
      </c>
      <c r="P135" s="1">
        <f t="shared" si="17"/>
        <v>28</v>
      </c>
      <c r="Q135" s="1">
        <f t="shared" si="18"/>
        <v>0</v>
      </c>
      <c r="R135" s="1">
        <f t="shared" si="19"/>
        <v>0</v>
      </c>
      <c r="S135" s="29">
        <f t="shared" si="20"/>
        <v>21.42</v>
      </c>
      <c r="T135" s="1" t="str">
        <f t="shared" si="21"/>
        <v>caught</v>
      </c>
      <c r="U135" s="1" t="str">
        <f t="shared" si="23"/>
        <v>1</v>
      </c>
      <c r="V135" s="1" t="str">
        <f t="shared" si="24"/>
        <v xml:space="preserve"> Sri Lanka</v>
      </c>
      <c r="W135" s="1" t="str">
        <f t="shared" si="25"/>
        <v>Dambulla</v>
      </c>
      <c r="X135" s="1" t="str">
        <f t="shared" si="26"/>
        <v>Yes</v>
      </c>
      <c r="Y135" s="1"/>
      <c r="Z135" s="1"/>
    </row>
    <row r="136" spans="1:26" ht="14.25" customHeight="1">
      <c r="A136" s="1"/>
      <c r="B136" s="1">
        <v>117</v>
      </c>
      <c r="C136" s="1" t="s">
        <v>436</v>
      </c>
      <c r="D136" s="1" t="s">
        <v>142</v>
      </c>
      <c r="E136" s="1" t="s">
        <v>148</v>
      </c>
      <c r="F136" s="1" t="s">
        <v>131</v>
      </c>
      <c r="G136" s="1" t="s">
        <v>614</v>
      </c>
      <c r="H136" s="1" t="s">
        <v>29</v>
      </c>
      <c r="I136" s="1" t="s">
        <v>151</v>
      </c>
      <c r="J136" s="1" t="s">
        <v>133</v>
      </c>
      <c r="K136" s="1" t="s">
        <v>21</v>
      </c>
      <c r="L136" s="1"/>
      <c r="M136" s="1"/>
      <c r="N136" s="1" t="str">
        <f t="shared" si="16"/>
        <v>No</v>
      </c>
      <c r="O136" s="1">
        <f t="shared" si="22"/>
        <v>39</v>
      </c>
      <c r="P136" s="1">
        <f t="shared" si="17"/>
        <v>54</v>
      </c>
      <c r="Q136" s="1">
        <f t="shared" si="18"/>
        <v>3</v>
      </c>
      <c r="R136" s="1">
        <f t="shared" si="19"/>
        <v>0</v>
      </c>
      <c r="S136" s="29">
        <f t="shared" si="20"/>
        <v>72.22</v>
      </c>
      <c r="T136" s="1" t="str">
        <f t="shared" si="21"/>
        <v>bowled</v>
      </c>
      <c r="U136" s="1" t="str">
        <f t="shared" si="23"/>
        <v>2</v>
      </c>
      <c r="V136" s="1" t="str">
        <f t="shared" si="24"/>
        <v xml:space="preserve"> Sri Lanka</v>
      </c>
      <c r="W136" s="1" t="str">
        <f t="shared" si="25"/>
        <v>Dambulla</v>
      </c>
      <c r="X136" s="1" t="str">
        <f t="shared" si="26"/>
        <v>Yes</v>
      </c>
      <c r="Y136" s="1"/>
      <c r="Z136" s="1"/>
    </row>
    <row r="137" spans="1:26" ht="14.25" customHeight="1">
      <c r="A137" s="1"/>
      <c r="B137" s="1">
        <v>118</v>
      </c>
      <c r="C137" s="1" t="s">
        <v>242</v>
      </c>
      <c r="D137" s="1" t="s">
        <v>276</v>
      </c>
      <c r="E137" s="1" t="s">
        <v>189</v>
      </c>
      <c r="F137" s="1" t="s">
        <v>131</v>
      </c>
      <c r="G137" s="1" t="s">
        <v>645</v>
      </c>
      <c r="H137" s="1" t="s">
        <v>24</v>
      </c>
      <c r="I137" s="1" t="s">
        <v>130</v>
      </c>
      <c r="J137" s="1" t="s">
        <v>133</v>
      </c>
      <c r="K137" s="1" t="s">
        <v>27</v>
      </c>
      <c r="L137" s="1"/>
      <c r="M137" s="1"/>
      <c r="N137" s="1" t="str">
        <f t="shared" si="16"/>
        <v>No</v>
      </c>
      <c r="O137" s="1">
        <f t="shared" si="22"/>
        <v>76</v>
      </c>
      <c r="P137" s="1">
        <f t="shared" si="17"/>
        <v>80</v>
      </c>
      <c r="Q137" s="1">
        <f t="shared" si="18"/>
        <v>8</v>
      </c>
      <c r="R137" s="1">
        <f t="shared" si="19"/>
        <v>0</v>
      </c>
      <c r="S137" s="29">
        <f t="shared" si="20"/>
        <v>95</v>
      </c>
      <c r="T137" s="1" t="str">
        <f t="shared" si="21"/>
        <v>caught</v>
      </c>
      <c r="U137" s="1" t="str">
        <f t="shared" si="23"/>
        <v>1</v>
      </c>
      <c r="V137" s="1" t="str">
        <f t="shared" si="24"/>
        <v xml:space="preserve"> Sri Lanka</v>
      </c>
      <c r="W137" s="1" t="str">
        <f t="shared" si="25"/>
        <v>Colombo (RPS)</v>
      </c>
      <c r="X137" s="1" t="str">
        <f t="shared" si="26"/>
        <v>Yes</v>
      </c>
      <c r="Y137" s="1"/>
      <c r="Z137" s="1"/>
    </row>
    <row r="138" spans="1:26" ht="14.25" customHeight="1">
      <c r="A138" s="1"/>
      <c r="B138" s="1">
        <v>119</v>
      </c>
      <c r="C138" s="1" t="s">
        <v>193</v>
      </c>
      <c r="D138" s="1" t="s">
        <v>276</v>
      </c>
      <c r="E138" s="1" t="s">
        <v>140</v>
      </c>
      <c r="F138" s="1" t="s">
        <v>131</v>
      </c>
      <c r="G138" s="1" t="s">
        <v>646</v>
      </c>
      <c r="H138" s="1" t="s">
        <v>24</v>
      </c>
      <c r="I138" s="1" t="s">
        <v>130</v>
      </c>
      <c r="J138" s="1" t="s">
        <v>133</v>
      </c>
      <c r="K138" s="1" t="s">
        <v>27</v>
      </c>
      <c r="L138" s="1"/>
      <c r="M138" s="1"/>
      <c r="N138" s="1" t="str">
        <f t="shared" si="16"/>
        <v>No</v>
      </c>
      <c r="O138" s="1">
        <f t="shared" si="22"/>
        <v>71</v>
      </c>
      <c r="P138" s="1">
        <f t="shared" si="17"/>
        <v>80</v>
      </c>
      <c r="Q138" s="1">
        <f t="shared" si="18"/>
        <v>4</v>
      </c>
      <c r="R138" s="1">
        <f t="shared" si="19"/>
        <v>0</v>
      </c>
      <c r="S138" s="29">
        <f t="shared" si="20"/>
        <v>88.75</v>
      </c>
      <c r="T138" s="1" t="str">
        <f t="shared" si="21"/>
        <v>caught</v>
      </c>
      <c r="U138" s="1" t="str">
        <f t="shared" si="23"/>
        <v>1</v>
      </c>
      <c r="V138" s="1" t="str">
        <f t="shared" si="24"/>
        <v xml:space="preserve"> Sri Lanka</v>
      </c>
      <c r="W138" s="1" t="str">
        <f t="shared" si="25"/>
        <v>Colombo (RPS)</v>
      </c>
      <c r="X138" s="1" t="str">
        <f t="shared" si="26"/>
        <v>Yes</v>
      </c>
      <c r="Y138" s="1"/>
      <c r="Z138" s="1"/>
    </row>
    <row r="139" spans="1:26" ht="14.25" customHeight="1">
      <c r="A139" s="1"/>
      <c r="B139" s="1">
        <v>120</v>
      </c>
      <c r="C139" s="1" t="s">
        <v>130</v>
      </c>
      <c r="D139" s="1" t="s">
        <v>144</v>
      </c>
      <c r="E139" s="1" t="s">
        <v>131</v>
      </c>
      <c r="F139" s="1" t="s">
        <v>131</v>
      </c>
      <c r="G139" s="1" t="s">
        <v>647</v>
      </c>
      <c r="H139" s="1" t="s">
        <v>29</v>
      </c>
      <c r="I139" s="1" t="s">
        <v>151</v>
      </c>
      <c r="J139" s="1" t="s">
        <v>133</v>
      </c>
      <c r="K139" s="1" t="s">
        <v>27</v>
      </c>
      <c r="L139" s="1"/>
      <c r="M139" s="1"/>
      <c r="N139" s="1" t="str">
        <f t="shared" si="16"/>
        <v>No</v>
      </c>
      <c r="O139" s="1">
        <f t="shared" si="22"/>
        <v>1</v>
      </c>
      <c r="P139" s="1">
        <f t="shared" si="17"/>
        <v>7</v>
      </c>
      <c r="Q139" s="1">
        <f t="shared" si="18"/>
        <v>0</v>
      </c>
      <c r="R139" s="1">
        <f t="shared" si="19"/>
        <v>0</v>
      </c>
      <c r="S139" s="29">
        <f t="shared" si="20"/>
        <v>14.28</v>
      </c>
      <c r="T139" s="1" t="str">
        <f t="shared" si="21"/>
        <v>bowled</v>
      </c>
      <c r="U139" s="1" t="str">
        <f t="shared" si="23"/>
        <v>2</v>
      </c>
      <c r="V139" s="1" t="str">
        <f t="shared" si="24"/>
        <v xml:space="preserve"> Sri Lanka</v>
      </c>
      <c r="W139" s="1" t="str">
        <f t="shared" si="25"/>
        <v>Colombo (RPS)</v>
      </c>
      <c r="X139" s="1" t="str">
        <f t="shared" si="26"/>
        <v>Yes</v>
      </c>
      <c r="Y139" s="1"/>
      <c r="Z139" s="1"/>
    </row>
    <row r="140" spans="1:26" ht="14.25" customHeight="1">
      <c r="A140" s="1"/>
      <c r="B140" s="1">
        <v>121</v>
      </c>
      <c r="C140" s="1" t="s">
        <v>436</v>
      </c>
      <c r="D140" s="1" t="s">
        <v>521</v>
      </c>
      <c r="E140" s="1" t="s">
        <v>148</v>
      </c>
      <c r="F140" s="1" t="s">
        <v>130</v>
      </c>
      <c r="G140" s="1" t="s">
        <v>648</v>
      </c>
      <c r="H140" s="1" t="s">
        <v>29</v>
      </c>
      <c r="I140" s="1" t="s">
        <v>130</v>
      </c>
      <c r="J140" s="1" t="s">
        <v>234</v>
      </c>
      <c r="K140" s="1" t="s">
        <v>48</v>
      </c>
      <c r="L140" s="1"/>
      <c r="M140" s="1"/>
      <c r="N140" s="1" t="str">
        <f t="shared" si="16"/>
        <v>No</v>
      </c>
      <c r="O140" s="1">
        <f t="shared" si="22"/>
        <v>39</v>
      </c>
      <c r="P140" s="1">
        <f t="shared" si="17"/>
        <v>32</v>
      </c>
      <c r="Q140" s="1">
        <f t="shared" si="18"/>
        <v>3</v>
      </c>
      <c r="R140" s="1">
        <f t="shared" si="19"/>
        <v>1</v>
      </c>
      <c r="S140" s="29">
        <f t="shared" si="20"/>
        <v>121.87</v>
      </c>
      <c r="T140" s="1" t="str">
        <f t="shared" si="21"/>
        <v>bowled</v>
      </c>
      <c r="U140" s="1" t="str">
        <f t="shared" si="23"/>
        <v>1</v>
      </c>
      <c r="V140" s="1" t="str">
        <f t="shared" si="24"/>
        <v xml:space="preserve"> England</v>
      </c>
      <c r="W140" s="1" t="str">
        <f t="shared" si="25"/>
        <v>Rajkot</v>
      </c>
      <c r="X140" s="1" t="str">
        <f t="shared" si="26"/>
        <v>Yes</v>
      </c>
      <c r="Y140" s="1"/>
      <c r="Z140" s="1"/>
    </row>
    <row r="141" spans="1:26" ht="14.25" customHeight="1">
      <c r="A141" s="1"/>
      <c r="B141" s="1">
        <v>122</v>
      </c>
      <c r="C141" s="1" t="s">
        <v>283</v>
      </c>
      <c r="D141" s="1" t="s">
        <v>313</v>
      </c>
      <c r="E141" s="1" t="s">
        <v>130</v>
      </c>
      <c r="F141" s="1" t="s">
        <v>131</v>
      </c>
      <c r="G141" s="1" t="s">
        <v>580</v>
      </c>
      <c r="H141" s="1" t="s">
        <v>29</v>
      </c>
      <c r="I141" s="1" t="s">
        <v>130</v>
      </c>
      <c r="J141" s="1" t="s">
        <v>234</v>
      </c>
      <c r="K141" s="1" t="s">
        <v>87</v>
      </c>
      <c r="L141" s="1"/>
      <c r="M141" s="1"/>
      <c r="N141" s="1" t="str">
        <f t="shared" si="16"/>
        <v>No</v>
      </c>
      <c r="O141" s="1">
        <f t="shared" si="22"/>
        <v>15</v>
      </c>
      <c r="P141" s="1">
        <f t="shared" si="17"/>
        <v>26</v>
      </c>
      <c r="Q141" s="1">
        <f t="shared" si="18"/>
        <v>1</v>
      </c>
      <c r="R141" s="1">
        <f t="shared" si="19"/>
        <v>0</v>
      </c>
      <c r="S141" s="29">
        <f t="shared" si="20"/>
        <v>57.69</v>
      </c>
      <c r="T141" s="1" t="str">
        <f t="shared" si="21"/>
        <v>bowled</v>
      </c>
      <c r="U141" s="1" t="str">
        <f t="shared" si="23"/>
        <v>1</v>
      </c>
      <c r="V141" s="1" t="str">
        <f t="shared" si="24"/>
        <v xml:space="preserve"> England</v>
      </c>
      <c r="W141" s="1" t="str">
        <f t="shared" si="25"/>
        <v>Indore</v>
      </c>
      <c r="X141" s="1" t="str">
        <f t="shared" si="26"/>
        <v>Yes</v>
      </c>
      <c r="Y141" s="1"/>
      <c r="Z141" s="1"/>
    </row>
    <row r="142" spans="1:26" ht="14.25" customHeight="1">
      <c r="A142" s="1"/>
      <c r="B142" s="1">
        <v>123</v>
      </c>
      <c r="C142" s="1" t="s">
        <v>649</v>
      </c>
      <c r="D142" s="1" t="s">
        <v>356</v>
      </c>
      <c r="E142" s="1" t="s">
        <v>140</v>
      </c>
      <c r="F142" s="1" t="s">
        <v>131</v>
      </c>
      <c r="G142" s="1" t="s">
        <v>650</v>
      </c>
      <c r="H142" s="1" t="s">
        <v>32</v>
      </c>
      <c r="I142" s="1" t="s">
        <v>151</v>
      </c>
      <c r="J142" s="1" t="s">
        <v>234</v>
      </c>
      <c r="K142" s="1" t="s">
        <v>101</v>
      </c>
      <c r="L142" s="1"/>
      <c r="M142" s="1"/>
      <c r="N142" s="1" t="str">
        <f t="shared" si="16"/>
        <v>No</v>
      </c>
      <c r="O142" s="1">
        <f t="shared" si="22"/>
        <v>29</v>
      </c>
      <c r="P142" s="1">
        <f t="shared" si="17"/>
        <v>51</v>
      </c>
      <c r="Q142" s="1">
        <f t="shared" si="18"/>
        <v>4</v>
      </c>
      <c r="R142" s="1">
        <f t="shared" si="19"/>
        <v>0</v>
      </c>
      <c r="S142" s="29">
        <f t="shared" si="20"/>
        <v>56.86</v>
      </c>
      <c r="T142" s="1" t="str">
        <f t="shared" si="21"/>
        <v>not out</v>
      </c>
      <c r="U142" s="1" t="str">
        <f t="shared" si="23"/>
        <v>2</v>
      </c>
      <c r="V142" s="1" t="str">
        <f t="shared" si="24"/>
        <v xml:space="preserve"> England</v>
      </c>
      <c r="W142" s="1" t="str">
        <f t="shared" si="25"/>
        <v>Kanpur</v>
      </c>
      <c r="X142" s="1" t="str">
        <f t="shared" si="26"/>
        <v>No</v>
      </c>
      <c r="Y142" s="1"/>
      <c r="Z142" s="1"/>
    </row>
    <row r="143" spans="1:26" ht="14.25" customHeight="1">
      <c r="A143" s="1"/>
      <c r="B143" s="1">
        <v>124</v>
      </c>
      <c r="C143" s="1" t="s">
        <v>161</v>
      </c>
      <c r="D143" s="1" t="s">
        <v>202</v>
      </c>
      <c r="E143" s="1" t="s">
        <v>131</v>
      </c>
      <c r="F143" s="1" t="s">
        <v>130</v>
      </c>
      <c r="G143" s="1" t="s">
        <v>651</v>
      </c>
      <c r="H143" s="1" t="s">
        <v>29</v>
      </c>
      <c r="I143" s="1" t="s">
        <v>130</v>
      </c>
      <c r="J143" s="1" t="s">
        <v>234</v>
      </c>
      <c r="K143" s="1" t="s">
        <v>67</v>
      </c>
      <c r="L143" s="1"/>
      <c r="M143" s="1"/>
      <c r="N143" s="1" t="str">
        <f t="shared" si="16"/>
        <v>No</v>
      </c>
      <c r="O143" s="1">
        <f t="shared" si="22"/>
        <v>9</v>
      </c>
      <c r="P143" s="1">
        <f t="shared" si="17"/>
        <v>5</v>
      </c>
      <c r="Q143" s="1">
        <f t="shared" si="18"/>
        <v>0</v>
      </c>
      <c r="R143" s="1">
        <f t="shared" si="19"/>
        <v>1</v>
      </c>
      <c r="S143" s="29">
        <f t="shared" si="20"/>
        <v>180</v>
      </c>
      <c r="T143" s="1" t="str">
        <f t="shared" si="21"/>
        <v>bowled</v>
      </c>
      <c r="U143" s="1" t="str">
        <f t="shared" si="23"/>
        <v>1</v>
      </c>
      <c r="V143" s="1" t="str">
        <f t="shared" si="24"/>
        <v xml:space="preserve"> England</v>
      </c>
      <c r="W143" s="1" t="str">
        <f t="shared" si="25"/>
        <v>Bengaluru</v>
      </c>
      <c r="X143" s="1" t="str">
        <f t="shared" si="26"/>
        <v>Yes</v>
      </c>
      <c r="Y143" s="1"/>
      <c r="Z143" s="1"/>
    </row>
    <row r="144" spans="1:26" ht="14.25" customHeight="1">
      <c r="A144" s="1"/>
      <c r="B144" s="1">
        <v>125</v>
      </c>
      <c r="C144" s="1" t="s">
        <v>360</v>
      </c>
      <c r="D144" s="1" t="s">
        <v>334</v>
      </c>
      <c r="E144" s="1" t="s">
        <v>202</v>
      </c>
      <c r="F144" s="1" t="s">
        <v>131</v>
      </c>
      <c r="G144" s="1" t="s">
        <v>652</v>
      </c>
      <c r="H144" s="1" t="s">
        <v>19</v>
      </c>
      <c r="I144" s="1" t="s">
        <v>151</v>
      </c>
      <c r="J144" s="1" t="s">
        <v>234</v>
      </c>
      <c r="K144" s="1" t="s">
        <v>86</v>
      </c>
      <c r="L144" s="1"/>
      <c r="M144" s="1"/>
      <c r="N144" s="1" t="str">
        <f t="shared" si="16"/>
        <v>No</v>
      </c>
      <c r="O144" s="1">
        <f t="shared" si="22"/>
        <v>50</v>
      </c>
      <c r="P144" s="1">
        <f t="shared" si="17"/>
        <v>61</v>
      </c>
      <c r="Q144" s="1">
        <f t="shared" si="18"/>
        <v>5</v>
      </c>
      <c r="R144" s="1">
        <f t="shared" si="19"/>
        <v>0</v>
      </c>
      <c r="S144" s="29">
        <f t="shared" si="20"/>
        <v>81.96</v>
      </c>
      <c r="T144" s="1" t="str">
        <f t="shared" si="21"/>
        <v>lbw</v>
      </c>
      <c r="U144" s="1" t="str">
        <f t="shared" si="23"/>
        <v>2</v>
      </c>
      <c r="V144" s="1" t="str">
        <f t="shared" si="24"/>
        <v xml:space="preserve"> England</v>
      </c>
      <c r="W144" s="1" t="str">
        <f t="shared" si="25"/>
        <v>Cuttack</v>
      </c>
      <c r="X144" s="1" t="str">
        <f t="shared" si="26"/>
        <v>Yes</v>
      </c>
      <c r="Y144" s="1"/>
      <c r="Z144" s="1"/>
    </row>
    <row r="145" spans="1:26" ht="14.25" customHeight="1">
      <c r="A145" s="1"/>
      <c r="B145" s="1">
        <v>126</v>
      </c>
      <c r="C145" s="1" t="s">
        <v>653</v>
      </c>
      <c r="D145" s="1" t="s">
        <v>172</v>
      </c>
      <c r="E145" s="1" t="s">
        <v>202</v>
      </c>
      <c r="F145" s="1" t="s">
        <v>131</v>
      </c>
      <c r="G145" s="1" t="s">
        <v>654</v>
      </c>
      <c r="H145" s="1" t="s">
        <v>32</v>
      </c>
      <c r="I145" s="1" t="s">
        <v>151</v>
      </c>
      <c r="J145" s="1" t="s">
        <v>133</v>
      </c>
      <c r="K145" s="1" t="s">
        <v>21</v>
      </c>
      <c r="L145" s="1"/>
      <c r="M145" s="1"/>
      <c r="N145" s="1" t="str">
        <f t="shared" si="16"/>
        <v>No</v>
      </c>
      <c r="O145" s="1">
        <f t="shared" si="22"/>
        <v>61</v>
      </c>
      <c r="P145" s="1">
        <f t="shared" si="17"/>
        <v>65</v>
      </c>
      <c r="Q145" s="1">
        <f t="shared" si="18"/>
        <v>5</v>
      </c>
      <c r="R145" s="1">
        <f t="shared" si="19"/>
        <v>0</v>
      </c>
      <c r="S145" s="29">
        <f t="shared" si="20"/>
        <v>93.84</v>
      </c>
      <c r="T145" s="1" t="str">
        <f t="shared" si="21"/>
        <v>not out</v>
      </c>
      <c r="U145" s="1" t="str">
        <f t="shared" si="23"/>
        <v>2</v>
      </c>
      <c r="V145" s="1" t="str">
        <f t="shared" si="24"/>
        <v xml:space="preserve"> Sri Lanka</v>
      </c>
      <c r="W145" s="1" t="str">
        <f t="shared" si="25"/>
        <v>Dambulla</v>
      </c>
      <c r="X145" s="1" t="str">
        <f t="shared" si="26"/>
        <v>No</v>
      </c>
      <c r="Y145" s="1"/>
      <c r="Z145" s="1"/>
    </row>
    <row r="146" spans="1:26" ht="14.25" customHeight="1">
      <c r="A146" s="1"/>
      <c r="B146" s="1">
        <v>127</v>
      </c>
      <c r="C146" s="1" t="s">
        <v>304</v>
      </c>
      <c r="D146" s="1" t="s">
        <v>248</v>
      </c>
      <c r="E146" s="1" t="s">
        <v>131</v>
      </c>
      <c r="F146" s="1" t="s">
        <v>131</v>
      </c>
      <c r="G146" s="1" t="s">
        <v>305</v>
      </c>
      <c r="H146" s="1" t="s">
        <v>24</v>
      </c>
      <c r="I146" s="1" t="s">
        <v>130</v>
      </c>
      <c r="J146" s="1" t="s">
        <v>133</v>
      </c>
      <c r="K146" s="1" t="s">
        <v>27</v>
      </c>
      <c r="L146" s="1"/>
      <c r="M146" s="1"/>
      <c r="N146" s="1" t="str">
        <f t="shared" si="16"/>
        <v>No</v>
      </c>
      <c r="O146" s="1">
        <f t="shared" si="22"/>
        <v>23</v>
      </c>
      <c r="P146" s="1">
        <f t="shared" si="17"/>
        <v>35</v>
      </c>
      <c r="Q146" s="1">
        <f t="shared" si="18"/>
        <v>0</v>
      </c>
      <c r="R146" s="1">
        <f t="shared" si="19"/>
        <v>0</v>
      </c>
      <c r="S146" s="29">
        <f t="shared" si="20"/>
        <v>65.709999999999994</v>
      </c>
      <c r="T146" s="1" t="str">
        <f t="shared" si="21"/>
        <v>caught</v>
      </c>
      <c r="U146" s="1" t="str">
        <f t="shared" si="23"/>
        <v>1</v>
      </c>
      <c r="V146" s="1" t="str">
        <f t="shared" si="24"/>
        <v xml:space="preserve"> Sri Lanka</v>
      </c>
      <c r="W146" s="1" t="str">
        <f t="shared" si="25"/>
        <v>Colombo (RPS)</v>
      </c>
      <c r="X146" s="1" t="str">
        <f t="shared" si="26"/>
        <v>Yes</v>
      </c>
      <c r="Y146" s="1"/>
      <c r="Z146" s="1"/>
    </row>
    <row r="147" spans="1:26" ht="14.25" customHeight="1">
      <c r="A147" s="1"/>
      <c r="B147" s="1">
        <v>128</v>
      </c>
      <c r="C147" s="1" t="s">
        <v>655</v>
      </c>
      <c r="D147" s="1" t="s">
        <v>405</v>
      </c>
      <c r="E147" s="1" t="s">
        <v>130</v>
      </c>
      <c r="F147" s="1" t="s">
        <v>131</v>
      </c>
      <c r="G147" s="1" t="s">
        <v>286</v>
      </c>
      <c r="H147" s="1" t="s">
        <v>32</v>
      </c>
      <c r="I147" s="1" t="s">
        <v>130</v>
      </c>
      <c r="J147" s="1" t="s">
        <v>133</v>
      </c>
      <c r="K147" s="1" t="s">
        <v>27</v>
      </c>
      <c r="L147" s="1"/>
      <c r="M147" s="1"/>
      <c r="N147" s="1" t="str">
        <f t="shared" si="16"/>
        <v>No</v>
      </c>
      <c r="O147" s="1">
        <f t="shared" si="22"/>
        <v>35</v>
      </c>
      <c r="P147" s="1">
        <f t="shared" si="17"/>
        <v>45</v>
      </c>
      <c r="Q147" s="1">
        <f t="shared" si="18"/>
        <v>1</v>
      </c>
      <c r="R147" s="1">
        <f t="shared" si="19"/>
        <v>0</v>
      </c>
      <c r="S147" s="29">
        <f t="shared" si="20"/>
        <v>77.77</v>
      </c>
      <c r="T147" s="1" t="str">
        <f t="shared" si="21"/>
        <v>not out</v>
      </c>
      <c r="U147" s="1" t="str">
        <f t="shared" si="23"/>
        <v>1</v>
      </c>
      <c r="V147" s="1" t="str">
        <f t="shared" si="24"/>
        <v xml:space="preserve"> Sri Lanka</v>
      </c>
      <c r="W147" s="1" t="str">
        <f t="shared" si="25"/>
        <v>Colombo (RPS)</v>
      </c>
      <c r="X147" s="1" t="str">
        <f t="shared" si="26"/>
        <v>No</v>
      </c>
      <c r="Y147" s="1"/>
      <c r="Z147" s="1"/>
    </row>
    <row r="148" spans="1:26" ht="14.25" customHeight="1">
      <c r="A148" s="1"/>
      <c r="B148" s="1">
        <v>129</v>
      </c>
      <c r="C148" s="1" t="s">
        <v>253</v>
      </c>
      <c r="D148" s="1" t="s">
        <v>430</v>
      </c>
      <c r="E148" s="1" t="s">
        <v>140</v>
      </c>
      <c r="F148" s="1" t="s">
        <v>151</v>
      </c>
      <c r="G148" s="1" t="s">
        <v>656</v>
      </c>
      <c r="H148" s="1" t="s">
        <v>24</v>
      </c>
      <c r="I148" s="1" t="s">
        <v>130</v>
      </c>
      <c r="J148" s="1" t="s">
        <v>133</v>
      </c>
      <c r="K148" s="1" t="s">
        <v>27</v>
      </c>
      <c r="L148" s="1"/>
      <c r="M148" s="1"/>
      <c r="N148" s="1" t="str">
        <f t="shared" ref="N148:N211" si="27">IF(OR(C148="DNB",C148="TDNB"),"Yes","No")</f>
        <v>No</v>
      </c>
      <c r="O148" s="1">
        <f t="shared" si="22"/>
        <v>94</v>
      </c>
      <c r="P148" s="1">
        <f t="shared" ref="P148:P211" si="28">IF(D148="-","NA",D148*1)</f>
        <v>96</v>
      </c>
      <c r="Q148" s="1">
        <f t="shared" ref="Q148:Q211" si="29">IF(E148="-","NA",E148*1)</f>
        <v>4</v>
      </c>
      <c r="R148" s="1">
        <f t="shared" ref="R148:R211" si="30">IF(F148="-","NA",F148*1)</f>
        <v>2</v>
      </c>
      <c r="S148" s="29">
        <f t="shared" ref="S148:S211" si="31">IF(G148="-","NA",G148*1)</f>
        <v>97.91</v>
      </c>
      <c r="T148" s="1" t="str">
        <f t="shared" ref="T148:T211" si="32">IF(H148="-","NA",H148)</f>
        <v>caught</v>
      </c>
      <c r="U148" s="1" t="str">
        <f t="shared" si="23"/>
        <v>1</v>
      </c>
      <c r="V148" s="1" t="str">
        <f t="shared" si="24"/>
        <v xml:space="preserve"> Sri Lanka</v>
      </c>
      <c r="W148" s="1" t="str">
        <f t="shared" si="25"/>
        <v>Colombo (RPS)</v>
      </c>
      <c r="X148" s="1" t="str">
        <f t="shared" si="26"/>
        <v>Yes</v>
      </c>
      <c r="Y148" s="1"/>
      <c r="Z148" s="1"/>
    </row>
    <row r="149" spans="1:26" ht="14.25" customHeight="1">
      <c r="A149" s="1"/>
      <c r="B149" s="1">
        <v>130</v>
      </c>
      <c r="C149" s="1" t="s">
        <v>235</v>
      </c>
      <c r="D149" s="1" t="s">
        <v>582</v>
      </c>
      <c r="E149" s="1" t="s">
        <v>130</v>
      </c>
      <c r="F149" s="1" t="s">
        <v>151</v>
      </c>
      <c r="G149" s="1" t="s">
        <v>657</v>
      </c>
      <c r="H149" s="1" t="s">
        <v>24</v>
      </c>
      <c r="I149" s="1" t="s">
        <v>151</v>
      </c>
      <c r="J149" s="1" t="s">
        <v>133</v>
      </c>
      <c r="K149" s="1" t="s">
        <v>27</v>
      </c>
      <c r="L149" s="1"/>
      <c r="M149" s="1"/>
      <c r="N149" s="1" t="str">
        <f t="shared" si="27"/>
        <v>No</v>
      </c>
      <c r="O149" s="1">
        <f t="shared" ref="O149:O212" si="33">IF(N149="Yes", "NA",SUBSTITUTE(C149,"*","")*1)</f>
        <v>53</v>
      </c>
      <c r="P149" s="1">
        <f t="shared" si="28"/>
        <v>58</v>
      </c>
      <c r="Q149" s="1">
        <f t="shared" si="29"/>
        <v>1</v>
      </c>
      <c r="R149" s="1">
        <f t="shared" si="30"/>
        <v>2</v>
      </c>
      <c r="S149" s="29">
        <f t="shared" si="31"/>
        <v>91.37</v>
      </c>
      <c r="T149" s="1" t="str">
        <f t="shared" si="32"/>
        <v>caught</v>
      </c>
      <c r="U149" s="1" t="str">
        <f t="shared" ref="U149:U212" si="34">I149</f>
        <v>2</v>
      </c>
      <c r="V149" s="1" t="str">
        <f t="shared" ref="V149:V212" si="35">SUBSTITUTE(J149,"v","")</f>
        <v xml:space="preserve"> Sri Lanka</v>
      </c>
      <c r="W149" s="1" t="str">
        <f t="shared" ref="W149:W212" si="36">K149</f>
        <v>Colombo (RPS)</v>
      </c>
      <c r="X149" s="1" t="str">
        <f t="shared" ref="X149:X212" si="37">IF(N149="Yes","No",IF(T149="not out","No","Yes"))</f>
        <v>Yes</v>
      </c>
      <c r="Y149" s="1"/>
      <c r="Z149" s="1"/>
    </row>
    <row r="150" spans="1:26" ht="14.25" customHeight="1">
      <c r="A150" s="1"/>
      <c r="B150" s="1">
        <v>131</v>
      </c>
      <c r="C150" s="1" t="s">
        <v>658</v>
      </c>
      <c r="D150" s="1" t="s">
        <v>486</v>
      </c>
      <c r="E150" s="1" t="s">
        <v>136</v>
      </c>
      <c r="F150" s="1" t="s">
        <v>131</v>
      </c>
      <c r="G150" s="1" t="s">
        <v>659</v>
      </c>
      <c r="H150" s="1" t="s">
        <v>32</v>
      </c>
      <c r="I150" s="1" t="s">
        <v>130</v>
      </c>
      <c r="J150" s="1" t="s">
        <v>211</v>
      </c>
      <c r="K150" s="1" t="s">
        <v>102</v>
      </c>
      <c r="L150" s="1"/>
      <c r="M150" s="1"/>
      <c r="N150" s="1" t="str">
        <f t="shared" si="27"/>
        <v>No</v>
      </c>
      <c r="O150" s="1">
        <f t="shared" si="33"/>
        <v>84</v>
      </c>
      <c r="P150" s="1">
        <f t="shared" si="28"/>
        <v>89</v>
      </c>
      <c r="Q150" s="1">
        <f t="shared" si="29"/>
        <v>6</v>
      </c>
      <c r="R150" s="1">
        <f t="shared" si="30"/>
        <v>0</v>
      </c>
      <c r="S150" s="29">
        <f t="shared" si="31"/>
        <v>94.38</v>
      </c>
      <c r="T150" s="1" t="str">
        <f t="shared" si="32"/>
        <v>not out</v>
      </c>
      <c r="U150" s="1" t="str">
        <f t="shared" si="34"/>
        <v>1</v>
      </c>
      <c r="V150" s="1" t="str">
        <f t="shared" si="35"/>
        <v xml:space="preserve"> New Zealand</v>
      </c>
      <c r="W150" s="1" t="str">
        <f t="shared" si="36"/>
        <v>Napier</v>
      </c>
      <c r="X150" s="1" t="str">
        <f t="shared" si="37"/>
        <v>No</v>
      </c>
      <c r="Y150" s="1"/>
      <c r="Z150" s="1"/>
    </row>
    <row r="151" spans="1:26" ht="14.25" customHeight="1">
      <c r="A151" s="1"/>
      <c r="B151" s="1">
        <v>132</v>
      </c>
      <c r="C151" s="1" t="s">
        <v>274</v>
      </c>
      <c r="D151" s="1" t="s">
        <v>170</v>
      </c>
      <c r="E151" s="1" t="s">
        <v>151</v>
      </c>
      <c r="F151" s="1" t="s">
        <v>131</v>
      </c>
      <c r="G151" s="1" t="s">
        <v>660</v>
      </c>
      <c r="H151" s="1" t="s">
        <v>32</v>
      </c>
      <c r="I151" s="1" t="s">
        <v>130</v>
      </c>
      <c r="J151" s="1" t="s">
        <v>211</v>
      </c>
      <c r="K151" s="1" t="s">
        <v>105</v>
      </c>
      <c r="L151" s="1"/>
      <c r="M151" s="1"/>
      <c r="N151" s="1" t="str">
        <f t="shared" si="27"/>
        <v>No</v>
      </c>
      <c r="O151" s="1">
        <f t="shared" si="33"/>
        <v>23</v>
      </c>
      <c r="P151" s="1">
        <f t="shared" si="28"/>
        <v>19</v>
      </c>
      <c r="Q151" s="1">
        <f t="shared" si="29"/>
        <v>2</v>
      </c>
      <c r="R151" s="1">
        <f t="shared" si="30"/>
        <v>0</v>
      </c>
      <c r="S151" s="29">
        <f t="shared" si="31"/>
        <v>121.05</v>
      </c>
      <c r="T151" s="1" t="str">
        <f t="shared" si="32"/>
        <v>not out</v>
      </c>
      <c r="U151" s="1" t="str">
        <f t="shared" si="34"/>
        <v>1</v>
      </c>
      <c r="V151" s="1" t="str">
        <f t="shared" si="35"/>
        <v xml:space="preserve"> New Zealand</v>
      </c>
      <c r="W151" s="1" t="str">
        <f t="shared" si="36"/>
        <v>Wellington</v>
      </c>
      <c r="X151" s="1" t="str">
        <f t="shared" si="37"/>
        <v>No</v>
      </c>
      <c r="Y151" s="1"/>
      <c r="Z151" s="1"/>
    </row>
    <row r="152" spans="1:26" ht="14.25" customHeight="1">
      <c r="A152" s="1"/>
      <c r="B152" s="1">
        <v>133</v>
      </c>
      <c r="C152" s="1" t="s">
        <v>184</v>
      </c>
      <c r="D152" s="1" t="s">
        <v>582</v>
      </c>
      <c r="E152" s="1" t="s">
        <v>202</v>
      </c>
      <c r="F152" s="1" t="s">
        <v>151</v>
      </c>
      <c r="G152" s="1" t="s">
        <v>661</v>
      </c>
      <c r="H152" s="1" t="s">
        <v>24</v>
      </c>
      <c r="I152" s="1" t="s">
        <v>130</v>
      </c>
      <c r="J152" s="1" t="s">
        <v>211</v>
      </c>
      <c r="K152" s="1" t="s">
        <v>662</v>
      </c>
      <c r="L152" s="1"/>
      <c r="M152" s="1"/>
      <c r="N152" s="1" t="str">
        <f t="shared" si="27"/>
        <v>No</v>
      </c>
      <c r="O152" s="1">
        <f t="shared" si="33"/>
        <v>68</v>
      </c>
      <c r="P152" s="1">
        <f t="shared" si="28"/>
        <v>58</v>
      </c>
      <c r="Q152" s="1">
        <f t="shared" si="29"/>
        <v>5</v>
      </c>
      <c r="R152" s="1">
        <f t="shared" si="30"/>
        <v>2</v>
      </c>
      <c r="S152" s="29">
        <f t="shared" si="31"/>
        <v>117.24</v>
      </c>
      <c r="T152" s="1" t="str">
        <f t="shared" si="32"/>
        <v>caught</v>
      </c>
      <c r="U152" s="1" t="str">
        <f t="shared" si="34"/>
        <v>1</v>
      </c>
      <c r="V152" s="1" t="str">
        <f t="shared" si="35"/>
        <v xml:space="preserve"> New Zealand</v>
      </c>
      <c r="W152" s="1" t="str">
        <f t="shared" si="36"/>
        <v>Christchurch</v>
      </c>
      <c r="X152" s="1" t="str">
        <f t="shared" si="37"/>
        <v>Yes</v>
      </c>
      <c r="Y152" s="1"/>
      <c r="Z152" s="1"/>
    </row>
    <row r="153" spans="1:26" ht="14.25" customHeight="1">
      <c r="A153" s="1"/>
      <c r="B153" s="1">
        <v>134</v>
      </c>
      <c r="C153" s="1" t="s">
        <v>57</v>
      </c>
      <c r="D153" s="1" t="s">
        <v>157</v>
      </c>
      <c r="E153" s="1" t="s">
        <v>157</v>
      </c>
      <c r="F153" s="1" t="s">
        <v>157</v>
      </c>
      <c r="G153" s="1" t="s">
        <v>157</v>
      </c>
      <c r="H153" s="1" t="s">
        <v>157</v>
      </c>
      <c r="I153" s="1" t="s">
        <v>151</v>
      </c>
      <c r="J153" s="1" t="s">
        <v>211</v>
      </c>
      <c r="K153" s="1" t="s">
        <v>103</v>
      </c>
      <c r="L153" s="1"/>
      <c r="M153" s="1"/>
      <c r="N153" s="1" t="str">
        <f t="shared" si="27"/>
        <v>Yes</v>
      </c>
      <c r="O153" s="1" t="str">
        <f t="shared" si="33"/>
        <v>NA</v>
      </c>
      <c r="P153" s="1" t="str">
        <f t="shared" si="28"/>
        <v>NA</v>
      </c>
      <c r="Q153" s="1" t="str">
        <f t="shared" si="29"/>
        <v>NA</v>
      </c>
      <c r="R153" s="1" t="str">
        <f t="shared" si="30"/>
        <v>NA</v>
      </c>
      <c r="S153" s="29" t="str">
        <f t="shared" si="31"/>
        <v>NA</v>
      </c>
      <c r="T153" s="1" t="str">
        <f t="shared" si="32"/>
        <v>NA</v>
      </c>
      <c r="U153" s="1" t="str">
        <f t="shared" si="34"/>
        <v>2</v>
      </c>
      <c r="V153" s="1" t="str">
        <f t="shared" si="35"/>
        <v xml:space="preserve"> New Zealand</v>
      </c>
      <c r="W153" s="1" t="str">
        <f t="shared" si="36"/>
        <v>Hamilton</v>
      </c>
      <c r="X153" s="1" t="str">
        <f t="shared" si="37"/>
        <v>No</v>
      </c>
      <c r="Y153" s="1"/>
      <c r="Z153" s="1"/>
    </row>
    <row r="154" spans="1:26" ht="14.25" customHeight="1">
      <c r="A154" s="1"/>
      <c r="B154" s="1">
        <v>135</v>
      </c>
      <c r="C154" s="1" t="s">
        <v>161</v>
      </c>
      <c r="D154" s="1" t="s">
        <v>246</v>
      </c>
      <c r="E154" s="1" t="s">
        <v>130</v>
      </c>
      <c r="F154" s="1" t="s">
        <v>131</v>
      </c>
      <c r="G154" s="1" t="s">
        <v>247</v>
      </c>
      <c r="H154" s="1" t="s">
        <v>29</v>
      </c>
      <c r="I154" s="1" t="s">
        <v>130</v>
      </c>
      <c r="J154" s="1" t="s">
        <v>211</v>
      </c>
      <c r="K154" s="1" t="s">
        <v>104</v>
      </c>
      <c r="L154" s="1"/>
      <c r="M154" s="1"/>
      <c r="N154" s="1" t="str">
        <f t="shared" si="27"/>
        <v>No</v>
      </c>
      <c r="O154" s="1">
        <f t="shared" si="33"/>
        <v>9</v>
      </c>
      <c r="P154" s="1">
        <f t="shared" si="28"/>
        <v>21</v>
      </c>
      <c r="Q154" s="1">
        <f t="shared" si="29"/>
        <v>1</v>
      </c>
      <c r="R154" s="1">
        <f t="shared" si="30"/>
        <v>0</v>
      </c>
      <c r="S154" s="29">
        <f t="shared" si="31"/>
        <v>42.85</v>
      </c>
      <c r="T154" s="1" t="str">
        <f t="shared" si="32"/>
        <v>bowled</v>
      </c>
      <c r="U154" s="1" t="str">
        <f t="shared" si="34"/>
        <v>1</v>
      </c>
      <c r="V154" s="1" t="str">
        <f t="shared" si="35"/>
        <v xml:space="preserve"> New Zealand</v>
      </c>
      <c r="W154" s="1" t="str">
        <f t="shared" si="36"/>
        <v>Auckland</v>
      </c>
      <c r="X154" s="1" t="str">
        <f t="shared" si="37"/>
        <v>Yes</v>
      </c>
      <c r="Y154" s="1"/>
      <c r="Z154" s="1"/>
    </row>
    <row r="155" spans="1:26" ht="14.25" customHeight="1">
      <c r="A155" s="1"/>
      <c r="B155" s="1">
        <v>136</v>
      </c>
      <c r="C155" s="1" t="s">
        <v>165</v>
      </c>
      <c r="D155" s="1" t="s">
        <v>147</v>
      </c>
      <c r="E155" s="1" t="s">
        <v>151</v>
      </c>
      <c r="F155" s="1" t="s">
        <v>130</v>
      </c>
      <c r="G155" s="1" t="s">
        <v>198</v>
      </c>
      <c r="H155" s="1" t="s">
        <v>26</v>
      </c>
      <c r="I155" s="1" t="s">
        <v>130</v>
      </c>
      <c r="J155" s="1" t="s">
        <v>163</v>
      </c>
      <c r="K155" s="1" t="s">
        <v>78</v>
      </c>
      <c r="L155" s="1"/>
      <c r="M155" s="1"/>
      <c r="N155" s="1" t="str">
        <f t="shared" si="27"/>
        <v>No</v>
      </c>
      <c r="O155" s="1">
        <f t="shared" si="33"/>
        <v>41</v>
      </c>
      <c r="P155" s="1">
        <f t="shared" si="28"/>
        <v>46</v>
      </c>
      <c r="Q155" s="1">
        <f t="shared" si="29"/>
        <v>2</v>
      </c>
      <c r="R155" s="1">
        <f t="shared" si="30"/>
        <v>1</v>
      </c>
      <c r="S155" s="29">
        <f t="shared" si="31"/>
        <v>89.13</v>
      </c>
      <c r="T155" s="1" t="str">
        <f t="shared" si="32"/>
        <v>run out</v>
      </c>
      <c r="U155" s="1" t="str">
        <f t="shared" si="34"/>
        <v>1</v>
      </c>
      <c r="V155" s="1" t="str">
        <f t="shared" si="35"/>
        <v xml:space="preserve"> West Indies</v>
      </c>
      <c r="W155" s="1" t="str">
        <f t="shared" si="36"/>
        <v>Kingston</v>
      </c>
      <c r="X155" s="1" t="str">
        <f t="shared" si="37"/>
        <v>Yes</v>
      </c>
      <c r="Y155" s="1"/>
      <c r="Z155" s="1"/>
    </row>
    <row r="156" spans="1:26" ht="14.25" customHeight="1">
      <c r="A156" s="1"/>
      <c r="B156" s="1">
        <v>137</v>
      </c>
      <c r="C156" s="1" t="s">
        <v>187</v>
      </c>
      <c r="D156" s="1" t="s">
        <v>663</v>
      </c>
      <c r="E156" s="1" t="s">
        <v>136</v>
      </c>
      <c r="F156" s="1" t="s">
        <v>151</v>
      </c>
      <c r="G156" s="1" t="s">
        <v>664</v>
      </c>
      <c r="H156" s="1" t="s">
        <v>29</v>
      </c>
      <c r="I156" s="1" t="s">
        <v>130</v>
      </c>
      <c r="J156" s="1" t="s">
        <v>163</v>
      </c>
      <c r="K156" s="1" t="s">
        <v>78</v>
      </c>
      <c r="L156" s="1"/>
      <c r="M156" s="1"/>
      <c r="N156" s="1" t="str">
        <f t="shared" si="27"/>
        <v>No</v>
      </c>
      <c r="O156" s="1">
        <f t="shared" si="33"/>
        <v>95</v>
      </c>
      <c r="P156" s="1">
        <f t="shared" si="28"/>
        <v>130</v>
      </c>
      <c r="Q156" s="1">
        <f t="shared" si="29"/>
        <v>6</v>
      </c>
      <c r="R156" s="1">
        <f t="shared" si="30"/>
        <v>2</v>
      </c>
      <c r="S156" s="29">
        <f t="shared" si="31"/>
        <v>73.069999999999993</v>
      </c>
      <c r="T156" s="1" t="str">
        <f t="shared" si="32"/>
        <v>bowled</v>
      </c>
      <c r="U156" s="1" t="str">
        <f t="shared" si="34"/>
        <v>1</v>
      </c>
      <c r="V156" s="1" t="str">
        <f t="shared" si="35"/>
        <v xml:space="preserve"> West Indies</v>
      </c>
      <c r="W156" s="1" t="str">
        <f t="shared" si="36"/>
        <v>Kingston</v>
      </c>
      <c r="X156" s="1" t="str">
        <f t="shared" si="37"/>
        <v>Yes</v>
      </c>
      <c r="Y156" s="1"/>
      <c r="Z156" s="1"/>
    </row>
    <row r="157" spans="1:26" ht="14.25" customHeight="1">
      <c r="A157" s="1"/>
      <c r="B157" s="1">
        <v>138</v>
      </c>
      <c r="C157" s="1" t="s">
        <v>442</v>
      </c>
      <c r="D157" s="1" t="s">
        <v>208</v>
      </c>
      <c r="E157" s="1" t="s">
        <v>151</v>
      </c>
      <c r="F157" s="1" t="s">
        <v>130</v>
      </c>
      <c r="G157" s="1" t="s">
        <v>665</v>
      </c>
      <c r="H157" s="1" t="s">
        <v>32</v>
      </c>
      <c r="I157" s="1" t="s">
        <v>151</v>
      </c>
      <c r="J157" s="1" t="s">
        <v>163</v>
      </c>
      <c r="K157" s="1" t="s">
        <v>666</v>
      </c>
      <c r="L157" s="1"/>
      <c r="M157" s="1"/>
      <c r="N157" s="1" t="str">
        <f t="shared" si="27"/>
        <v>No</v>
      </c>
      <c r="O157" s="1">
        <f t="shared" si="33"/>
        <v>46</v>
      </c>
      <c r="P157" s="1">
        <f t="shared" si="28"/>
        <v>34</v>
      </c>
      <c r="Q157" s="1">
        <f t="shared" si="29"/>
        <v>2</v>
      </c>
      <c r="R157" s="1">
        <f t="shared" si="30"/>
        <v>1</v>
      </c>
      <c r="S157" s="29">
        <f t="shared" si="31"/>
        <v>135.29</v>
      </c>
      <c r="T157" s="1" t="str">
        <f t="shared" si="32"/>
        <v>not out</v>
      </c>
      <c r="U157" s="1" t="str">
        <f t="shared" si="34"/>
        <v>2</v>
      </c>
      <c r="V157" s="1" t="str">
        <f t="shared" si="35"/>
        <v xml:space="preserve"> West Indies</v>
      </c>
      <c r="W157" s="1" t="str">
        <f t="shared" si="36"/>
        <v>Gros Islet</v>
      </c>
      <c r="X157" s="1" t="str">
        <f t="shared" si="37"/>
        <v>No</v>
      </c>
      <c r="Y157" s="1"/>
      <c r="Z157" s="1"/>
    </row>
    <row r="158" spans="1:26" ht="14.25" customHeight="1">
      <c r="A158" s="1"/>
      <c r="B158" s="1">
        <v>139</v>
      </c>
      <c r="C158" s="1" t="s">
        <v>38</v>
      </c>
      <c r="D158" s="1" t="s">
        <v>157</v>
      </c>
      <c r="E158" s="1" t="s">
        <v>157</v>
      </c>
      <c r="F158" s="1" t="s">
        <v>157</v>
      </c>
      <c r="G158" s="1" t="s">
        <v>157</v>
      </c>
      <c r="H158" s="1" t="s">
        <v>157</v>
      </c>
      <c r="I158" s="1" t="s">
        <v>157</v>
      </c>
      <c r="J158" s="1" t="s">
        <v>163</v>
      </c>
      <c r="K158" s="1" t="s">
        <v>666</v>
      </c>
      <c r="L158" s="1"/>
      <c r="M158" s="1"/>
      <c r="N158" s="1" t="str">
        <f t="shared" si="27"/>
        <v>Yes</v>
      </c>
      <c r="O158" s="1" t="str">
        <f t="shared" si="33"/>
        <v>NA</v>
      </c>
      <c r="P158" s="1" t="str">
        <f t="shared" si="28"/>
        <v>NA</v>
      </c>
      <c r="Q158" s="1" t="str">
        <f t="shared" si="29"/>
        <v>NA</v>
      </c>
      <c r="R158" s="1" t="str">
        <f t="shared" si="30"/>
        <v>NA</v>
      </c>
      <c r="S158" s="29" t="str">
        <f t="shared" si="31"/>
        <v>NA</v>
      </c>
      <c r="T158" s="1" t="str">
        <f t="shared" si="32"/>
        <v>NA</v>
      </c>
      <c r="U158" s="1" t="str">
        <f t="shared" si="34"/>
        <v>-</v>
      </c>
      <c r="V158" s="1" t="str">
        <f t="shared" si="35"/>
        <v xml:space="preserve"> West Indies</v>
      </c>
      <c r="W158" s="1" t="str">
        <f t="shared" si="36"/>
        <v>Gros Islet</v>
      </c>
      <c r="X158" s="1" t="str">
        <f t="shared" si="37"/>
        <v>No</v>
      </c>
      <c r="Y158" s="1"/>
      <c r="Z158" s="1"/>
    </row>
    <row r="159" spans="1:26" ht="14.25" customHeight="1">
      <c r="A159" s="1"/>
      <c r="B159" s="1">
        <v>140</v>
      </c>
      <c r="C159" s="1" t="s">
        <v>655</v>
      </c>
      <c r="D159" s="1" t="s">
        <v>172</v>
      </c>
      <c r="E159" s="1" t="s">
        <v>140</v>
      </c>
      <c r="F159" s="1" t="s">
        <v>131</v>
      </c>
      <c r="G159" s="1" t="s">
        <v>558</v>
      </c>
      <c r="H159" s="1" t="s">
        <v>32</v>
      </c>
      <c r="I159" s="1" t="s">
        <v>151</v>
      </c>
      <c r="J159" s="1" t="s">
        <v>211</v>
      </c>
      <c r="K159" s="1" t="s">
        <v>27</v>
      </c>
      <c r="L159" s="1"/>
      <c r="M159" s="1"/>
      <c r="N159" s="1" t="str">
        <f t="shared" si="27"/>
        <v>No</v>
      </c>
      <c r="O159" s="1">
        <f t="shared" si="33"/>
        <v>35</v>
      </c>
      <c r="P159" s="1">
        <f t="shared" si="28"/>
        <v>65</v>
      </c>
      <c r="Q159" s="1">
        <f t="shared" si="29"/>
        <v>4</v>
      </c>
      <c r="R159" s="1">
        <f t="shared" si="30"/>
        <v>0</v>
      </c>
      <c r="S159" s="29">
        <f t="shared" si="31"/>
        <v>53.84</v>
      </c>
      <c r="T159" s="1" t="str">
        <f t="shared" si="32"/>
        <v>not out</v>
      </c>
      <c r="U159" s="1" t="str">
        <f t="shared" si="34"/>
        <v>2</v>
      </c>
      <c r="V159" s="1" t="str">
        <f t="shared" si="35"/>
        <v xml:space="preserve"> New Zealand</v>
      </c>
      <c r="W159" s="1" t="str">
        <f t="shared" si="36"/>
        <v>Colombo (RPS)</v>
      </c>
      <c r="X159" s="1" t="str">
        <f t="shared" si="37"/>
        <v>No</v>
      </c>
      <c r="Y159" s="1"/>
      <c r="Z159" s="1"/>
    </row>
    <row r="160" spans="1:26" ht="14.25" customHeight="1">
      <c r="A160" s="1"/>
      <c r="B160" s="1">
        <v>141</v>
      </c>
      <c r="C160" s="1" t="s">
        <v>189</v>
      </c>
      <c r="D160" s="1" t="s">
        <v>199</v>
      </c>
      <c r="E160" s="1" t="s">
        <v>131</v>
      </c>
      <c r="F160" s="1" t="s">
        <v>131</v>
      </c>
      <c r="G160" s="1" t="s">
        <v>259</v>
      </c>
      <c r="H160" s="1" t="s">
        <v>29</v>
      </c>
      <c r="I160" s="1" t="s">
        <v>151</v>
      </c>
      <c r="J160" s="1" t="s">
        <v>133</v>
      </c>
      <c r="K160" s="1" t="s">
        <v>27</v>
      </c>
      <c r="L160" s="1"/>
      <c r="M160" s="1"/>
      <c r="N160" s="1" t="str">
        <f t="shared" si="27"/>
        <v>No</v>
      </c>
      <c r="O160" s="1">
        <f t="shared" si="33"/>
        <v>8</v>
      </c>
      <c r="P160" s="1">
        <f t="shared" si="28"/>
        <v>18</v>
      </c>
      <c r="Q160" s="1">
        <f t="shared" si="29"/>
        <v>0</v>
      </c>
      <c r="R160" s="1">
        <f t="shared" si="30"/>
        <v>0</v>
      </c>
      <c r="S160" s="29">
        <f t="shared" si="31"/>
        <v>44.44</v>
      </c>
      <c r="T160" s="1" t="str">
        <f t="shared" si="32"/>
        <v>bowled</v>
      </c>
      <c r="U160" s="1" t="str">
        <f t="shared" si="34"/>
        <v>2</v>
      </c>
      <c r="V160" s="1" t="str">
        <f t="shared" si="35"/>
        <v xml:space="preserve"> Sri Lanka</v>
      </c>
      <c r="W160" s="1" t="str">
        <f t="shared" si="36"/>
        <v>Colombo (RPS)</v>
      </c>
      <c r="X160" s="1" t="str">
        <f t="shared" si="37"/>
        <v>Yes</v>
      </c>
      <c r="Y160" s="1"/>
      <c r="Z160" s="1"/>
    </row>
    <row r="161" spans="1:26" ht="14.25" customHeight="1">
      <c r="A161" s="1"/>
      <c r="B161" s="1">
        <v>142</v>
      </c>
      <c r="C161" s="1" t="s">
        <v>452</v>
      </c>
      <c r="D161" s="1" t="s">
        <v>364</v>
      </c>
      <c r="E161" s="1" t="s">
        <v>148</v>
      </c>
      <c r="F161" s="1" t="s">
        <v>131</v>
      </c>
      <c r="G161" s="1" t="s">
        <v>667</v>
      </c>
      <c r="H161" s="1" t="s">
        <v>24</v>
      </c>
      <c r="I161" s="1" t="s">
        <v>130</v>
      </c>
      <c r="J161" s="1" t="s">
        <v>133</v>
      </c>
      <c r="K161" s="1" t="s">
        <v>27</v>
      </c>
      <c r="L161" s="1"/>
      <c r="M161" s="1"/>
      <c r="N161" s="1" t="str">
        <f t="shared" si="27"/>
        <v>No</v>
      </c>
      <c r="O161" s="1">
        <f t="shared" si="33"/>
        <v>56</v>
      </c>
      <c r="P161" s="1">
        <f t="shared" si="28"/>
        <v>62</v>
      </c>
      <c r="Q161" s="1">
        <f t="shared" si="29"/>
        <v>3</v>
      </c>
      <c r="R161" s="1">
        <f t="shared" si="30"/>
        <v>0</v>
      </c>
      <c r="S161" s="29">
        <f t="shared" si="31"/>
        <v>90.32</v>
      </c>
      <c r="T161" s="1" t="str">
        <f t="shared" si="32"/>
        <v>caught</v>
      </c>
      <c r="U161" s="1" t="str">
        <f t="shared" si="34"/>
        <v>1</v>
      </c>
      <c r="V161" s="1" t="str">
        <f t="shared" si="35"/>
        <v xml:space="preserve"> Sri Lanka</v>
      </c>
      <c r="W161" s="1" t="str">
        <f t="shared" si="36"/>
        <v>Colombo (RPS)</v>
      </c>
      <c r="X161" s="1" t="str">
        <f t="shared" si="37"/>
        <v>Yes</v>
      </c>
      <c r="Y161" s="1"/>
      <c r="Z161" s="1"/>
    </row>
    <row r="162" spans="1:26" ht="14.25" customHeight="1">
      <c r="A162" s="1"/>
      <c r="B162" s="1">
        <v>143</v>
      </c>
      <c r="C162" s="1" t="s">
        <v>148</v>
      </c>
      <c r="D162" s="1" t="s">
        <v>161</v>
      </c>
      <c r="E162" s="1" t="s">
        <v>131</v>
      </c>
      <c r="F162" s="1" t="s">
        <v>131</v>
      </c>
      <c r="G162" s="1" t="s">
        <v>229</v>
      </c>
      <c r="H162" s="1" t="s">
        <v>19</v>
      </c>
      <c r="I162" s="1" t="s">
        <v>151</v>
      </c>
      <c r="J162" s="1" t="s">
        <v>156</v>
      </c>
      <c r="K162" s="1" t="s">
        <v>36</v>
      </c>
      <c r="L162" s="1"/>
      <c r="M162" s="1"/>
      <c r="N162" s="1" t="str">
        <f t="shared" si="27"/>
        <v>No</v>
      </c>
      <c r="O162" s="1">
        <f t="shared" si="33"/>
        <v>3</v>
      </c>
      <c r="P162" s="1">
        <f t="shared" si="28"/>
        <v>9</v>
      </c>
      <c r="Q162" s="1">
        <f t="shared" si="29"/>
        <v>0</v>
      </c>
      <c r="R162" s="1">
        <f t="shared" si="30"/>
        <v>0</v>
      </c>
      <c r="S162" s="29">
        <f t="shared" si="31"/>
        <v>33.33</v>
      </c>
      <c r="T162" s="1" t="str">
        <f t="shared" si="32"/>
        <v>lbw</v>
      </c>
      <c r="U162" s="1" t="str">
        <f t="shared" si="34"/>
        <v>2</v>
      </c>
      <c r="V162" s="1" t="str">
        <f t="shared" si="35"/>
        <v xml:space="preserve"> Pakistan</v>
      </c>
      <c r="W162" s="1" t="str">
        <f t="shared" si="36"/>
        <v>Centurion</v>
      </c>
      <c r="X162" s="1" t="str">
        <f t="shared" si="37"/>
        <v>Yes</v>
      </c>
      <c r="Y162" s="1"/>
      <c r="Z162" s="1"/>
    </row>
    <row r="163" spans="1:26" ht="14.25" customHeight="1">
      <c r="A163" s="1"/>
      <c r="B163" s="1">
        <v>144</v>
      </c>
      <c r="C163" s="1" t="s">
        <v>38</v>
      </c>
      <c r="D163" s="1" t="s">
        <v>157</v>
      </c>
      <c r="E163" s="1" t="s">
        <v>157</v>
      </c>
      <c r="F163" s="1" t="s">
        <v>157</v>
      </c>
      <c r="G163" s="1" t="s">
        <v>157</v>
      </c>
      <c r="H163" s="1" t="s">
        <v>157</v>
      </c>
      <c r="I163" s="1" t="s">
        <v>157</v>
      </c>
      <c r="J163" s="1" t="s">
        <v>158</v>
      </c>
      <c r="K163" s="1" t="s">
        <v>36</v>
      </c>
      <c r="L163" s="1"/>
      <c r="M163" s="1"/>
      <c r="N163" s="1" t="str">
        <f t="shared" si="27"/>
        <v>Yes</v>
      </c>
      <c r="O163" s="1" t="str">
        <f t="shared" si="33"/>
        <v>NA</v>
      </c>
      <c r="P163" s="1" t="str">
        <f t="shared" si="28"/>
        <v>NA</v>
      </c>
      <c r="Q163" s="1" t="str">
        <f t="shared" si="29"/>
        <v>NA</v>
      </c>
      <c r="R163" s="1" t="str">
        <f t="shared" si="30"/>
        <v>NA</v>
      </c>
      <c r="S163" s="29" t="str">
        <f t="shared" si="31"/>
        <v>NA</v>
      </c>
      <c r="T163" s="1" t="str">
        <f t="shared" si="32"/>
        <v>NA</v>
      </c>
      <c r="U163" s="1" t="str">
        <f t="shared" si="34"/>
        <v>-</v>
      </c>
      <c r="V163" s="1" t="str">
        <f t="shared" si="35"/>
        <v xml:space="preserve"> Australia</v>
      </c>
      <c r="W163" s="1" t="str">
        <f t="shared" si="36"/>
        <v>Centurion</v>
      </c>
      <c r="X163" s="1" t="str">
        <f t="shared" si="37"/>
        <v>No</v>
      </c>
      <c r="Y163" s="1"/>
      <c r="Z163" s="1"/>
    </row>
    <row r="164" spans="1:26" ht="14.25" customHeight="1">
      <c r="A164" s="1"/>
      <c r="B164" s="1">
        <v>145</v>
      </c>
      <c r="C164" s="1" t="s">
        <v>57</v>
      </c>
      <c r="D164" s="1" t="s">
        <v>157</v>
      </c>
      <c r="E164" s="1" t="s">
        <v>157</v>
      </c>
      <c r="F164" s="1" t="s">
        <v>157</v>
      </c>
      <c r="G164" s="1" t="s">
        <v>157</v>
      </c>
      <c r="H164" s="1" t="s">
        <v>157</v>
      </c>
      <c r="I164" s="1" t="s">
        <v>151</v>
      </c>
      <c r="J164" s="1" t="s">
        <v>163</v>
      </c>
      <c r="K164" s="1" t="s">
        <v>43</v>
      </c>
      <c r="L164" s="1"/>
      <c r="M164" s="1"/>
      <c r="N164" s="1" t="str">
        <f t="shared" si="27"/>
        <v>Yes</v>
      </c>
      <c r="O164" s="1" t="str">
        <f t="shared" si="33"/>
        <v>NA</v>
      </c>
      <c r="P164" s="1" t="str">
        <f t="shared" si="28"/>
        <v>NA</v>
      </c>
      <c r="Q164" s="1" t="str">
        <f t="shared" si="29"/>
        <v>NA</v>
      </c>
      <c r="R164" s="1" t="str">
        <f t="shared" si="30"/>
        <v>NA</v>
      </c>
      <c r="S164" s="29" t="str">
        <f t="shared" si="31"/>
        <v>NA</v>
      </c>
      <c r="T164" s="1" t="str">
        <f t="shared" si="32"/>
        <v>NA</v>
      </c>
      <c r="U164" s="1" t="str">
        <f t="shared" si="34"/>
        <v>2</v>
      </c>
      <c r="V164" s="1" t="str">
        <f t="shared" si="35"/>
        <v xml:space="preserve"> West Indies</v>
      </c>
      <c r="W164" s="1" t="str">
        <f t="shared" si="36"/>
        <v>Johannesburg</v>
      </c>
      <c r="X164" s="1" t="str">
        <f t="shared" si="37"/>
        <v>No</v>
      </c>
      <c r="Y164" s="1"/>
      <c r="Z164" s="1"/>
    </row>
    <row r="165" spans="1:26" ht="14.25" customHeight="1">
      <c r="A165" s="1"/>
      <c r="B165" s="1">
        <v>146</v>
      </c>
      <c r="C165" s="1" t="s">
        <v>208</v>
      </c>
      <c r="D165" s="1" t="s">
        <v>147</v>
      </c>
      <c r="E165" s="1" t="s">
        <v>140</v>
      </c>
      <c r="F165" s="1" t="s">
        <v>131</v>
      </c>
      <c r="G165" s="1" t="s">
        <v>668</v>
      </c>
      <c r="H165" s="1" t="s">
        <v>24</v>
      </c>
      <c r="I165" s="1" t="s">
        <v>151</v>
      </c>
      <c r="J165" s="1" t="s">
        <v>158</v>
      </c>
      <c r="K165" s="1" t="s">
        <v>44</v>
      </c>
      <c r="L165" s="1"/>
      <c r="M165" s="1"/>
      <c r="N165" s="1" t="str">
        <f t="shared" si="27"/>
        <v>No</v>
      </c>
      <c r="O165" s="1">
        <f t="shared" si="33"/>
        <v>34</v>
      </c>
      <c r="P165" s="1">
        <f t="shared" si="28"/>
        <v>46</v>
      </c>
      <c r="Q165" s="1">
        <f t="shared" si="29"/>
        <v>4</v>
      </c>
      <c r="R165" s="1">
        <f t="shared" si="30"/>
        <v>0</v>
      </c>
      <c r="S165" s="29">
        <f t="shared" si="31"/>
        <v>73.91</v>
      </c>
      <c r="T165" s="1" t="str">
        <f t="shared" si="32"/>
        <v>caught</v>
      </c>
      <c r="U165" s="1" t="str">
        <f t="shared" si="34"/>
        <v>2</v>
      </c>
      <c r="V165" s="1" t="str">
        <f t="shared" si="35"/>
        <v xml:space="preserve"> Australia</v>
      </c>
      <c r="W165" s="1" t="str">
        <f t="shared" si="36"/>
        <v>Vadodara</v>
      </c>
      <c r="X165" s="1" t="str">
        <f t="shared" si="37"/>
        <v>Yes</v>
      </c>
      <c r="Y165" s="1"/>
      <c r="Z165" s="1"/>
    </row>
    <row r="166" spans="1:26" ht="14.25" customHeight="1">
      <c r="A166" s="1"/>
      <c r="B166" s="1">
        <v>147</v>
      </c>
      <c r="C166" s="1" t="s">
        <v>669</v>
      </c>
      <c r="D166" s="1" t="s">
        <v>174</v>
      </c>
      <c r="E166" s="1" t="s">
        <v>161</v>
      </c>
      <c r="F166" s="1" t="s">
        <v>148</v>
      </c>
      <c r="G166" s="1" t="s">
        <v>670</v>
      </c>
      <c r="H166" s="1" t="s">
        <v>24</v>
      </c>
      <c r="I166" s="1" t="s">
        <v>130</v>
      </c>
      <c r="J166" s="1" t="s">
        <v>158</v>
      </c>
      <c r="K166" s="1" t="s">
        <v>50</v>
      </c>
      <c r="L166" s="1"/>
      <c r="M166" s="1"/>
      <c r="N166" s="1" t="str">
        <f t="shared" si="27"/>
        <v>No</v>
      </c>
      <c r="O166" s="1">
        <f t="shared" si="33"/>
        <v>124</v>
      </c>
      <c r="P166" s="1">
        <f t="shared" si="28"/>
        <v>107</v>
      </c>
      <c r="Q166" s="1">
        <f t="shared" si="29"/>
        <v>9</v>
      </c>
      <c r="R166" s="1">
        <f t="shared" si="30"/>
        <v>3</v>
      </c>
      <c r="S166" s="29">
        <f t="shared" si="31"/>
        <v>115.88</v>
      </c>
      <c r="T166" s="1" t="str">
        <f t="shared" si="32"/>
        <v>caught</v>
      </c>
      <c r="U166" s="1" t="str">
        <f t="shared" si="34"/>
        <v>1</v>
      </c>
      <c r="V166" s="1" t="str">
        <f t="shared" si="35"/>
        <v xml:space="preserve"> Australia</v>
      </c>
      <c r="W166" s="1" t="str">
        <f t="shared" si="36"/>
        <v>Nagpur</v>
      </c>
      <c r="X166" s="1" t="str">
        <f t="shared" si="37"/>
        <v>Yes</v>
      </c>
      <c r="Y166" s="1"/>
      <c r="Z166" s="1"/>
    </row>
    <row r="167" spans="1:26" ht="14.25" customHeight="1">
      <c r="A167" s="1"/>
      <c r="B167" s="1">
        <v>148</v>
      </c>
      <c r="C167" s="1" t="s">
        <v>183</v>
      </c>
      <c r="D167" s="1" t="s">
        <v>187</v>
      </c>
      <c r="E167" s="1" t="s">
        <v>136</v>
      </c>
      <c r="F167" s="1" t="s">
        <v>131</v>
      </c>
      <c r="G167" s="1" t="s">
        <v>671</v>
      </c>
      <c r="H167" s="1" t="s">
        <v>32</v>
      </c>
      <c r="I167" s="1" t="s">
        <v>151</v>
      </c>
      <c r="J167" s="1" t="s">
        <v>158</v>
      </c>
      <c r="K167" s="1" t="s">
        <v>52</v>
      </c>
      <c r="L167" s="1"/>
      <c r="M167" s="1"/>
      <c r="N167" s="1" t="str">
        <f t="shared" si="27"/>
        <v>No</v>
      </c>
      <c r="O167" s="1">
        <f t="shared" si="33"/>
        <v>71</v>
      </c>
      <c r="P167" s="1">
        <f t="shared" si="28"/>
        <v>95</v>
      </c>
      <c r="Q167" s="1">
        <f t="shared" si="29"/>
        <v>6</v>
      </c>
      <c r="R167" s="1">
        <f t="shared" si="30"/>
        <v>0</v>
      </c>
      <c r="S167" s="29">
        <f t="shared" si="31"/>
        <v>74.73</v>
      </c>
      <c r="T167" s="1" t="str">
        <f t="shared" si="32"/>
        <v>not out</v>
      </c>
      <c r="U167" s="1" t="str">
        <f t="shared" si="34"/>
        <v>2</v>
      </c>
      <c r="V167" s="1" t="str">
        <f t="shared" si="35"/>
        <v xml:space="preserve"> Australia</v>
      </c>
      <c r="W167" s="1" t="str">
        <f t="shared" si="36"/>
        <v>Delhi</v>
      </c>
      <c r="X167" s="1" t="str">
        <f t="shared" si="37"/>
        <v>No</v>
      </c>
      <c r="Y167" s="1"/>
      <c r="Z167" s="1"/>
    </row>
    <row r="168" spans="1:26" ht="14.25" customHeight="1">
      <c r="A168" s="1"/>
      <c r="B168" s="1">
        <v>149</v>
      </c>
      <c r="C168" s="1" t="s">
        <v>313</v>
      </c>
      <c r="D168" s="1" t="s">
        <v>147</v>
      </c>
      <c r="E168" s="1" t="s">
        <v>151</v>
      </c>
      <c r="F168" s="1" t="s">
        <v>131</v>
      </c>
      <c r="G168" s="1" t="s">
        <v>672</v>
      </c>
      <c r="H168" s="1" t="s">
        <v>24</v>
      </c>
      <c r="I168" s="1" t="s">
        <v>151</v>
      </c>
      <c r="J168" s="1" t="s">
        <v>158</v>
      </c>
      <c r="K168" s="1" t="s">
        <v>46</v>
      </c>
      <c r="L168" s="1"/>
      <c r="M168" s="1"/>
      <c r="N168" s="1" t="str">
        <f t="shared" si="27"/>
        <v>No</v>
      </c>
      <c r="O168" s="1">
        <f t="shared" si="33"/>
        <v>26</v>
      </c>
      <c r="P168" s="1">
        <f t="shared" si="28"/>
        <v>46</v>
      </c>
      <c r="Q168" s="1">
        <f t="shared" si="29"/>
        <v>2</v>
      </c>
      <c r="R168" s="1">
        <f t="shared" si="30"/>
        <v>0</v>
      </c>
      <c r="S168" s="29">
        <f t="shared" si="31"/>
        <v>56.52</v>
      </c>
      <c r="T168" s="1" t="str">
        <f t="shared" si="32"/>
        <v>caught</v>
      </c>
      <c r="U168" s="1" t="str">
        <f t="shared" si="34"/>
        <v>2</v>
      </c>
      <c r="V168" s="1" t="str">
        <f t="shared" si="35"/>
        <v xml:space="preserve"> Australia</v>
      </c>
      <c r="W168" s="1" t="str">
        <f t="shared" si="36"/>
        <v>Mohali</v>
      </c>
      <c r="X168" s="1" t="str">
        <f t="shared" si="37"/>
        <v>Yes</v>
      </c>
      <c r="Y168" s="1"/>
      <c r="Z168" s="1"/>
    </row>
    <row r="169" spans="1:26" ht="14.25" customHeight="1">
      <c r="A169" s="1"/>
      <c r="B169" s="1">
        <v>150</v>
      </c>
      <c r="C169" s="1" t="s">
        <v>136</v>
      </c>
      <c r="D169" s="1" t="s">
        <v>283</v>
      </c>
      <c r="E169" s="1" t="s">
        <v>131</v>
      </c>
      <c r="F169" s="1" t="s">
        <v>131</v>
      </c>
      <c r="G169" s="1" t="s">
        <v>324</v>
      </c>
      <c r="H169" s="1" t="s">
        <v>24</v>
      </c>
      <c r="I169" s="1" t="s">
        <v>151</v>
      </c>
      <c r="J169" s="1" t="s">
        <v>158</v>
      </c>
      <c r="K169" s="1" t="s">
        <v>85</v>
      </c>
      <c r="L169" s="1"/>
      <c r="M169" s="1"/>
      <c r="N169" s="1" t="str">
        <f t="shared" si="27"/>
        <v>No</v>
      </c>
      <c r="O169" s="1">
        <f t="shared" si="33"/>
        <v>6</v>
      </c>
      <c r="P169" s="1">
        <f t="shared" si="28"/>
        <v>15</v>
      </c>
      <c r="Q169" s="1">
        <f t="shared" si="29"/>
        <v>0</v>
      </c>
      <c r="R169" s="1">
        <f t="shared" si="30"/>
        <v>0</v>
      </c>
      <c r="S169" s="29">
        <f t="shared" si="31"/>
        <v>40</v>
      </c>
      <c r="T169" s="1" t="str">
        <f t="shared" si="32"/>
        <v>caught</v>
      </c>
      <c r="U169" s="1" t="str">
        <f t="shared" si="34"/>
        <v>2</v>
      </c>
      <c r="V169" s="1" t="str">
        <f t="shared" si="35"/>
        <v xml:space="preserve"> Australia</v>
      </c>
      <c r="W169" s="1" t="str">
        <f t="shared" si="36"/>
        <v>Hyderabad</v>
      </c>
      <c r="X169" s="1" t="str">
        <f t="shared" si="37"/>
        <v>Yes</v>
      </c>
      <c r="Y169" s="1"/>
      <c r="Z169" s="1"/>
    </row>
    <row r="170" spans="1:26" ht="14.25" customHeight="1">
      <c r="A170" s="1"/>
      <c r="B170" s="1">
        <v>151</v>
      </c>
      <c r="C170" s="1" t="s">
        <v>154</v>
      </c>
      <c r="D170" s="1" t="s">
        <v>280</v>
      </c>
      <c r="E170" s="1" t="s">
        <v>130</v>
      </c>
      <c r="F170" s="1" t="s">
        <v>131</v>
      </c>
      <c r="G170" s="1" t="s">
        <v>673</v>
      </c>
      <c r="H170" s="1" t="s">
        <v>19</v>
      </c>
      <c r="I170" s="1" t="s">
        <v>130</v>
      </c>
      <c r="J170" s="1" t="s">
        <v>158</v>
      </c>
      <c r="K170" s="1" t="s">
        <v>66</v>
      </c>
      <c r="L170" s="1"/>
      <c r="M170" s="1"/>
      <c r="N170" s="1" t="str">
        <f t="shared" si="27"/>
        <v>No</v>
      </c>
      <c r="O170" s="1">
        <f t="shared" si="33"/>
        <v>24</v>
      </c>
      <c r="P170" s="1">
        <f t="shared" si="28"/>
        <v>77</v>
      </c>
      <c r="Q170" s="1">
        <f t="shared" si="29"/>
        <v>1</v>
      </c>
      <c r="R170" s="1">
        <f t="shared" si="30"/>
        <v>0</v>
      </c>
      <c r="S170" s="29">
        <f t="shared" si="31"/>
        <v>31.16</v>
      </c>
      <c r="T170" s="1" t="str">
        <f t="shared" si="32"/>
        <v>lbw</v>
      </c>
      <c r="U170" s="1" t="str">
        <f t="shared" si="34"/>
        <v>1</v>
      </c>
      <c r="V170" s="1" t="str">
        <f t="shared" si="35"/>
        <v xml:space="preserve"> Australia</v>
      </c>
      <c r="W170" s="1" t="str">
        <f t="shared" si="36"/>
        <v>Guwahati</v>
      </c>
      <c r="X170" s="1" t="str">
        <f t="shared" si="37"/>
        <v>Yes</v>
      </c>
      <c r="Y170" s="1"/>
      <c r="Z170" s="1"/>
    </row>
    <row r="171" spans="1:26" ht="14.25" customHeight="1">
      <c r="A171" s="1"/>
      <c r="B171" s="1">
        <v>152</v>
      </c>
      <c r="C171" s="1" t="s">
        <v>454</v>
      </c>
      <c r="D171" s="1" t="s">
        <v>235</v>
      </c>
      <c r="E171" s="1" t="s">
        <v>144</v>
      </c>
      <c r="F171" s="1" t="s">
        <v>148</v>
      </c>
      <c r="G171" s="1" t="s">
        <v>674</v>
      </c>
      <c r="H171" s="1" t="s">
        <v>24</v>
      </c>
      <c r="I171" s="1" t="s">
        <v>130</v>
      </c>
      <c r="J171" s="1" t="s">
        <v>133</v>
      </c>
      <c r="K171" s="1" t="s">
        <v>48</v>
      </c>
      <c r="L171" s="1"/>
      <c r="M171" s="1"/>
      <c r="N171" s="1" t="str">
        <f t="shared" si="27"/>
        <v>No</v>
      </c>
      <c r="O171" s="1">
        <f t="shared" si="33"/>
        <v>72</v>
      </c>
      <c r="P171" s="1">
        <f t="shared" si="28"/>
        <v>53</v>
      </c>
      <c r="Q171" s="1">
        <f t="shared" si="29"/>
        <v>7</v>
      </c>
      <c r="R171" s="1">
        <f t="shared" si="30"/>
        <v>3</v>
      </c>
      <c r="S171" s="29">
        <f t="shared" si="31"/>
        <v>135.84</v>
      </c>
      <c r="T171" s="1" t="str">
        <f t="shared" si="32"/>
        <v>caught</v>
      </c>
      <c r="U171" s="1" t="str">
        <f t="shared" si="34"/>
        <v>1</v>
      </c>
      <c r="V171" s="1" t="str">
        <f t="shared" si="35"/>
        <v xml:space="preserve"> Sri Lanka</v>
      </c>
      <c r="W171" s="1" t="str">
        <f t="shared" si="36"/>
        <v>Rajkot</v>
      </c>
      <c r="X171" s="1" t="str">
        <f t="shared" si="37"/>
        <v>Yes</v>
      </c>
      <c r="Y171" s="1"/>
      <c r="Z171" s="1"/>
    </row>
    <row r="172" spans="1:26" ht="14.25" customHeight="1">
      <c r="A172" s="1"/>
      <c r="B172" s="1">
        <v>153</v>
      </c>
      <c r="C172" s="1" t="s">
        <v>174</v>
      </c>
      <c r="D172" s="1" t="s">
        <v>346</v>
      </c>
      <c r="E172" s="1" t="s">
        <v>189</v>
      </c>
      <c r="F172" s="1" t="s">
        <v>151</v>
      </c>
      <c r="G172" s="1" t="s">
        <v>675</v>
      </c>
      <c r="H172" s="1" t="s">
        <v>24</v>
      </c>
      <c r="I172" s="1" t="s">
        <v>130</v>
      </c>
      <c r="J172" s="1" t="s">
        <v>133</v>
      </c>
      <c r="K172" s="1" t="s">
        <v>50</v>
      </c>
      <c r="L172" s="1"/>
      <c r="M172" s="1"/>
      <c r="N172" s="1" t="str">
        <f t="shared" si="27"/>
        <v>No</v>
      </c>
      <c r="O172" s="1">
        <f t="shared" si="33"/>
        <v>107</v>
      </c>
      <c r="P172" s="1">
        <f t="shared" si="28"/>
        <v>111</v>
      </c>
      <c r="Q172" s="1">
        <f t="shared" si="29"/>
        <v>8</v>
      </c>
      <c r="R172" s="1">
        <f t="shared" si="30"/>
        <v>2</v>
      </c>
      <c r="S172" s="29">
        <f t="shared" si="31"/>
        <v>96.39</v>
      </c>
      <c r="T172" s="1" t="str">
        <f t="shared" si="32"/>
        <v>caught</v>
      </c>
      <c r="U172" s="1" t="str">
        <f t="shared" si="34"/>
        <v>1</v>
      </c>
      <c r="V172" s="1" t="str">
        <f t="shared" si="35"/>
        <v xml:space="preserve"> Sri Lanka</v>
      </c>
      <c r="W172" s="1" t="str">
        <f t="shared" si="36"/>
        <v>Nagpur</v>
      </c>
      <c r="X172" s="1" t="str">
        <f t="shared" si="37"/>
        <v>Yes</v>
      </c>
      <c r="Y172" s="1"/>
      <c r="Z172" s="1"/>
    </row>
    <row r="173" spans="1:26" ht="14.25" customHeight="1">
      <c r="A173" s="1"/>
      <c r="B173" s="1">
        <v>154</v>
      </c>
      <c r="C173" s="1" t="s">
        <v>38</v>
      </c>
      <c r="D173" s="1" t="s">
        <v>157</v>
      </c>
      <c r="E173" s="1" t="s">
        <v>157</v>
      </c>
      <c r="F173" s="1" t="s">
        <v>157</v>
      </c>
      <c r="G173" s="1" t="s">
        <v>157</v>
      </c>
      <c r="H173" s="1" t="s">
        <v>157</v>
      </c>
      <c r="I173" s="1" t="s">
        <v>157</v>
      </c>
      <c r="J173" s="1" t="s">
        <v>133</v>
      </c>
      <c r="K173" s="1" t="s">
        <v>52</v>
      </c>
      <c r="L173" s="1"/>
      <c r="M173" s="1"/>
      <c r="N173" s="1" t="str">
        <f t="shared" si="27"/>
        <v>Yes</v>
      </c>
      <c r="O173" s="1" t="str">
        <f t="shared" si="33"/>
        <v>NA</v>
      </c>
      <c r="P173" s="1" t="str">
        <f t="shared" si="28"/>
        <v>NA</v>
      </c>
      <c r="Q173" s="1" t="str">
        <f t="shared" si="29"/>
        <v>NA</v>
      </c>
      <c r="R173" s="1" t="str">
        <f t="shared" si="30"/>
        <v>NA</v>
      </c>
      <c r="S173" s="29" t="str">
        <f t="shared" si="31"/>
        <v>NA</v>
      </c>
      <c r="T173" s="1" t="str">
        <f t="shared" si="32"/>
        <v>NA</v>
      </c>
      <c r="U173" s="1" t="str">
        <f t="shared" si="34"/>
        <v>-</v>
      </c>
      <c r="V173" s="1" t="str">
        <f t="shared" si="35"/>
        <v xml:space="preserve"> Sri Lanka</v>
      </c>
      <c r="W173" s="1" t="str">
        <f t="shared" si="36"/>
        <v>Delhi</v>
      </c>
      <c r="X173" s="1" t="str">
        <f t="shared" si="37"/>
        <v>No</v>
      </c>
      <c r="Y173" s="1"/>
      <c r="Z173" s="1"/>
    </row>
    <row r="174" spans="1:26" ht="14.25" customHeight="1">
      <c r="A174" s="1"/>
      <c r="B174" s="1">
        <v>155</v>
      </c>
      <c r="C174" s="1" t="s">
        <v>134</v>
      </c>
      <c r="D174" s="1" t="s">
        <v>222</v>
      </c>
      <c r="E174" s="1" t="s">
        <v>148</v>
      </c>
      <c r="F174" s="1" t="s">
        <v>131</v>
      </c>
      <c r="G174" s="1" t="s">
        <v>676</v>
      </c>
      <c r="H174" s="1" t="s">
        <v>24</v>
      </c>
      <c r="I174" s="1" t="s">
        <v>130</v>
      </c>
      <c r="J174" s="1" t="s">
        <v>133</v>
      </c>
      <c r="K174" s="1" t="s">
        <v>53</v>
      </c>
      <c r="L174" s="1"/>
      <c r="M174" s="1"/>
      <c r="N174" s="1" t="str">
        <f t="shared" si="27"/>
        <v>No</v>
      </c>
      <c r="O174" s="1">
        <f t="shared" si="33"/>
        <v>37</v>
      </c>
      <c r="P174" s="1">
        <f t="shared" si="28"/>
        <v>70</v>
      </c>
      <c r="Q174" s="1">
        <f t="shared" si="29"/>
        <v>3</v>
      </c>
      <c r="R174" s="1">
        <f t="shared" si="30"/>
        <v>0</v>
      </c>
      <c r="S174" s="29">
        <f t="shared" si="31"/>
        <v>52.85</v>
      </c>
      <c r="T174" s="1" t="str">
        <f t="shared" si="32"/>
        <v>caught</v>
      </c>
      <c r="U174" s="1" t="str">
        <f t="shared" si="34"/>
        <v>1</v>
      </c>
      <c r="V174" s="1" t="str">
        <f t="shared" si="35"/>
        <v xml:space="preserve"> Sri Lanka</v>
      </c>
      <c r="W174" s="1" t="str">
        <f t="shared" si="36"/>
        <v>Mirpur</v>
      </c>
      <c r="X174" s="1" t="str">
        <f t="shared" si="37"/>
        <v>Yes</v>
      </c>
      <c r="Y174" s="1"/>
      <c r="Z174" s="1"/>
    </row>
    <row r="175" spans="1:26" ht="14.25" customHeight="1">
      <c r="A175" s="1"/>
      <c r="B175" s="1">
        <v>156</v>
      </c>
      <c r="C175" s="1" t="s">
        <v>516</v>
      </c>
      <c r="D175" s="1" t="s">
        <v>174</v>
      </c>
      <c r="E175" s="1" t="s">
        <v>161</v>
      </c>
      <c r="F175" s="1" t="s">
        <v>131</v>
      </c>
      <c r="G175" s="1" t="s">
        <v>677</v>
      </c>
      <c r="H175" s="1" t="s">
        <v>32</v>
      </c>
      <c r="I175" s="1" t="s">
        <v>151</v>
      </c>
      <c r="J175" s="1" t="s">
        <v>182</v>
      </c>
      <c r="K175" s="1" t="s">
        <v>53</v>
      </c>
      <c r="L175" s="1"/>
      <c r="M175" s="1"/>
      <c r="N175" s="1" t="str">
        <f t="shared" si="27"/>
        <v>No</v>
      </c>
      <c r="O175" s="1">
        <f t="shared" si="33"/>
        <v>101</v>
      </c>
      <c r="P175" s="1">
        <f t="shared" si="28"/>
        <v>107</v>
      </c>
      <c r="Q175" s="1">
        <f t="shared" si="29"/>
        <v>9</v>
      </c>
      <c r="R175" s="1">
        <f t="shared" si="30"/>
        <v>0</v>
      </c>
      <c r="S175" s="29">
        <f t="shared" si="31"/>
        <v>94.39</v>
      </c>
      <c r="T175" s="1" t="str">
        <f t="shared" si="32"/>
        <v>not out</v>
      </c>
      <c r="U175" s="1" t="str">
        <f t="shared" si="34"/>
        <v>2</v>
      </c>
      <c r="V175" s="1" t="str">
        <f t="shared" si="35"/>
        <v xml:space="preserve"> Bangladesh</v>
      </c>
      <c r="W175" s="1" t="str">
        <f t="shared" si="36"/>
        <v>Mirpur</v>
      </c>
      <c r="X175" s="1" t="str">
        <f t="shared" si="37"/>
        <v>No</v>
      </c>
      <c r="Y175" s="1"/>
      <c r="Z175" s="1"/>
    </row>
    <row r="176" spans="1:26" ht="14.25" customHeight="1">
      <c r="A176" s="1"/>
      <c r="B176" s="1">
        <v>157</v>
      </c>
      <c r="C176" s="1" t="s">
        <v>57</v>
      </c>
      <c r="D176" s="1" t="s">
        <v>157</v>
      </c>
      <c r="E176" s="1" t="s">
        <v>157</v>
      </c>
      <c r="F176" s="1" t="s">
        <v>157</v>
      </c>
      <c r="G176" s="1" t="s">
        <v>157</v>
      </c>
      <c r="H176" s="1" t="s">
        <v>157</v>
      </c>
      <c r="I176" s="1" t="s">
        <v>151</v>
      </c>
      <c r="J176" s="1" t="s">
        <v>133</v>
      </c>
      <c r="K176" s="1" t="s">
        <v>53</v>
      </c>
      <c r="L176" s="1"/>
      <c r="M176" s="1"/>
      <c r="N176" s="1" t="str">
        <f t="shared" si="27"/>
        <v>Yes</v>
      </c>
      <c r="O176" s="1" t="str">
        <f t="shared" si="33"/>
        <v>NA</v>
      </c>
      <c r="P176" s="1" t="str">
        <f t="shared" si="28"/>
        <v>NA</v>
      </c>
      <c r="Q176" s="1" t="str">
        <f t="shared" si="29"/>
        <v>NA</v>
      </c>
      <c r="R176" s="1" t="str">
        <f t="shared" si="30"/>
        <v>NA</v>
      </c>
      <c r="S176" s="29" t="str">
        <f t="shared" si="31"/>
        <v>NA</v>
      </c>
      <c r="T176" s="1" t="str">
        <f t="shared" si="32"/>
        <v>NA</v>
      </c>
      <c r="U176" s="1" t="str">
        <f t="shared" si="34"/>
        <v>2</v>
      </c>
      <c r="V176" s="1" t="str">
        <f t="shared" si="35"/>
        <v xml:space="preserve"> Sri Lanka</v>
      </c>
      <c r="W176" s="1" t="str">
        <f t="shared" si="36"/>
        <v>Mirpur</v>
      </c>
      <c r="X176" s="1" t="str">
        <f t="shared" si="37"/>
        <v>No</v>
      </c>
      <c r="Y176" s="1"/>
      <c r="Z176" s="1"/>
    </row>
    <row r="177" spans="1:26" ht="14.25" customHeight="1">
      <c r="A177" s="1"/>
      <c r="B177" s="1">
        <v>158</v>
      </c>
      <c r="C177" s="1" t="s">
        <v>521</v>
      </c>
      <c r="D177" s="1" t="s">
        <v>248</v>
      </c>
      <c r="E177" s="1" t="s">
        <v>148</v>
      </c>
      <c r="F177" s="1" t="s">
        <v>131</v>
      </c>
      <c r="G177" s="1" t="s">
        <v>678</v>
      </c>
      <c r="H177" s="1" t="s">
        <v>24</v>
      </c>
      <c r="I177" s="1" t="s">
        <v>151</v>
      </c>
      <c r="J177" s="1" t="s">
        <v>182</v>
      </c>
      <c r="K177" s="1" t="s">
        <v>53</v>
      </c>
      <c r="L177" s="1"/>
      <c r="M177" s="1"/>
      <c r="N177" s="1" t="str">
        <f t="shared" si="27"/>
        <v>No</v>
      </c>
      <c r="O177" s="1">
        <f t="shared" si="33"/>
        <v>32</v>
      </c>
      <c r="P177" s="1">
        <f t="shared" si="28"/>
        <v>35</v>
      </c>
      <c r="Q177" s="1">
        <f t="shared" si="29"/>
        <v>3</v>
      </c>
      <c r="R177" s="1">
        <f t="shared" si="30"/>
        <v>0</v>
      </c>
      <c r="S177" s="29">
        <f t="shared" si="31"/>
        <v>91.42</v>
      </c>
      <c r="T177" s="1" t="str">
        <f t="shared" si="32"/>
        <v>caught</v>
      </c>
      <c r="U177" s="1" t="str">
        <f t="shared" si="34"/>
        <v>2</v>
      </c>
      <c r="V177" s="1" t="str">
        <f t="shared" si="35"/>
        <v xml:space="preserve"> Bangladesh</v>
      </c>
      <c r="W177" s="1" t="str">
        <f t="shared" si="36"/>
        <v>Mirpur</v>
      </c>
      <c r="X177" s="1" t="str">
        <f t="shared" si="37"/>
        <v>Yes</v>
      </c>
      <c r="Y177" s="1"/>
      <c r="Z177" s="1"/>
    </row>
    <row r="178" spans="1:26" ht="14.25" customHeight="1">
      <c r="A178" s="1"/>
      <c r="B178" s="1">
        <v>159</v>
      </c>
      <c r="C178" s="1" t="s">
        <v>205</v>
      </c>
      <c r="D178" s="1" t="s">
        <v>170</v>
      </c>
      <c r="E178" s="1" t="s">
        <v>148</v>
      </c>
      <c r="F178" s="1" t="s">
        <v>131</v>
      </c>
      <c r="G178" s="1" t="s">
        <v>522</v>
      </c>
      <c r="H178" s="1" t="s">
        <v>24</v>
      </c>
      <c r="I178" s="1" t="s">
        <v>130</v>
      </c>
      <c r="J178" s="1" t="s">
        <v>133</v>
      </c>
      <c r="K178" s="1" t="s">
        <v>53</v>
      </c>
      <c r="L178" s="1"/>
      <c r="M178" s="1"/>
      <c r="N178" s="1" t="str">
        <f t="shared" si="27"/>
        <v>No</v>
      </c>
      <c r="O178" s="1">
        <f t="shared" si="33"/>
        <v>14</v>
      </c>
      <c r="P178" s="1">
        <f t="shared" si="28"/>
        <v>19</v>
      </c>
      <c r="Q178" s="1">
        <f t="shared" si="29"/>
        <v>3</v>
      </c>
      <c r="R178" s="1">
        <f t="shared" si="30"/>
        <v>0</v>
      </c>
      <c r="S178" s="29">
        <f t="shared" si="31"/>
        <v>73.680000000000007</v>
      </c>
      <c r="T178" s="1" t="str">
        <f t="shared" si="32"/>
        <v>caught</v>
      </c>
      <c r="U178" s="1" t="str">
        <f t="shared" si="34"/>
        <v>1</v>
      </c>
      <c r="V178" s="1" t="str">
        <f t="shared" si="35"/>
        <v xml:space="preserve"> Sri Lanka</v>
      </c>
      <c r="W178" s="1" t="str">
        <f t="shared" si="36"/>
        <v>Mirpur</v>
      </c>
      <c r="X178" s="1" t="str">
        <f t="shared" si="37"/>
        <v>Yes</v>
      </c>
      <c r="Y178" s="1"/>
      <c r="Z178" s="1"/>
    </row>
    <row r="179" spans="1:26" ht="14.25" customHeight="1">
      <c r="A179" s="1"/>
      <c r="B179" s="1">
        <v>160</v>
      </c>
      <c r="C179" s="1" t="s">
        <v>313</v>
      </c>
      <c r="D179" s="1" t="s">
        <v>200</v>
      </c>
      <c r="E179" s="1" t="s">
        <v>151</v>
      </c>
      <c r="F179" s="1" t="s">
        <v>131</v>
      </c>
      <c r="G179" s="1" t="s">
        <v>623</v>
      </c>
      <c r="H179" s="1" t="s">
        <v>24</v>
      </c>
      <c r="I179" s="1" t="s">
        <v>130</v>
      </c>
      <c r="J179" s="1" t="s">
        <v>191</v>
      </c>
      <c r="K179" s="1" t="s">
        <v>56</v>
      </c>
      <c r="L179" s="1"/>
      <c r="M179" s="1"/>
      <c r="N179" s="1" t="str">
        <f t="shared" si="27"/>
        <v>No</v>
      </c>
      <c r="O179" s="1">
        <f t="shared" si="33"/>
        <v>26</v>
      </c>
      <c r="P179" s="1">
        <f t="shared" si="28"/>
        <v>29</v>
      </c>
      <c r="Q179" s="1">
        <f t="shared" si="29"/>
        <v>2</v>
      </c>
      <c r="R179" s="1">
        <f t="shared" si="30"/>
        <v>0</v>
      </c>
      <c r="S179" s="29">
        <f t="shared" si="31"/>
        <v>89.65</v>
      </c>
      <c r="T179" s="1" t="str">
        <f t="shared" si="32"/>
        <v>caught</v>
      </c>
      <c r="U179" s="1" t="str">
        <f t="shared" si="34"/>
        <v>1</v>
      </c>
      <c r="V179" s="1" t="str">
        <f t="shared" si="35"/>
        <v xml:space="preserve"> South Africa</v>
      </c>
      <c r="W179" s="1" t="str">
        <f t="shared" si="36"/>
        <v>Jaipur</v>
      </c>
      <c r="X179" s="1" t="str">
        <f t="shared" si="37"/>
        <v>Yes</v>
      </c>
      <c r="Y179" s="1"/>
      <c r="Z179" s="1"/>
    </row>
    <row r="180" spans="1:26" ht="14.25" customHeight="1">
      <c r="A180" s="1"/>
      <c r="B180" s="1">
        <v>161</v>
      </c>
      <c r="C180" s="1" t="s">
        <v>331</v>
      </c>
      <c r="D180" s="1" t="s">
        <v>248</v>
      </c>
      <c r="E180" s="1" t="s">
        <v>144</v>
      </c>
      <c r="F180" s="1" t="s">
        <v>140</v>
      </c>
      <c r="G180" s="1" t="s">
        <v>679</v>
      </c>
      <c r="H180" s="1" t="s">
        <v>32</v>
      </c>
      <c r="I180" s="1" t="s">
        <v>130</v>
      </c>
      <c r="J180" s="1" t="s">
        <v>191</v>
      </c>
      <c r="K180" s="1" t="s">
        <v>58</v>
      </c>
      <c r="L180" s="1"/>
      <c r="M180" s="1"/>
      <c r="N180" s="1" t="str">
        <f t="shared" si="27"/>
        <v>No</v>
      </c>
      <c r="O180" s="1">
        <f t="shared" si="33"/>
        <v>68</v>
      </c>
      <c r="P180" s="1">
        <f t="shared" si="28"/>
        <v>35</v>
      </c>
      <c r="Q180" s="1">
        <f t="shared" si="29"/>
        <v>7</v>
      </c>
      <c r="R180" s="1">
        <f t="shared" si="30"/>
        <v>4</v>
      </c>
      <c r="S180" s="29">
        <f t="shared" si="31"/>
        <v>194.28</v>
      </c>
      <c r="T180" s="1" t="str">
        <f t="shared" si="32"/>
        <v>not out</v>
      </c>
      <c r="U180" s="1" t="str">
        <f t="shared" si="34"/>
        <v>1</v>
      </c>
      <c r="V180" s="1" t="str">
        <f t="shared" si="35"/>
        <v xml:space="preserve"> South Africa</v>
      </c>
      <c r="W180" s="1" t="str">
        <f t="shared" si="36"/>
        <v>Gwalior</v>
      </c>
      <c r="X180" s="1" t="str">
        <f t="shared" si="37"/>
        <v>No</v>
      </c>
      <c r="Y180" s="1"/>
      <c r="Z180" s="1"/>
    </row>
    <row r="181" spans="1:26" ht="14.25" customHeight="1">
      <c r="A181" s="1"/>
      <c r="B181" s="1">
        <v>162</v>
      </c>
      <c r="C181" s="1" t="s">
        <v>161</v>
      </c>
      <c r="D181" s="1" t="s">
        <v>144</v>
      </c>
      <c r="E181" s="1" t="s">
        <v>131</v>
      </c>
      <c r="F181" s="1" t="s">
        <v>130</v>
      </c>
      <c r="G181" s="1" t="s">
        <v>680</v>
      </c>
      <c r="H181" s="1" t="s">
        <v>24</v>
      </c>
      <c r="I181" s="1" t="s">
        <v>151</v>
      </c>
      <c r="J181" s="1" t="s">
        <v>191</v>
      </c>
      <c r="K181" s="1" t="s">
        <v>59</v>
      </c>
      <c r="L181" s="1"/>
      <c r="M181" s="1"/>
      <c r="N181" s="1" t="str">
        <f t="shared" si="27"/>
        <v>No</v>
      </c>
      <c r="O181" s="1">
        <f t="shared" si="33"/>
        <v>9</v>
      </c>
      <c r="P181" s="1">
        <f t="shared" si="28"/>
        <v>7</v>
      </c>
      <c r="Q181" s="1">
        <f t="shared" si="29"/>
        <v>0</v>
      </c>
      <c r="R181" s="1">
        <f t="shared" si="30"/>
        <v>1</v>
      </c>
      <c r="S181" s="29">
        <f t="shared" si="31"/>
        <v>128.57</v>
      </c>
      <c r="T181" s="1" t="str">
        <f t="shared" si="32"/>
        <v>caught</v>
      </c>
      <c r="U181" s="1" t="str">
        <f t="shared" si="34"/>
        <v>2</v>
      </c>
      <c r="V181" s="1" t="str">
        <f t="shared" si="35"/>
        <v xml:space="preserve"> South Africa</v>
      </c>
      <c r="W181" s="1" t="str">
        <f t="shared" si="36"/>
        <v>Ahmedabad</v>
      </c>
      <c r="X181" s="1" t="str">
        <f t="shared" si="37"/>
        <v>Yes</v>
      </c>
      <c r="Y181" s="1"/>
      <c r="Z181" s="1"/>
    </row>
    <row r="182" spans="1:26" ht="14.25" customHeight="1">
      <c r="A182" s="1"/>
      <c r="B182" s="1">
        <v>163</v>
      </c>
      <c r="C182" s="1" t="s">
        <v>681</v>
      </c>
      <c r="D182" s="1" t="s">
        <v>405</v>
      </c>
      <c r="E182" s="1" t="s">
        <v>148</v>
      </c>
      <c r="F182" s="1" t="s">
        <v>130</v>
      </c>
      <c r="G182" s="1" t="s">
        <v>682</v>
      </c>
      <c r="H182" s="1" t="s">
        <v>32</v>
      </c>
      <c r="I182" s="1" t="s">
        <v>151</v>
      </c>
      <c r="J182" s="1" t="s">
        <v>182</v>
      </c>
      <c r="K182" s="1" t="s">
        <v>21</v>
      </c>
      <c r="L182" s="1"/>
      <c r="M182" s="1"/>
      <c r="N182" s="1" t="str">
        <f t="shared" si="27"/>
        <v>No</v>
      </c>
      <c r="O182" s="1">
        <f t="shared" si="33"/>
        <v>38</v>
      </c>
      <c r="P182" s="1">
        <f t="shared" si="28"/>
        <v>45</v>
      </c>
      <c r="Q182" s="1">
        <f t="shared" si="29"/>
        <v>3</v>
      </c>
      <c r="R182" s="1">
        <f t="shared" si="30"/>
        <v>1</v>
      </c>
      <c r="S182" s="29">
        <f t="shared" si="31"/>
        <v>84.44</v>
      </c>
      <c r="T182" s="1" t="str">
        <f t="shared" si="32"/>
        <v>not out</v>
      </c>
      <c r="U182" s="1" t="str">
        <f t="shared" si="34"/>
        <v>2</v>
      </c>
      <c r="V182" s="1" t="str">
        <f t="shared" si="35"/>
        <v xml:space="preserve"> Bangladesh</v>
      </c>
      <c r="W182" s="1" t="str">
        <f t="shared" si="36"/>
        <v>Dambulla</v>
      </c>
      <c r="X182" s="1" t="str">
        <f t="shared" si="37"/>
        <v>No</v>
      </c>
      <c r="Y182" s="1"/>
      <c r="Z182" s="1"/>
    </row>
    <row r="183" spans="1:26" ht="14.25" customHeight="1">
      <c r="A183" s="1"/>
      <c r="B183" s="1">
        <v>164</v>
      </c>
      <c r="C183" s="1" t="s">
        <v>452</v>
      </c>
      <c r="D183" s="1" t="s">
        <v>193</v>
      </c>
      <c r="E183" s="1" t="s">
        <v>151</v>
      </c>
      <c r="F183" s="1" t="s">
        <v>130</v>
      </c>
      <c r="G183" s="1" t="s">
        <v>683</v>
      </c>
      <c r="H183" s="1" t="s">
        <v>29</v>
      </c>
      <c r="I183" s="1" t="s">
        <v>151</v>
      </c>
      <c r="J183" s="1" t="s">
        <v>156</v>
      </c>
      <c r="K183" s="1" t="s">
        <v>21</v>
      </c>
      <c r="L183" s="1"/>
      <c r="M183" s="1"/>
      <c r="N183" s="1" t="str">
        <f t="shared" si="27"/>
        <v>No</v>
      </c>
      <c r="O183" s="1">
        <f t="shared" si="33"/>
        <v>56</v>
      </c>
      <c r="P183" s="1">
        <f t="shared" si="28"/>
        <v>71</v>
      </c>
      <c r="Q183" s="1">
        <f t="shared" si="29"/>
        <v>2</v>
      </c>
      <c r="R183" s="1">
        <f t="shared" si="30"/>
        <v>1</v>
      </c>
      <c r="S183" s="29">
        <f t="shared" si="31"/>
        <v>78.87</v>
      </c>
      <c r="T183" s="1" t="str">
        <f t="shared" si="32"/>
        <v>bowled</v>
      </c>
      <c r="U183" s="1" t="str">
        <f t="shared" si="34"/>
        <v>2</v>
      </c>
      <c r="V183" s="1" t="str">
        <f t="shared" si="35"/>
        <v xml:space="preserve"> Pakistan</v>
      </c>
      <c r="W183" s="1" t="str">
        <f t="shared" si="36"/>
        <v>Dambulla</v>
      </c>
      <c r="X183" s="1" t="str">
        <f t="shared" si="37"/>
        <v>Yes</v>
      </c>
      <c r="Y183" s="1"/>
      <c r="Z183" s="1"/>
    </row>
    <row r="184" spans="1:26" ht="14.25" customHeight="1">
      <c r="A184" s="1"/>
      <c r="B184" s="1">
        <v>165</v>
      </c>
      <c r="C184" s="1" t="s">
        <v>165</v>
      </c>
      <c r="D184" s="1" t="s">
        <v>235</v>
      </c>
      <c r="E184" s="1" t="s">
        <v>136</v>
      </c>
      <c r="F184" s="1" t="s">
        <v>131</v>
      </c>
      <c r="G184" s="1" t="s">
        <v>684</v>
      </c>
      <c r="H184" s="1" t="s">
        <v>26</v>
      </c>
      <c r="I184" s="1" t="s">
        <v>130</v>
      </c>
      <c r="J184" s="1" t="s">
        <v>133</v>
      </c>
      <c r="K184" s="1" t="s">
        <v>21</v>
      </c>
      <c r="L184" s="1"/>
      <c r="M184" s="1"/>
      <c r="N184" s="1" t="str">
        <f t="shared" si="27"/>
        <v>No</v>
      </c>
      <c r="O184" s="1">
        <f t="shared" si="33"/>
        <v>41</v>
      </c>
      <c r="P184" s="1">
        <f t="shared" si="28"/>
        <v>53</v>
      </c>
      <c r="Q184" s="1">
        <f t="shared" si="29"/>
        <v>6</v>
      </c>
      <c r="R184" s="1">
        <f t="shared" si="30"/>
        <v>0</v>
      </c>
      <c r="S184" s="29">
        <f t="shared" si="31"/>
        <v>77.349999999999994</v>
      </c>
      <c r="T184" s="1" t="str">
        <f t="shared" si="32"/>
        <v>run out</v>
      </c>
      <c r="U184" s="1" t="str">
        <f t="shared" si="34"/>
        <v>1</v>
      </c>
      <c r="V184" s="1" t="str">
        <f t="shared" si="35"/>
        <v xml:space="preserve"> Sri Lanka</v>
      </c>
      <c r="W184" s="1" t="str">
        <f t="shared" si="36"/>
        <v>Dambulla</v>
      </c>
      <c r="X184" s="1" t="str">
        <f t="shared" si="37"/>
        <v>Yes</v>
      </c>
      <c r="Y184" s="1"/>
      <c r="Z184" s="1"/>
    </row>
    <row r="185" spans="1:26" ht="14.25" customHeight="1">
      <c r="A185" s="1"/>
      <c r="B185" s="1">
        <v>166</v>
      </c>
      <c r="C185" s="1" t="s">
        <v>139</v>
      </c>
      <c r="D185" s="1" t="s">
        <v>360</v>
      </c>
      <c r="E185" s="1" t="s">
        <v>151</v>
      </c>
      <c r="F185" s="1" t="s">
        <v>130</v>
      </c>
      <c r="G185" s="1" t="s">
        <v>685</v>
      </c>
      <c r="H185" s="1" t="s">
        <v>24</v>
      </c>
      <c r="I185" s="1" t="s">
        <v>130</v>
      </c>
      <c r="J185" s="1" t="s">
        <v>133</v>
      </c>
      <c r="K185" s="1" t="s">
        <v>21</v>
      </c>
      <c r="L185" s="1"/>
      <c r="M185" s="1"/>
      <c r="N185" s="1" t="str">
        <f t="shared" si="27"/>
        <v>No</v>
      </c>
      <c r="O185" s="1">
        <f t="shared" si="33"/>
        <v>38</v>
      </c>
      <c r="P185" s="1">
        <f t="shared" si="28"/>
        <v>50</v>
      </c>
      <c r="Q185" s="1">
        <f t="shared" si="29"/>
        <v>2</v>
      </c>
      <c r="R185" s="1">
        <f t="shared" si="30"/>
        <v>1</v>
      </c>
      <c r="S185" s="29">
        <f t="shared" si="31"/>
        <v>76</v>
      </c>
      <c r="T185" s="1" t="str">
        <f t="shared" si="32"/>
        <v>caught</v>
      </c>
      <c r="U185" s="1" t="str">
        <f t="shared" si="34"/>
        <v>1</v>
      </c>
      <c r="V185" s="1" t="str">
        <f t="shared" si="35"/>
        <v xml:space="preserve"> Sri Lanka</v>
      </c>
      <c r="W185" s="1" t="str">
        <f t="shared" si="36"/>
        <v>Dambulla</v>
      </c>
      <c r="X185" s="1" t="str">
        <f t="shared" si="37"/>
        <v>Yes</v>
      </c>
      <c r="Y185" s="1"/>
      <c r="Z185" s="1"/>
    </row>
    <row r="186" spans="1:26" ht="14.25" customHeight="1">
      <c r="A186" s="1"/>
      <c r="B186" s="1">
        <v>167</v>
      </c>
      <c r="C186" s="1" t="s">
        <v>151</v>
      </c>
      <c r="D186" s="1" t="s">
        <v>161</v>
      </c>
      <c r="E186" s="1" t="s">
        <v>131</v>
      </c>
      <c r="F186" s="1" t="s">
        <v>131</v>
      </c>
      <c r="G186" s="1" t="s">
        <v>686</v>
      </c>
      <c r="H186" s="1" t="s">
        <v>26</v>
      </c>
      <c r="I186" s="1" t="s">
        <v>151</v>
      </c>
      <c r="J186" s="1" t="s">
        <v>211</v>
      </c>
      <c r="K186" s="1" t="s">
        <v>21</v>
      </c>
      <c r="L186" s="1"/>
      <c r="M186" s="1"/>
      <c r="N186" s="1" t="str">
        <f t="shared" si="27"/>
        <v>No</v>
      </c>
      <c r="O186" s="1">
        <f t="shared" si="33"/>
        <v>2</v>
      </c>
      <c r="P186" s="1">
        <f t="shared" si="28"/>
        <v>9</v>
      </c>
      <c r="Q186" s="1">
        <f t="shared" si="29"/>
        <v>0</v>
      </c>
      <c r="R186" s="1">
        <f t="shared" si="30"/>
        <v>0</v>
      </c>
      <c r="S186" s="29">
        <f t="shared" si="31"/>
        <v>22.22</v>
      </c>
      <c r="T186" s="1" t="str">
        <f t="shared" si="32"/>
        <v>run out</v>
      </c>
      <c r="U186" s="1" t="str">
        <f t="shared" si="34"/>
        <v>2</v>
      </c>
      <c r="V186" s="1" t="str">
        <f t="shared" si="35"/>
        <v xml:space="preserve"> New Zealand</v>
      </c>
      <c r="W186" s="1" t="str">
        <f t="shared" si="36"/>
        <v>Dambulla</v>
      </c>
      <c r="X186" s="1" t="str">
        <f t="shared" si="37"/>
        <v>Yes</v>
      </c>
      <c r="Y186" s="1"/>
      <c r="Z186" s="1"/>
    </row>
    <row r="187" spans="1:26" ht="14.25" customHeight="1">
      <c r="A187" s="1"/>
      <c r="B187" s="1">
        <v>168</v>
      </c>
      <c r="C187" s="1" t="s">
        <v>274</v>
      </c>
      <c r="D187" s="1" t="s">
        <v>139</v>
      </c>
      <c r="E187" s="1" t="s">
        <v>151</v>
      </c>
      <c r="F187" s="1" t="s">
        <v>131</v>
      </c>
      <c r="G187" s="1" t="s">
        <v>687</v>
      </c>
      <c r="H187" s="1" t="s">
        <v>32</v>
      </c>
      <c r="I187" s="1" t="s">
        <v>151</v>
      </c>
      <c r="J187" s="1" t="s">
        <v>133</v>
      </c>
      <c r="K187" s="1" t="s">
        <v>21</v>
      </c>
      <c r="L187" s="1"/>
      <c r="M187" s="1"/>
      <c r="N187" s="1" t="str">
        <f t="shared" si="27"/>
        <v>No</v>
      </c>
      <c r="O187" s="1">
        <f t="shared" si="33"/>
        <v>23</v>
      </c>
      <c r="P187" s="1">
        <f t="shared" si="28"/>
        <v>38</v>
      </c>
      <c r="Q187" s="1">
        <f t="shared" si="29"/>
        <v>2</v>
      </c>
      <c r="R187" s="1">
        <f t="shared" si="30"/>
        <v>0</v>
      </c>
      <c r="S187" s="29">
        <f t="shared" si="31"/>
        <v>60.52</v>
      </c>
      <c r="T187" s="1" t="str">
        <f t="shared" si="32"/>
        <v>not out</v>
      </c>
      <c r="U187" s="1" t="str">
        <f t="shared" si="34"/>
        <v>2</v>
      </c>
      <c r="V187" s="1" t="str">
        <f t="shared" si="35"/>
        <v xml:space="preserve"> Sri Lanka</v>
      </c>
      <c r="W187" s="1" t="str">
        <f t="shared" si="36"/>
        <v>Dambulla</v>
      </c>
      <c r="X187" s="1" t="str">
        <f t="shared" si="37"/>
        <v>No</v>
      </c>
      <c r="Y187" s="1"/>
      <c r="Z187" s="1"/>
    </row>
    <row r="188" spans="1:26" ht="14.25" customHeight="1">
      <c r="A188" s="1"/>
      <c r="B188" s="1">
        <v>169</v>
      </c>
      <c r="C188" s="1" t="s">
        <v>167</v>
      </c>
      <c r="D188" s="1" t="s">
        <v>153</v>
      </c>
      <c r="E188" s="1" t="s">
        <v>151</v>
      </c>
      <c r="F188" s="1" t="s">
        <v>131</v>
      </c>
      <c r="G188" s="1" t="s">
        <v>168</v>
      </c>
      <c r="H188" s="1" t="s">
        <v>24</v>
      </c>
      <c r="I188" s="1" t="s">
        <v>130</v>
      </c>
      <c r="J188" s="1" t="s">
        <v>133</v>
      </c>
      <c r="K188" s="1" t="s">
        <v>21</v>
      </c>
      <c r="L188" s="1"/>
      <c r="M188" s="1"/>
      <c r="N188" s="1" t="str">
        <f t="shared" si="27"/>
        <v>No</v>
      </c>
      <c r="O188" s="1">
        <f t="shared" si="33"/>
        <v>10</v>
      </c>
      <c r="P188" s="1">
        <f t="shared" si="28"/>
        <v>16</v>
      </c>
      <c r="Q188" s="1">
        <f t="shared" si="29"/>
        <v>2</v>
      </c>
      <c r="R188" s="1">
        <f t="shared" si="30"/>
        <v>0</v>
      </c>
      <c r="S188" s="29">
        <f t="shared" si="31"/>
        <v>62.5</v>
      </c>
      <c r="T188" s="1" t="str">
        <f t="shared" si="32"/>
        <v>caught</v>
      </c>
      <c r="U188" s="1" t="str">
        <f t="shared" si="34"/>
        <v>1</v>
      </c>
      <c r="V188" s="1" t="str">
        <f t="shared" si="35"/>
        <v xml:space="preserve"> Sri Lanka</v>
      </c>
      <c r="W188" s="1" t="str">
        <f t="shared" si="36"/>
        <v>Dambulla</v>
      </c>
      <c r="X188" s="1" t="str">
        <f t="shared" si="37"/>
        <v>Yes</v>
      </c>
      <c r="Y188" s="1"/>
      <c r="Z188" s="1"/>
    </row>
    <row r="189" spans="1:26" ht="14.25" customHeight="1">
      <c r="A189" s="1"/>
      <c r="B189" s="1">
        <v>170</v>
      </c>
      <c r="C189" s="1" t="s">
        <v>139</v>
      </c>
      <c r="D189" s="1" t="s">
        <v>447</v>
      </c>
      <c r="E189" s="1" t="s">
        <v>148</v>
      </c>
      <c r="F189" s="1" t="s">
        <v>131</v>
      </c>
      <c r="G189" s="1" t="s">
        <v>688</v>
      </c>
      <c r="H189" s="1" t="s">
        <v>24</v>
      </c>
      <c r="I189" s="1" t="s">
        <v>130</v>
      </c>
      <c r="J189" s="1" t="s">
        <v>211</v>
      </c>
      <c r="K189" s="1" t="s">
        <v>21</v>
      </c>
      <c r="L189" s="1"/>
      <c r="M189" s="1"/>
      <c r="N189" s="1" t="str">
        <f t="shared" si="27"/>
        <v>No</v>
      </c>
      <c r="O189" s="1">
        <f t="shared" si="33"/>
        <v>38</v>
      </c>
      <c r="P189" s="1">
        <f t="shared" si="28"/>
        <v>75</v>
      </c>
      <c r="Q189" s="1">
        <f t="shared" si="29"/>
        <v>3</v>
      </c>
      <c r="R189" s="1">
        <f t="shared" si="30"/>
        <v>0</v>
      </c>
      <c r="S189" s="29">
        <f t="shared" si="31"/>
        <v>50.66</v>
      </c>
      <c r="T189" s="1" t="str">
        <f t="shared" si="32"/>
        <v>caught</v>
      </c>
      <c r="U189" s="1" t="str">
        <f t="shared" si="34"/>
        <v>1</v>
      </c>
      <c r="V189" s="1" t="str">
        <f t="shared" si="35"/>
        <v xml:space="preserve"> New Zealand</v>
      </c>
      <c r="W189" s="1" t="str">
        <f t="shared" si="36"/>
        <v>Dambulla</v>
      </c>
      <c r="X189" s="1" t="str">
        <f t="shared" si="37"/>
        <v>Yes</v>
      </c>
      <c r="Y189" s="1"/>
      <c r="Z189" s="1"/>
    </row>
    <row r="190" spans="1:26" ht="14.25" customHeight="1">
      <c r="A190" s="1"/>
      <c r="B190" s="1">
        <v>171</v>
      </c>
      <c r="C190" s="1" t="s">
        <v>135</v>
      </c>
      <c r="D190" s="1" t="s">
        <v>342</v>
      </c>
      <c r="E190" s="1" t="s">
        <v>202</v>
      </c>
      <c r="F190" s="1" t="s">
        <v>130</v>
      </c>
      <c r="G190" s="1" t="s">
        <v>689</v>
      </c>
      <c r="H190" s="1" t="s">
        <v>29</v>
      </c>
      <c r="I190" s="1" t="s">
        <v>151</v>
      </c>
      <c r="J190" s="1" t="s">
        <v>133</v>
      </c>
      <c r="K190" s="1" t="s">
        <v>21</v>
      </c>
      <c r="L190" s="1"/>
      <c r="M190" s="1"/>
      <c r="N190" s="1" t="str">
        <f t="shared" si="27"/>
        <v>No</v>
      </c>
      <c r="O190" s="1">
        <f t="shared" si="33"/>
        <v>67</v>
      </c>
      <c r="P190" s="1">
        <f t="shared" si="28"/>
        <v>100</v>
      </c>
      <c r="Q190" s="1">
        <f t="shared" si="29"/>
        <v>5</v>
      </c>
      <c r="R190" s="1">
        <f t="shared" si="30"/>
        <v>1</v>
      </c>
      <c r="S190" s="29">
        <f t="shared" si="31"/>
        <v>67</v>
      </c>
      <c r="T190" s="1" t="str">
        <f t="shared" si="32"/>
        <v>bowled</v>
      </c>
      <c r="U190" s="1" t="str">
        <f t="shared" si="34"/>
        <v>2</v>
      </c>
      <c r="V190" s="1" t="str">
        <f t="shared" si="35"/>
        <v xml:space="preserve"> Sri Lanka</v>
      </c>
      <c r="W190" s="1" t="str">
        <f t="shared" si="36"/>
        <v>Dambulla</v>
      </c>
      <c r="X190" s="1" t="str">
        <f t="shared" si="37"/>
        <v>Yes</v>
      </c>
      <c r="Y190" s="1"/>
      <c r="Z190" s="1"/>
    </row>
    <row r="191" spans="1:26" ht="14.25" customHeight="1">
      <c r="A191" s="1"/>
      <c r="B191" s="1">
        <v>172</v>
      </c>
      <c r="C191" s="1" t="s">
        <v>131</v>
      </c>
      <c r="D191" s="1" t="s">
        <v>130</v>
      </c>
      <c r="E191" s="1" t="s">
        <v>131</v>
      </c>
      <c r="F191" s="1" t="s">
        <v>131</v>
      </c>
      <c r="G191" s="1" t="s">
        <v>210</v>
      </c>
      <c r="H191" s="1" t="s">
        <v>29</v>
      </c>
      <c r="I191" s="1" t="s">
        <v>151</v>
      </c>
      <c r="J191" s="1" t="s">
        <v>158</v>
      </c>
      <c r="K191" s="1" t="s">
        <v>65</v>
      </c>
      <c r="L191" s="1"/>
      <c r="M191" s="1"/>
      <c r="N191" s="1" t="str">
        <f t="shared" si="27"/>
        <v>No</v>
      </c>
      <c r="O191" s="1">
        <f t="shared" si="33"/>
        <v>0</v>
      </c>
      <c r="P191" s="1">
        <f t="shared" si="28"/>
        <v>1</v>
      </c>
      <c r="Q191" s="1">
        <f t="shared" si="29"/>
        <v>0</v>
      </c>
      <c r="R191" s="1">
        <f t="shared" si="30"/>
        <v>0</v>
      </c>
      <c r="S191" s="29">
        <f t="shared" si="31"/>
        <v>0</v>
      </c>
      <c r="T191" s="1" t="str">
        <f t="shared" si="32"/>
        <v>bowled</v>
      </c>
      <c r="U191" s="1" t="str">
        <f t="shared" si="34"/>
        <v>2</v>
      </c>
      <c r="V191" s="1" t="str">
        <f t="shared" si="35"/>
        <v xml:space="preserve"> Australia</v>
      </c>
      <c r="W191" s="1" t="str">
        <f t="shared" si="36"/>
        <v>Visakhapatnam</v>
      </c>
      <c r="X191" s="1" t="str">
        <f t="shared" si="37"/>
        <v>Yes</v>
      </c>
      <c r="Y191" s="1"/>
      <c r="Z191" s="1"/>
    </row>
    <row r="192" spans="1:26" ht="14.25" customHeight="1">
      <c r="A192" s="1"/>
      <c r="B192" s="1">
        <v>173</v>
      </c>
      <c r="C192" s="1" t="s">
        <v>138</v>
      </c>
      <c r="D192" s="1" t="s">
        <v>248</v>
      </c>
      <c r="E192" s="1" t="s">
        <v>130</v>
      </c>
      <c r="F192" s="1" t="s">
        <v>131</v>
      </c>
      <c r="G192" s="1" t="s">
        <v>206</v>
      </c>
      <c r="H192" s="1" t="s">
        <v>26</v>
      </c>
      <c r="I192" s="1" t="s">
        <v>151</v>
      </c>
      <c r="J192" s="1" t="s">
        <v>191</v>
      </c>
      <c r="K192" s="1" t="s">
        <v>69</v>
      </c>
      <c r="L192" s="1"/>
      <c r="M192" s="1"/>
      <c r="N192" s="1" t="str">
        <f t="shared" si="27"/>
        <v>No</v>
      </c>
      <c r="O192" s="1">
        <f t="shared" si="33"/>
        <v>25</v>
      </c>
      <c r="P192" s="1">
        <f t="shared" si="28"/>
        <v>35</v>
      </c>
      <c r="Q192" s="1">
        <f t="shared" si="29"/>
        <v>1</v>
      </c>
      <c r="R192" s="1">
        <f t="shared" si="30"/>
        <v>0</v>
      </c>
      <c r="S192" s="29">
        <f t="shared" si="31"/>
        <v>71.42</v>
      </c>
      <c r="T192" s="1" t="str">
        <f t="shared" si="32"/>
        <v>run out</v>
      </c>
      <c r="U192" s="1" t="str">
        <f t="shared" si="34"/>
        <v>2</v>
      </c>
      <c r="V192" s="1" t="str">
        <f t="shared" si="35"/>
        <v xml:space="preserve"> South Africa</v>
      </c>
      <c r="W192" s="1" t="str">
        <f t="shared" si="36"/>
        <v>Durban</v>
      </c>
      <c r="X192" s="1" t="str">
        <f t="shared" si="37"/>
        <v>Yes</v>
      </c>
      <c r="Y192" s="1"/>
      <c r="Z192" s="1"/>
    </row>
    <row r="193" spans="1:26" ht="14.25" customHeight="1">
      <c r="A193" s="1"/>
      <c r="B193" s="1">
        <v>174</v>
      </c>
      <c r="C193" s="1" t="s">
        <v>139</v>
      </c>
      <c r="D193" s="1" t="s">
        <v>334</v>
      </c>
      <c r="E193" s="1" t="s">
        <v>130</v>
      </c>
      <c r="F193" s="1" t="s">
        <v>131</v>
      </c>
      <c r="G193" s="1" t="s">
        <v>690</v>
      </c>
      <c r="H193" s="1" t="s">
        <v>29</v>
      </c>
      <c r="I193" s="1" t="s">
        <v>130</v>
      </c>
      <c r="J193" s="1" t="s">
        <v>191</v>
      </c>
      <c r="K193" s="1" t="s">
        <v>43</v>
      </c>
      <c r="L193" s="1"/>
      <c r="M193" s="1"/>
      <c r="N193" s="1" t="str">
        <f t="shared" si="27"/>
        <v>No</v>
      </c>
      <c r="O193" s="1">
        <f t="shared" si="33"/>
        <v>38</v>
      </c>
      <c r="P193" s="1">
        <f t="shared" si="28"/>
        <v>61</v>
      </c>
      <c r="Q193" s="1">
        <f t="shared" si="29"/>
        <v>1</v>
      </c>
      <c r="R193" s="1">
        <f t="shared" si="30"/>
        <v>0</v>
      </c>
      <c r="S193" s="29">
        <f t="shared" si="31"/>
        <v>62.29</v>
      </c>
      <c r="T193" s="1" t="str">
        <f t="shared" si="32"/>
        <v>bowled</v>
      </c>
      <c r="U193" s="1" t="str">
        <f t="shared" si="34"/>
        <v>1</v>
      </c>
      <c r="V193" s="1" t="str">
        <f t="shared" si="35"/>
        <v xml:space="preserve"> South Africa</v>
      </c>
      <c r="W193" s="1" t="str">
        <f t="shared" si="36"/>
        <v>Johannesburg</v>
      </c>
      <c r="X193" s="1" t="str">
        <f t="shared" si="37"/>
        <v>Yes</v>
      </c>
      <c r="Y193" s="1"/>
      <c r="Z193" s="1"/>
    </row>
    <row r="194" spans="1:26" ht="14.25" customHeight="1">
      <c r="A194" s="1"/>
      <c r="B194" s="1">
        <v>175</v>
      </c>
      <c r="C194" s="1" t="s">
        <v>202</v>
      </c>
      <c r="D194" s="1" t="s">
        <v>128</v>
      </c>
      <c r="E194" s="1" t="s">
        <v>130</v>
      </c>
      <c r="F194" s="1" t="s">
        <v>131</v>
      </c>
      <c r="G194" s="1" t="s">
        <v>691</v>
      </c>
      <c r="H194" s="1" t="s">
        <v>24</v>
      </c>
      <c r="I194" s="1" t="s">
        <v>151</v>
      </c>
      <c r="J194" s="1" t="s">
        <v>191</v>
      </c>
      <c r="K194" s="1" t="s">
        <v>70</v>
      </c>
      <c r="L194" s="1"/>
      <c r="M194" s="1"/>
      <c r="N194" s="1" t="str">
        <f t="shared" si="27"/>
        <v>No</v>
      </c>
      <c r="O194" s="1">
        <f t="shared" si="33"/>
        <v>5</v>
      </c>
      <c r="P194" s="1">
        <f t="shared" si="28"/>
        <v>12</v>
      </c>
      <c r="Q194" s="1">
        <f t="shared" si="29"/>
        <v>1</v>
      </c>
      <c r="R194" s="1">
        <f t="shared" si="30"/>
        <v>0</v>
      </c>
      <c r="S194" s="29">
        <f t="shared" si="31"/>
        <v>41.66</v>
      </c>
      <c r="T194" s="1" t="str">
        <f t="shared" si="32"/>
        <v>caught</v>
      </c>
      <c r="U194" s="1" t="str">
        <f t="shared" si="34"/>
        <v>2</v>
      </c>
      <c r="V194" s="1" t="str">
        <f t="shared" si="35"/>
        <v xml:space="preserve"> South Africa</v>
      </c>
      <c r="W194" s="1" t="str">
        <f t="shared" si="36"/>
        <v>Cape Town</v>
      </c>
      <c r="X194" s="1" t="str">
        <f t="shared" si="37"/>
        <v>Yes</v>
      </c>
      <c r="Y194" s="1"/>
      <c r="Z194" s="1"/>
    </row>
    <row r="195" spans="1:26" ht="14.25" customHeight="1">
      <c r="A195" s="1"/>
      <c r="B195" s="1">
        <v>176</v>
      </c>
      <c r="C195" s="1" t="s">
        <v>151</v>
      </c>
      <c r="D195" s="1" t="s">
        <v>189</v>
      </c>
      <c r="E195" s="1" t="s">
        <v>131</v>
      </c>
      <c r="F195" s="1" t="s">
        <v>131</v>
      </c>
      <c r="G195" s="1" t="s">
        <v>190</v>
      </c>
      <c r="H195" s="1" t="s">
        <v>24</v>
      </c>
      <c r="I195" s="1" t="s">
        <v>151</v>
      </c>
      <c r="J195" s="1" t="s">
        <v>191</v>
      </c>
      <c r="K195" s="1" t="s">
        <v>71</v>
      </c>
      <c r="L195" s="1"/>
      <c r="M195" s="1"/>
      <c r="N195" s="1" t="str">
        <f t="shared" si="27"/>
        <v>No</v>
      </c>
      <c r="O195" s="1">
        <f t="shared" si="33"/>
        <v>2</v>
      </c>
      <c r="P195" s="1">
        <f t="shared" si="28"/>
        <v>8</v>
      </c>
      <c r="Q195" s="1">
        <f t="shared" si="29"/>
        <v>0</v>
      </c>
      <c r="R195" s="1">
        <f t="shared" si="30"/>
        <v>0</v>
      </c>
      <c r="S195" s="29">
        <f t="shared" si="31"/>
        <v>25</v>
      </c>
      <c r="T195" s="1" t="str">
        <f t="shared" si="32"/>
        <v>caught</v>
      </c>
      <c r="U195" s="1" t="str">
        <f t="shared" si="34"/>
        <v>2</v>
      </c>
      <c r="V195" s="1" t="str">
        <f t="shared" si="35"/>
        <v xml:space="preserve"> South Africa</v>
      </c>
      <c r="W195" s="1" t="str">
        <f t="shared" si="36"/>
        <v>Gqeberha</v>
      </c>
      <c r="X195" s="1" t="str">
        <f t="shared" si="37"/>
        <v>Yes</v>
      </c>
      <c r="Y195" s="1"/>
      <c r="Z195" s="1"/>
    </row>
    <row r="196" spans="1:26" ht="14.25" customHeight="1">
      <c r="A196" s="1"/>
      <c r="B196" s="1">
        <v>177</v>
      </c>
      <c r="C196" s="1" t="s">
        <v>202</v>
      </c>
      <c r="D196" s="1" t="s">
        <v>167</v>
      </c>
      <c r="E196" s="1" t="s">
        <v>130</v>
      </c>
      <c r="F196" s="1" t="s">
        <v>131</v>
      </c>
      <c r="G196" s="1" t="s">
        <v>204</v>
      </c>
      <c r="H196" s="1" t="s">
        <v>24</v>
      </c>
      <c r="I196" s="1" t="s">
        <v>151</v>
      </c>
      <c r="J196" s="1" t="s">
        <v>191</v>
      </c>
      <c r="K196" s="1" t="s">
        <v>36</v>
      </c>
      <c r="L196" s="1"/>
      <c r="M196" s="1"/>
      <c r="N196" s="1" t="str">
        <f t="shared" si="27"/>
        <v>No</v>
      </c>
      <c r="O196" s="1">
        <f t="shared" si="33"/>
        <v>5</v>
      </c>
      <c r="P196" s="1">
        <f t="shared" si="28"/>
        <v>10</v>
      </c>
      <c r="Q196" s="1">
        <f t="shared" si="29"/>
        <v>1</v>
      </c>
      <c r="R196" s="1">
        <f t="shared" si="30"/>
        <v>0</v>
      </c>
      <c r="S196" s="29">
        <f t="shared" si="31"/>
        <v>50</v>
      </c>
      <c r="T196" s="1" t="str">
        <f t="shared" si="32"/>
        <v>caught</v>
      </c>
      <c r="U196" s="1" t="str">
        <f t="shared" si="34"/>
        <v>2</v>
      </c>
      <c r="V196" s="1" t="str">
        <f t="shared" si="35"/>
        <v xml:space="preserve"> South Africa</v>
      </c>
      <c r="W196" s="1" t="str">
        <f t="shared" si="36"/>
        <v>Centurion</v>
      </c>
      <c r="X196" s="1" t="str">
        <f t="shared" si="37"/>
        <v>Yes</v>
      </c>
      <c r="Y196" s="1"/>
      <c r="Z196" s="1"/>
    </row>
    <row r="197" spans="1:26" ht="14.25" customHeight="1">
      <c r="A197" s="1"/>
      <c r="B197" s="1">
        <v>178</v>
      </c>
      <c r="C197" s="1" t="s">
        <v>57</v>
      </c>
      <c r="D197" s="1" t="s">
        <v>157</v>
      </c>
      <c r="E197" s="1" t="s">
        <v>157</v>
      </c>
      <c r="F197" s="1" t="s">
        <v>157</v>
      </c>
      <c r="G197" s="1" t="s">
        <v>157</v>
      </c>
      <c r="H197" s="1" t="s">
        <v>157</v>
      </c>
      <c r="I197" s="1" t="s">
        <v>130</v>
      </c>
      <c r="J197" s="1" t="s">
        <v>182</v>
      </c>
      <c r="K197" s="1" t="s">
        <v>53</v>
      </c>
      <c r="L197" s="1"/>
      <c r="M197" s="1"/>
      <c r="N197" s="1" t="str">
        <f t="shared" si="27"/>
        <v>Yes</v>
      </c>
      <c r="O197" s="1" t="str">
        <f t="shared" si="33"/>
        <v>NA</v>
      </c>
      <c r="P197" s="1" t="str">
        <f t="shared" si="28"/>
        <v>NA</v>
      </c>
      <c r="Q197" s="1" t="str">
        <f t="shared" si="29"/>
        <v>NA</v>
      </c>
      <c r="R197" s="1" t="str">
        <f t="shared" si="30"/>
        <v>NA</v>
      </c>
      <c r="S197" s="29" t="str">
        <f t="shared" si="31"/>
        <v>NA</v>
      </c>
      <c r="T197" s="1" t="str">
        <f t="shared" si="32"/>
        <v>NA</v>
      </c>
      <c r="U197" s="1" t="str">
        <f t="shared" si="34"/>
        <v>1</v>
      </c>
      <c r="V197" s="1" t="str">
        <f t="shared" si="35"/>
        <v xml:space="preserve"> Bangladesh</v>
      </c>
      <c r="W197" s="1" t="str">
        <f t="shared" si="36"/>
        <v>Mirpur</v>
      </c>
      <c r="X197" s="1" t="str">
        <f t="shared" si="37"/>
        <v>No</v>
      </c>
      <c r="Y197" s="1"/>
      <c r="Z197" s="1"/>
    </row>
    <row r="198" spans="1:26" ht="14.25" customHeight="1">
      <c r="A198" s="1"/>
      <c r="B198" s="1">
        <v>179</v>
      </c>
      <c r="C198" s="1" t="s">
        <v>146</v>
      </c>
      <c r="D198" s="1" t="s">
        <v>138</v>
      </c>
      <c r="E198" s="1" t="s">
        <v>148</v>
      </c>
      <c r="F198" s="1" t="s">
        <v>130</v>
      </c>
      <c r="G198" s="1" t="s">
        <v>692</v>
      </c>
      <c r="H198" s="1" t="s">
        <v>24</v>
      </c>
      <c r="I198" s="1" t="s">
        <v>130</v>
      </c>
      <c r="J198" s="1" t="s">
        <v>234</v>
      </c>
      <c r="K198" s="1" t="s">
        <v>67</v>
      </c>
      <c r="L198" s="1"/>
      <c r="M198" s="1"/>
      <c r="N198" s="1" t="str">
        <f t="shared" si="27"/>
        <v>No</v>
      </c>
      <c r="O198" s="1">
        <f t="shared" si="33"/>
        <v>31</v>
      </c>
      <c r="P198" s="1">
        <f t="shared" si="28"/>
        <v>25</v>
      </c>
      <c r="Q198" s="1">
        <f t="shared" si="29"/>
        <v>3</v>
      </c>
      <c r="R198" s="1">
        <f t="shared" si="30"/>
        <v>1</v>
      </c>
      <c r="S198" s="29">
        <f t="shared" si="31"/>
        <v>124</v>
      </c>
      <c r="T198" s="1" t="str">
        <f t="shared" si="32"/>
        <v>caught</v>
      </c>
      <c r="U198" s="1" t="str">
        <f t="shared" si="34"/>
        <v>1</v>
      </c>
      <c r="V198" s="1" t="str">
        <f t="shared" si="35"/>
        <v xml:space="preserve"> England</v>
      </c>
      <c r="W198" s="1" t="str">
        <f t="shared" si="36"/>
        <v>Bengaluru</v>
      </c>
      <c r="X198" s="1" t="str">
        <f t="shared" si="37"/>
        <v>Yes</v>
      </c>
      <c r="Y198" s="1"/>
      <c r="Z198" s="1"/>
    </row>
    <row r="199" spans="1:26" ht="14.25" customHeight="1">
      <c r="A199" s="1"/>
      <c r="B199" s="1">
        <v>180</v>
      </c>
      <c r="C199" s="1" t="s">
        <v>208</v>
      </c>
      <c r="D199" s="1" t="s">
        <v>360</v>
      </c>
      <c r="E199" s="1" t="s">
        <v>151</v>
      </c>
      <c r="F199" s="1" t="s">
        <v>131</v>
      </c>
      <c r="G199" s="1" t="s">
        <v>693</v>
      </c>
      <c r="H199" s="1" t="s">
        <v>19</v>
      </c>
      <c r="I199" s="1" t="s">
        <v>151</v>
      </c>
      <c r="J199" s="1" t="s">
        <v>237</v>
      </c>
      <c r="K199" s="1" t="s">
        <v>67</v>
      </c>
      <c r="L199" s="1"/>
      <c r="M199" s="1"/>
      <c r="N199" s="1" t="str">
        <f t="shared" si="27"/>
        <v>No</v>
      </c>
      <c r="O199" s="1">
        <f t="shared" si="33"/>
        <v>34</v>
      </c>
      <c r="P199" s="1">
        <f t="shared" si="28"/>
        <v>50</v>
      </c>
      <c r="Q199" s="1">
        <f t="shared" si="29"/>
        <v>2</v>
      </c>
      <c r="R199" s="1">
        <f t="shared" si="30"/>
        <v>0</v>
      </c>
      <c r="S199" s="29">
        <f t="shared" si="31"/>
        <v>68</v>
      </c>
      <c r="T199" s="1" t="str">
        <f t="shared" si="32"/>
        <v>lbw</v>
      </c>
      <c r="U199" s="1" t="str">
        <f t="shared" si="34"/>
        <v>2</v>
      </c>
      <c r="V199" s="1" t="str">
        <f t="shared" si="35"/>
        <v xml:space="preserve"> Ireland</v>
      </c>
      <c r="W199" s="1" t="str">
        <f t="shared" si="36"/>
        <v>Bengaluru</v>
      </c>
      <c r="X199" s="1" t="str">
        <f t="shared" si="37"/>
        <v>Yes</v>
      </c>
      <c r="Y199" s="1"/>
      <c r="Z199" s="1"/>
    </row>
    <row r="200" spans="1:26" ht="14.25" customHeight="1">
      <c r="A200" s="1"/>
      <c r="B200" s="1">
        <v>181</v>
      </c>
      <c r="C200" s="1" t="s">
        <v>694</v>
      </c>
      <c r="D200" s="1" t="s">
        <v>359</v>
      </c>
      <c r="E200" s="1" t="s">
        <v>151</v>
      </c>
      <c r="F200" s="1" t="s">
        <v>131</v>
      </c>
      <c r="G200" s="1" t="s">
        <v>695</v>
      </c>
      <c r="H200" s="1" t="s">
        <v>32</v>
      </c>
      <c r="I200" s="1" t="s">
        <v>151</v>
      </c>
      <c r="J200" s="1" t="s">
        <v>240</v>
      </c>
      <c r="K200" s="1" t="s">
        <v>52</v>
      </c>
      <c r="L200" s="1"/>
      <c r="M200" s="1"/>
      <c r="N200" s="1" t="str">
        <f t="shared" si="27"/>
        <v>No</v>
      </c>
      <c r="O200" s="1">
        <f t="shared" si="33"/>
        <v>19</v>
      </c>
      <c r="P200" s="1">
        <f t="shared" si="28"/>
        <v>40</v>
      </c>
      <c r="Q200" s="1">
        <f t="shared" si="29"/>
        <v>2</v>
      </c>
      <c r="R200" s="1">
        <f t="shared" si="30"/>
        <v>0</v>
      </c>
      <c r="S200" s="29">
        <f t="shared" si="31"/>
        <v>47.5</v>
      </c>
      <c r="T200" s="1" t="str">
        <f t="shared" si="32"/>
        <v>not out</v>
      </c>
      <c r="U200" s="1" t="str">
        <f t="shared" si="34"/>
        <v>2</v>
      </c>
      <c r="V200" s="1" t="str">
        <f t="shared" si="35"/>
        <v xml:space="preserve"> Netherlands</v>
      </c>
      <c r="W200" s="1" t="str">
        <f t="shared" si="36"/>
        <v>Delhi</v>
      </c>
      <c r="X200" s="1" t="str">
        <f t="shared" si="37"/>
        <v>No</v>
      </c>
      <c r="Y200" s="1"/>
      <c r="Z200" s="1"/>
    </row>
    <row r="201" spans="1:26" ht="14.25" customHeight="1">
      <c r="A201" s="1"/>
      <c r="B201" s="1">
        <v>182</v>
      </c>
      <c r="C201" s="1" t="s">
        <v>696</v>
      </c>
      <c r="D201" s="1" t="s">
        <v>246</v>
      </c>
      <c r="E201" s="1" t="s">
        <v>131</v>
      </c>
      <c r="F201" s="1" t="s">
        <v>131</v>
      </c>
      <c r="G201" s="1" t="s">
        <v>503</v>
      </c>
      <c r="H201" s="1" t="s">
        <v>32</v>
      </c>
      <c r="I201" s="1" t="s">
        <v>130</v>
      </c>
      <c r="J201" s="1" t="s">
        <v>191</v>
      </c>
      <c r="K201" s="1" t="s">
        <v>50</v>
      </c>
      <c r="L201" s="1"/>
      <c r="M201" s="1"/>
      <c r="N201" s="1" t="str">
        <f t="shared" si="27"/>
        <v>No</v>
      </c>
      <c r="O201" s="1">
        <f t="shared" si="33"/>
        <v>12</v>
      </c>
      <c r="P201" s="1">
        <f t="shared" si="28"/>
        <v>21</v>
      </c>
      <c r="Q201" s="1">
        <f t="shared" si="29"/>
        <v>0</v>
      </c>
      <c r="R201" s="1">
        <f t="shared" si="30"/>
        <v>0</v>
      </c>
      <c r="S201" s="29">
        <f t="shared" si="31"/>
        <v>57.14</v>
      </c>
      <c r="T201" s="1" t="str">
        <f t="shared" si="32"/>
        <v>not out</v>
      </c>
      <c r="U201" s="1" t="str">
        <f t="shared" si="34"/>
        <v>1</v>
      </c>
      <c r="V201" s="1" t="str">
        <f t="shared" si="35"/>
        <v xml:space="preserve"> South Africa</v>
      </c>
      <c r="W201" s="1" t="str">
        <f t="shared" si="36"/>
        <v>Nagpur</v>
      </c>
      <c r="X201" s="1" t="str">
        <f t="shared" si="37"/>
        <v>No</v>
      </c>
      <c r="Y201" s="1"/>
      <c r="Z201" s="1"/>
    </row>
    <row r="202" spans="1:26" ht="14.25" customHeight="1">
      <c r="A202" s="1"/>
      <c r="B202" s="1">
        <v>183</v>
      </c>
      <c r="C202" s="1" t="s">
        <v>129</v>
      </c>
      <c r="D202" s="1" t="s">
        <v>164</v>
      </c>
      <c r="E202" s="1" t="s">
        <v>130</v>
      </c>
      <c r="F202" s="1" t="s">
        <v>131</v>
      </c>
      <c r="G202" s="1" t="s">
        <v>697</v>
      </c>
      <c r="H202" s="1" t="s">
        <v>63</v>
      </c>
      <c r="I202" s="1" t="s">
        <v>130</v>
      </c>
      <c r="J202" s="1" t="s">
        <v>163</v>
      </c>
      <c r="K202" s="1" t="s">
        <v>68</v>
      </c>
      <c r="L202" s="1"/>
      <c r="M202" s="1"/>
      <c r="N202" s="1" t="str">
        <f t="shared" si="27"/>
        <v>No</v>
      </c>
      <c r="O202" s="1">
        <f t="shared" si="33"/>
        <v>22</v>
      </c>
      <c r="P202" s="1">
        <f t="shared" si="28"/>
        <v>30</v>
      </c>
      <c r="Q202" s="1">
        <f t="shared" si="29"/>
        <v>1</v>
      </c>
      <c r="R202" s="1">
        <f t="shared" si="30"/>
        <v>0</v>
      </c>
      <c r="S202" s="29">
        <f t="shared" si="31"/>
        <v>73.33</v>
      </c>
      <c r="T202" s="1" t="str">
        <f t="shared" si="32"/>
        <v>stumped</v>
      </c>
      <c r="U202" s="1" t="str">
        <f t="shared" si="34"/>
        <v>1</v>
      </c>
      <c r="V202" s="1" t="str">
        <f t="shared" si="35"/>
        <v xml:space="preserve"> West Indies</v>
      </c>
      <c r="W202" s="1" t="str">
        <f t="shared" si="36"/>
        <v>Chennai</v>
      </c>
      <c r="X202" s="1" t="str">
        <f t="shared" si="37"/>
        <v>Yes</v>
      </c>
      <c r="Y202" s="1"/>
      <c r="Z202" s="1"/>
    </row>
    <row r="203" spans="1:26" ht="14.25" customHeight="1">
      <c r="A203" s="1"/>
      <c r="B203" s="1">
        <v>184</v>
      </c>
      <c r="C203" s="1" t="s">
        <v>144</v>
      </c>
      <c r="D203" s="1" t="s">
        <v>189</v>
      </c>
      <c r="E203" s="1" t="s">
        <v>130</v>
      </c>
      <c r="F203" s="1" t="s">
        <v>131</v>
      </c>
      <c r="G203" s="1" t="s">
        <v>698</v>
      </c>
      <c r="H203" s="1" t="s">
        <v>24</v>
      </c>
      <c r="I203" s="1" t="s">
        <v>151</v>
      </c>
      <c r="J203" s="1" t="s">
        <v>158</v>
      </c>
      <c r="K203" s="1" t="s">
        <v>59</v>
      </c>
      <c r="L203" s="1"/>
      <c r="M203" s="1"/>
      <c r="N203" s="1" t="str">
        <f t="shared" si="27"/>
        <v>No</v>
      </c>
      <c r="O203" s="1">
        <f t="shared" si="33"/>
        <v>7</v>
      </c>
      <c r="P203" s="1">
        <f t="shared" si="28"/>
        <v>8</v>
      </c>
      <c r="Q203" s="1">
        <f t="shared" si="29"/>
        <v>1</v>
      </c>
      <c r="R203" s="1">
        <f t="shared" si="30"/>
        <v>0</v>
      </c>
      <c r="S203" s="29">
        <f t="shared" si="31"/>
        <v>87.5</v>
      </c>
      <c r="T203" s="1" t="str">
        <f t="shared" si="32"/>
        <v>caught</v>
      </c>
      <c r="U203" s="1" t="str">
        <f t="shared" si="34"/>
        <v>2</v>
      </c>
      <c r="V203" s="1" t="str">
        <f t="shared" si="35"/>
        <v xml:space="preserve"> Australia</v>
      </c>
      <c r="W203" s="1" t="str">
        <f t="shared" si="36"/>
        <v>Ahmedabad</v>
      </c>
      <c r="X203" s="1" t="str">
        <f t="shared" si="37"/>
        <v>Yes</v>
      </c>
      <c r="Y203" s="1"/>
      <c r="Z203" s="1"/>
    </row>
    <row r="204" spans="1:26" ht="14.25" customHeight="1">
      <c r="A204" s="1"/>
      <c r="B204" s="1">
        <v>185</v>
      </c>
      <c r="C204" s="1" t="s">
        <v>138</v>
      </c>
      <c r="D204" s="1" t="s">
        <v>386</v>
      </c>
      <c r="E204" s="1" t="s">
        <v>151</v>
      </c>
      <c r="F204" s="1" t="s">
        <v>131</v>
      </c>
      <c r="G204" s="1" t="s">
        <v>699</v>
      </c>
      <c r="H204" s="1" t="s">
        <v>19</v>
      </c>
      <c r="I204" s="1" t="s">
        <v>130</v>
      </c>
      <c r="J204" s="1" t="s">
        <v>156</v>
      </c>
      <c r="K204" s="1" t="s">
        <v>46</v>
      </c>
      <c r="L204" s="1"/>
      <c r="M204" s="1"/>
      <c r="N204" s="1" t="str">
        <f t="shared" si="27"/>
        <v>No</v>
      </c>
      <c r="O204" s="1">
        <f t="shared" si="33"/>
        <v>25</v>
      </c>
      <c r="P204" s="1">
        <f t="shared" si="28"/>
        <v>42</v>
      </c>
      <c r="Q204" s="1">
        <f t="shared" si="29"/>
        <v>2</v>
      </c>
      <c r="R204" s="1">
        <f t="shared" si="30"/>
        <v>0</v>
      </c>
      <c r="S204" s="29">
        <f t="shared" si="31"/>
        <v>59.52</v>
      </c>
      <c r="T204" s="1" t="str">
        <f t="shared" si="32"/>
        <v>lbw</v>
      </c>
      <c r="U204" s="1" t="str">
        <f t="shared" si="34"/>
        <v>1</v>
      </c>
      <c r="V204" s="1" t="str">
        <f t="shared" si="35"/>
        <v xml:space="preserve"> Pakistan</v>
      </c>
      <c r="W204" s="1" t="str">
        <f t="shared" si="36"/>
        <v>Mohali</v>
      </c>
      <c r="X204" s="1" t="str">
        <f t="shared" si="37"/>
        <v>Yes</v>
      </c>
      <c r="Y204" s="1"/>
      <c r="Z204" s="1"/>
    </row>
    <row r="205" spans="1:26" ht="14.25" customHeight="1">
      <c r="A205" s="1"/>
      <c r="B205" s="1">
        <v>186</v>
      </c>
      <c r="C205" s="1" t="s">
        <v>602</v>
      </c>
      <c r="D205" s="1" t="s">
        <v>311</v>
      </c>
      <c r="E205" s="1" t="s">
        <v>189</v>
      </c>
      <c r="F205" s="1" t="s">
        <v>151</v>
      </c>
      <c r="G205" s="1" t="s">
        <v>700</v>
      </c>
      <c r="H205" s="1" t="s">
        <v>32</v>
      </c>
      <c r="I205" s="1" t="s">
        <v>151</v>
      </c>
      <c r="J205" s="1" t="s">
        <v>133</v>
      </c>
      <c r="K205" s="1" t="s">
        <v>75</v>
      </c>
      <c r="L205" s="1"/>
      <c r="M205" s="1"/>
      <c r="N205" s="1" t="str">
        <f t="shared" si="27"/>
        <v>No</v>
      </c>
      <c r="O205" s="1">
        <f t="shared" si="33"/>
        <v>91</v>
      </c>
      <c r="P205" s="1">
        <f t="shared" si="28"/>
        <v>79</v>
      </c>
      <c r="Q205" s="1">
        <f t="shared" si="29"/>
        <v>8</v>
      </c>
      <c r="R205" s="1">
        <f t="shared" si="30"/>
        <v>2</v>
      </c>
      <c r="S205" s="29">
        <f t="shared" si="31"/>
        <v>115.18</v>
      </c>
      <c r="T205" s="1" t="str">
        <f t="shared" si="32"/>
        <v>not out</v>
      </c>
      <c r="U205" s="1" t="str">
        <f t="shared" si="34"/>
        <v>2</v>
      </c>
      <c r="V205" s="1" t="str">
        <f t="shared" si="35"/>
        <v xml:space="preserve"> Sri Lanka</v>
      </c>
      <c r="W205" s="1" t="str">
        <f t="shared" si="36"/>
        <v>Wankhede</v>
      </c>
      <c r="X205" s="1" t="str">
        <f t="shared" si="37"/>
        <v>No</v>
      </c>
      <c r="Y205" s="1"/>
      <c r="Z205" s="1"/>
    </row>
    <row r="206" spans="1:26" ht="14.25" customHeight="1">
      <c r="A206" s="1"/>
      <c r="B206" s="1">
        <v>187</v>
      </c>
      <c r="C206" s="1" t="s">
        <v>244</v>
      </c>
      <c r="D206" s="1" t="s">
        <v>258</v>
      </c>
      <c r="E206" s="1" t="s">
        <v>151</v>
      </c>
      <c r="F206" s="1" t="s">
        <v>131</v>
      </c>
      <c r="G206" s="1" t="s">
        <v>384</v>
      </c>
      <c r="H206" s="1" t="s">
        <v>24</v>
      </c>
      <c r="I206" s="1" t="s">
        <v>130</v>
      </c>
      <c r="J206" s="1" t="s">
        <v>234</v>
      </c>
      <c r="K206" s="1" t="s">
        <v>79</v>
      </c>
      <c r="L206" s="1"/>
      <c r="M206" s="1"/>
      <c r="N206" s="1" t="str">
        <f t="shared" si="27"/>
        <v>No</v>
      </c>
      <c r="O206" s="1">
        <f t="shared" si="33"/>
        <v>33</v>
      </c>
      <c r="P206" s="1">
        <f t="shared" si="28"/>
        <v>36</v>
      </c>
      <c r="Q206" s="1">
        <f t="shared" si="29"/>
        <v>2</v>
      </c>
      <c r="R206" s="1">
        <f t="shared" si="30"/>
        <v>0</v>
      </c>
      <c r="S206" s="29">
        <f t="shared" si="31"/>
        <v>91.66</v>
      </c>
      <c r="T206" s="1" t="str">
        <f t="shared" si="32"/>
        <v>caught</v>
      </c>
      <c r="U206" s="1" t="str">
        <f t="shared" si="34"/>
        <v>1</v>
      </c>
      <c r="V206" s="1" t="str">
        <f t="shared" si="35"/>
        <v xml:space="preserve"> England</v>
      </c>
      <c r="W206" s="1" t="str">
        <f t="shared" si="36"/>
        <v>Chester-le-Street</v>
      </c>
      <c r="X206" s="1" t="str">
        <f t="shared" si="37"/>
        <v>Yes</v>
      </c>
      <c r="Y206" s="1"/>
      <c r="Z206" s="1"/>
    </row>
    <row r="207" spans="1:26" ht="14.25" customHeight="1">
      <c r="A207" s="1"/>
      <c r="B207" s="1">
        <v>188</v>
      </c>
      <c r="C207" s="1" t="s">
        <v>136</v>
      </c>
      <c r="D207" s="1" t="s">
        <v>202</v>
      </c>
      <c r="E207" s="1" t="s">
        <v>130</v>
      </c>
      <c r="F207" s="1" t="s">
        <v>131</v>
      </c>
      <c r="G207" s="1" t="s">
        <v>349</v>
      </c>
      <c r="H207" s="1" t="s">
        <v>24</v>
      </c>
      <c r="I207" s="1" t="s">
        <v>130</v>
      </c>
      <c r="J207" s="1" t="s">
        <v>234</v>
      </c>
      <c r="K207" s="1" t="s">
        <v>80</v>
      </c>
      <c r="L207" s="1"/>
      <c r="M207" s="1"/>
      <c r="N207" s="1" t="str">
        <f t="shared" si="27"/>
        <v>No</v>
      </c>
      <c r="O207" s="1">
        <f t="shared" si="33"/>
        <v>6</v>
      </c>
      <c r="P207" s="1">
        <f t="shared" si="28"/>
        <v>5</v>
      </c>
      <c r="Q207" s="1">
        <f t="shared" si="29"/>
        <v>1</v>
      </c>
      <c r="R207" s="1">
        <f t="shared" si="30"/>
        <v>0</v>
      </c>
      <c r="S207" s="29">
        <f t="shared" si="31"/>
        <v>120</v>
      </c>
      <c r="T207" s="1" t="str">
        <f t="shared" si="32"/>
        <v>caught</v>
      </c>
      <c r="U207" s="1" t="str">
        <f t="shared" si="34"/>
        <v>1</v>
      </c>
      <c r="V207" s="1" t="str">
        <f t="shared" si="35"/>
        <v xml:space="preserve"> England</v>
      </c>
      <c r="W207" s="1" t="str">
        <f t="shared" si="36"/>
        <v>Southampton</v>
      </c>
      <c r="X207" s="1" t="str">
        <f t="shared" si="37"/>
        <v>Yes</v>
      </c>
      <c r="Y207" s="1"/>
      <c r="Z207" s="1"/>
    </row>
    <row r="208" spans="1:26" ht="14.25" customHeight="1">
      <c r="A208" s="1"/>
      <c r="B208" s="1">
        <v>189</v>
      </c>
      <c r="C208" s="1" t="s">
        <v>701</v>
      </c>
      <c r="D208" s="1" t="s">
        <v>251</v>
      </c>
      <c r="E208" s="1" t="s">
        <v>202</v>
      </c>
      <c r="F208" s="1" t="s">
        <v>131</v>
      </c>
      <c r="G208" s="1" t="s">
        <v>702</v>
      </c>
      <c r="H208" s="1" t="s">
        <v>24</v>
      </c>
      <c r="I208" s="1" t="s">
        <v>130</v>
      </c>
      <c r="J208" s="1" t="s">
        <v>234</v>
      </c>
      <c r="K208" s="1" t="s">
        <v>81</v>
      </c>
      <c r="L208" s="1"/>
      <c r="M208" s="1"/>
      <c r="N208" s="1" t="str">
        <f t="shared" si="27"/>
        <v>No</v>
      </c>
      <c r="O208" s="1">
        <f t="shared" si="33"/>
        <v>69</v>
      </c>
      <c r="P208" s="1">
        <f t="shared" si="28"/>
        <v>103</v>
      </c>
      <c r="Q208" s="1">
        <f t="shared" si="29"/>
        <v>5</v>
      </c>
      <c r="R208" s="1">
        <f t="shared" si="30"/>
        <v>0</v>
      </c>
      <c r="S208" s="29">
        <f t="shared" si="31"/>
        <v>66.989999999999995</v>
      </c>
      <c r="T208" s="1" t="str">
        <f t="shared" si="32"/>
        <v>caught</v>
      </c>
      <c r="U208" s="1" t="str">
        <f t="shared" si="34"/>
        <v>1</v>
      </c>
      <c r="V208" s="1" t="str">
        <f t="shared" si="35"/>
        <v xml:space="preserve"> England</v>
      </c>
      <c r="W208" s="1" t="str">
        <f t="shared" si="36"/>
        <v>The Oval</v>
      </c>
      <c r="X208" s="1" t="str">
        <f t="shared" si="37"/>
        <v>Yes</v>
      </c>
      <c r="Y208" s="1"/>
      <c r="Z208" s="1"/>
    </row>
    <row r="209" spans="1:26" ht="14.25" customHeight="1">
      <c r="A209" s="1"/>
      <c r="B209" s="1">
        <v>190</v>
      </c>
      <c r="C209" s="1" t="s">
        <v>703</v>
      </c>
      <c r="D209" s="1" t="s">
        <v>193</v>
      </c>
      <c r="E209" s="1" t="s">
        <v>136</v>
      </c>
      <c r="F209" s="1" t="s">
        <v>148</v>
      </c>
      <c r="G209" s="1" t="s">
        <v>704</v>
      </c>
      <c r="H209" s="1" t="s">
        <v>32</v>
      </c>
      <c r="I209" s="1" t="s">
        <v>130</v>
      </c>
      <c r="J209" s="1" t="s">
        <v>234</v>
      </c>
      <c r="K209" s="1" t="s">
        <v>82</v>
      </c>
      <c r="L209" s="1"/>
      <c r="M209" s="1"/>
      <c r="N209" s="1" t="str">
        <f t="shared" si="27"/>
        <v>No</v>
      </c>
      <c r="O209" s="1">
        <f t="shared" si="33"/>
        <v>78</v>
      </c>
      <c r="P209" s="1">
        <f t="shared" si="28"/>
        <v>71</v>
      </c>
      <c r="Q209" s="1">
        <f t="shared" si="29"/>
        <v>6</v>
      </c>
      <c r="R209" s="1">
        <f t="shared" si="30"/>
        <v>3</v>
      </c>
      <c r="S209" s="29">
        <f t="shared" si="31"/>
        <v>109.85</v>
      </c>
      <c r="T209" s="1" t="str">
        <f t="shared" si="32"/>
        <v>not out</v>
      </c>
      <c r="U209" s="1" t="str">
        <f t="shared" si="34"/>
        <v>1</v>
      </c>
      <c r="V209" s="1" t="str">
        <f t="shared" si="35"/>
        <v xml:space="preserve"> England</v>
      </c>
      <c r="W209" s="1" t="str">
        <f t="shared" si="36"/>
        <v>Lord's</v>
      </c>
      <c r="X209" s="1" t="str">
        <f t="shared" si="37"/>
        <v>No</v>
      </c>
      <c r="Y209" s="1"/>
      <c r="Z209" s="1"/>
    </row>
    <row r="210" spans="1:26" ht="14.25" customHeight="1">
      <c r="A210" s="1"/>
      <c r="B210" s="1">
        <v>191</v>
      </c>
      <c r="C210" s="1" t="s">
        <v>620</v>
      </c>
      <c r="D210" s="1" t="s">
        <v>313</v>
      </c>
      <c r="E210" s="1" t="s">
        <v>202</v>
      </c>
      <c r="F210" s="1" t="s">
        <v>151</v>
      </c>
      <c r="G210" s="1" t="s">
        <v>336</v>
      </c>
      <c r="H210" s="1" t="s">
        <v>32</v>
      </c>
      <c r="I210" s="1" t="s">
        <v>130</v>
      </c>
      <c r="J210" s="1" t="s">
        <v>234</v>
      </c>
      <c r="K210" s="1" t="s">
        <v>84</v>
      </c>
      <c r="L210" s="1"/>
      <c r="M210" s="1"/>
      <c r="N210" s="1" t="str">
        <f t="shared" si="27"/>
        <v>No</v>
      </c>
      <c r="O210" s="1">
        <f t="shared" si="33"/>
        <v>50</v>
      </c>
      <c r="P210" s="1">
        <f t="shared" si="28"/>
        <v>26</v>
      </c>
      <c r="Q210" s="1">
        <f t="shared" si="29"/>
        <v>5</v>
      </c>
      <c r="R210" s="1">
        <f t="shared" si="30"/>
        <v>2</v>
      </c>
      <c r="S210" s="29">
        <f t="shared" si="31"/>
        <v>192.3</v>
      </c>
      <c r="T210" s="1" t="str">
        <f t="shared" si="32"/>
        <v>not out</v>
      </c>
      <c r="U210" s="1" t="str">
        <f t="shared" si="34"/>
        <v>1</v>
      </c>
      <c r="V210" s="1" t="str">
        <f t="shared" si="35"/>
        <v xml:space="preserve"> England</v>
      </c>
      <c r="W210" s="1" t="str">
        <f t="shared" si="36"/>
        <v>Cardiff</v>
      </c>
      <c r="X210" s="1" t="str">
        <f t="shared" si="37"/>
        <v>No</v>
      </c>
      <c r="Y210" s="1"/>
      <c r="Z210" s="1"/>
    </row>
    <row r="211" spans="1:26" ht="14.25" customHeight="1">
      <c r="A211" s="1"/>
      <c r="B211" s="1">
        <v>192</v>
      </c>
      <c r="C211" s="1" t="s">
        <v>227</v>
      </c>
      <c r="D211" s="1" t="s">
        <v>222</v>
      </c>
      <c r="E211" s="1" t="s">
        <v>167</v>
      </c>
      <c r="F211" s="1" t="s">
        <v>130</v>
      </c>
      <c r="G211" s="1" t="s">
        <v>705</v>
      </c>
      <c r="H211" s="1" t="s">
        <v>32</v>
      </c>
      <c r="I211" s="1" t="s">
        <v>130</v>
      </c>
      <c r="J211" s="1" t="s">
        <v>234</v>
      </c>
      <c r="K211" s="1" t="s">
        <v>85</v>
      </c>
      <c r="L211" s="1"/>
      <c r="M211" s="1"/>
      <c r="N211" s="1" t="str">
        <f t="shared" si="27"/>
        <v>No</v>
      </c>
      <c r="O211" s="1">
        <f t="shared" si="33"/>
        <v>87</v>
      </c>
      <c r="P211" s="1">
        <f t="shared" si="28"/>
        <v>70</v>
      </c>
      <c r="Q211" s="1">
        <f t="shared" si="29"/>
        <v>10</v>
      </c>
      <c r="R211" s="1">
        <f t="shared" si="30"/>
        <v>1</v>
      </c>
      <c r="S211" s="29">
        <f t="shared" si="31"/>
        <v>124.28</v>
      </c>
      <c r="T211" s="1" t="str">
        <f t="shared" si="32"/>
        <v>not out</v>
      </c>
      <c r="U211" s="1" t="str">
        <f t="shared" si="34"/>
        <v>1</v>
      </c>
      <c r="V211" s="1" t="str">
        <f t="shared" si="35"/>
        <v xml:space="preserve"> England</v>
      </c>
      <c r="W211" s="1" t="str">
        <f t="shared" si="36"/>
        <v>Hyderabad</v>
      </c>
      <c r="X211" s="1" t="str">
        <f t="shared" si="37"/>
        <v>No</v>
      </c>
      <c r="Y211" s="1"/>
      <c r="Z211" s="1"/>
    </row>
    <row r="212" spans="1:26" ht="14.25" customHeight="1">
      <c r="A212" s="1"/>
      <c r="B212" s="1">
        <v>193</v>
      </c>
      <c r="C212" s="1" t="s">
        <v>57</v>
      </c>
      <c r="D212" s="1" t="s">
        <v>157</v>
      </c>
      <c r="E212" s="1" t="s">
        <v>157</v>
      </c>
      <c r="F212" s="1" t="s">
        <v>157</v>
      </c>
      <c r="G212" s="1" t="s">
        <v>157</v>
      </c>
      <c r="H212" s="1" t="s">
        <v>157</v>
      </c>
      <c r="I212" s="1" t="s">
        <v>151</v>
      </c>
      <c r="J212" s="1" t="s">
        <v>234</v>
      </c>
      <c r="K212" s="1" t="s">
        <v>52</v>
      </c>
      <c r="L212" s="1"/>
      <c r="M212" s="1"/>
      <c r="N212" s="1" t="str">
        <f t="shared" ref="N212:N275" si="38">IF(OR(C212="DNB",C212="TDNB"),"Yes","No")</f>
        <v>Yes</v>
      </c>
      <c r="O212" s="1" t="str">
        <f t="shared" si="33"/>
        <v>NA</v>
      </c>
      <c r="P212" s="1" t="str">
        <f t="shared" ref="P212:P275" si="39">IF(D212="-","NA",D212*1)</f>
        <v>NA</v>
      </c>
      <c r="Q212" s="1" t="str">
        <f t="shared" ref="Q212:Q275" si="40">IF(E212="-","NA",E212*1)</f>
        <v>NA</v>
      </c>
      <c r="R212" s="1" t="str">
        <f t="shared" ref="R212:R275" si="41">IF(F212="-","NA",F212*1)</f>
        <v>NA</v>
      </c>
      <c r="S212" s="29" t="str">
        <f t="shared" ref="S212:S275" si="42">IF(G212="-","NA",G212*1)</f>
        <v>NA</v>
      </c>
      <c r="T212" s="1" t="str">
        <f t="shared" ref="T212:T275" si="43">IF(H212="-","NA",H212)</f>
        <v>NA</v>
      </c>
      <c r="U212" s="1" t="str">
        <f t="shared" si="34"/>
        <v>2</v>
      </c>
      <c r="V212" s="1" t="str">
        <f t="shared" si="35"/>
        <v xml:space="preserve"> England</v>
      </c>
      <c r="W212" s="1" t="str">
        <f t="shared" si="36"/>
        <v>Delhi</v>
      </c>
      <c r="X212" s="1" t="str">
        <f t="shared" si="37"/>
        <v>No</v>
      </c>
      <c r="Y212" s="1"/>
      <c r="Z212" s="1"/>
    </row>
    <row r="213" spans="1:26" ht="14.25" customHeight="1">
      <c r="A213" s="1"/>
      <c r="B213" s="1">
        <v>194</v>
      </c>
      <c r="C213" s="1" t="s">
        <v>655</v>
      </c>
      <c r="D213" s="1" t="s">
        <v>146</v>
      </c>
      <c r="E213" s="1" t="s">
        <v>148</v>
      </c>
      <c r="F213" s="1" t="s">
        <v>131</v>
      </c>
      <c r="G213" s="1" t="s">
        <v>706</v>
      </c>
      <c r="H213" s="1" t="s">
        <v>32</v>
      </c>
      <c r="I213" s="1" t="s">
        <v>151</v>
      </c>
      <c r="J213" s="1" t="s">
        <v>234</v>
      </c>
      <c r="K213" s="1" t="s">
        <v>46</v>
      </c>
      <c r="L213" s="1"/>
      <c r="M213" s="1"/>
      <c r="N213" s="1" t="str">
        <f t="shared" si="38"/>
        <v>No</v>
      </c>
      <c r="O213" s="1">
        <f t="shared" ref="O213:O276" si="44">IF(N213="Yes", "NA",SUBSTITUTE(C213,"*","")*1)</f>
        <v>35</v>
      </c>
      <c r="P213" s="1">
        <f t="shared" si="39"/>
        <v>31</v>
      </c>
      <c r="Q213" s="1">
        <f t="shared" si="40"/>
        <v>3</v>
      </c>
      <c r="R213" s="1">
        <f t="shared" si="41"/>
        <v>0</v>
      </c>
      <c r="S213" s="29">
        <f t="shared" si="42"/>
        <v>112.9</v>
      </c>
      <c r="T213" s="1" t="str">
        <f t="shared" si="43"/>
        <v>not out</v>
      </c>
      <c r="U213" s="1" t="str">
        <f t="shared" ref="U213:U276" si="45">I213</f>
        <v>2</v>
      </c>
      <c r="V213" s="1" t="str">
        <f t="shared" ref="V213:V276" si="46">SUBSTITUTE(J213,"v","")</f>
        <v xml:space="preserve"> England</v>
      </c>
      <c r="W213" s="1" t="str">
        <f t="shared" ref="W213:W276" si="47">K213</f>
        <v>Mohali</v>
      </c>
      <c r="X213" s="1" t="str">
        <f t="shared" ref="X213:X276" si="48">IF(N213="Yes","No",IF(T213="not out","No","Yes"))</f>
        <v>No</v>
      </c>
      <c r="Y213" s="1"/>
      <c r="Z213" s="1"/>
    </row>
    <row r="214" spans="1:26" ht="14.25" customHeight="1">
      <c r="A214" s="1"/>
      <c r="B214" s="1">
        <v>195</v>
      </c>
      <c r="C214" s="1" t="s">
        <v>540</v>
      </c>
      <c r="D214" s="1" t="s">
        <v>199</v>
      </c>
      <c r="E214" s="1" t="s">
        <v>130</v>
      </c>
      <c r="F214" s="1" t="s">
        <v>130</v>
      </c>
      <c r="G214" s="1" t="s">
        <v>496</v>
      </c>
      <c r="H214" s="1" t="s">
        <v>32</v>
      </c>
      <c r="I214" s="1" t="s">
        <v>151</v>
      </c>
      <c r="J214" s="1" t="s">
        <v>234</v>
      </c>
      <c r="K214" s="1" t="s">
        <v>75</v>
      </c>
      <c r="L214" s="1"/>
      <c r="M214" s="1"/>
      <c r="N214" s="1" t="str">
        <f t="shared" si="38"/>
        <v>No</v>
      </c>
      <c r="O214" s="1">
        <f t="shared" si="44"/>
        <v>15</v>
      </c>
      <c r="P214" s="1">
        <f t="shared" si="39"/>
        <v>18</v>
      </c>
      <c r="Q214" s="1">
        <f t="shared" si="40"/>
        <v>1</v>
      </c>
      <c r="R214" s="1">
        <f t="shared" si="41"/>
        <v>1</v>
      </c>
      <c r="S214" s="29">
        <f t="shared" si="42"/>
        <v>83.33</v>
      </c>
      <c r="T214" s="1" t="str">
        <f t="shared" si="43"/>
        <v>not out</v>
      </c>
      <c r="U214" s="1" t="str">
        <f t="shared" si="45"/>
        <v>2</v>
      </c>
      <c r="V214" s="1" t="str">
        <f t="shared" si="46"/>
        <v xml:space="preserve"> England</v>
      </c>
      <c r="W214" s="1" t="str">
        <f t="shared" si="47"/>
        <v>Wankhede</v>
      </c>
      <c r="X214" s="1" t="str">
        <f t="shared" si="48"/>
        <v>No</v>
      </c>
      <c r="Y214" s="1"/>
      <c r="Z214" s="1"/>
    </row>
    <row r="215" spans="1:26" ht="14.25" customHeight="1">
      <c r="A215" s="1"/>
      <c r="B215" s="1">
        <v>196</v>
      </c>
      <c r="C215" s="1" t="s">
        <v>707</v>
      </c>
      <c r="D215" s="1" t="s">
        <v>701</v>
      </c>
      <c r="E215" s="1" t="s">
        <v>148</v>
      </c>
      <c r="F215" s="1" t="s">
        <v>140</v>
      </c>
      <c r="G215" s="1" t="s">
        <v>708</v>
      </c>
      <c r="H215" s="1" t="s">
        <v>32</v>
      </c>
      <c r="I215" s="1" t="s">
        <v>130</v>
      </c>
      <c r="J215" s="1" t="s">
        <v>234</v>
      </c>
      <c r="K215" s="1" t="s">
        <v>51</v>
      </c>
      <c r="L215" s="1"/>
      <c r="M215" s="1"/>
      <c r="N215" s="1" t="str">
        <f t="shared" si="38"/>
        <v>No</v>
      </c>
      <c r="O215" s="1">
        <f t="shared" si="44"/>
        <v>75</v>
      </c>
      <c r="P215" s="1">
        <f t="shared" si="39"/>
        <v>69</v>
      </c>
      <c r="Q215" s="1">
        <f t="shared" si="40"/>
        <v>3</v>
      </c>
      <c r="R215" s="1">
        <f t="shared" si="41"/>
        <v>4</v>
      </c>
      <c r="S215" s="29">
        <f t="shared" si="42"/>
        <v>108.69</v>
      </c>
      <c r="T215" s="1" t="str">
        <f t="shared" si="43"/>
        <v>not out</v>
      </c>
      <c r="U215" s="1" t="str">
        <f t="shared" si="45"/>
        <v>1</v>
      </c>
      <c r="V215" s="1" t="str">
        <f t="shared" si="46"/>
        <v xml:space="preserve"> England</v>
      </c>
      <c r="W215" s="1" t="str">
        <f t="shared" si="47"/>
        <v>Eden Gardens</v>
      </c>
      <c r="X215" s="1" t="str">
        <f t="shared" si="48"/>
        <v>No</v>
      </c>
      <c r="Y215" s="1"/>
      <c r="Z215" s="1"/>
    </row>
    <row r="216" spans="1:26" ht="14.25" customHeight="1">
      <c r="A216" s="1"/>
      <c r="B216" s="1">
        <v>197</v>
      </c>
      <c r="C216" s="1" t="s">
        <v>200</v>
      </c>
      <c r="D216" s="1" t="s">
        <v>139</v>
      </c>
      <c r="E216" s="1" t="s">
        <v>130</v>
      </c>
      <c r="F216" s="1" t="s">
        <v>131</v>
      </c>
      <c r="G216" s="1" t="s">
        <v>709</v>
      </c>
      <c r="H216" s="1" t="s">
        <v>24</v>
      </c>
      <c r="I216" s="1" t="s">
        <v>151</v>
      </c>
      <c r="J216" s="1" t="s">
        <v>158</v>
      </c>
      <c r="K216" s="1" t="s">
        <v>88</v>
      </c>
      <c r="L216" s="1"/>
      <c r="M216" s="1"/>
      <c r="N216" s="1" t="str">
        <f t="shared" si="38"/>
        <v>No</v>
      </c>
      <c r="O216" s="1">
        <f t="shared" si="44"/>
        <v>29</v>
      </c>
      <c r="P216" s="1">
        <f t="shared" si="39"/>
        <v>38</v>
      </c>
      <c r="Q216" s="1">
        <f t="shared" si="40"/>
        <v>1</v>
      </c>
      <c r="R216" s="1">
        <f t="shared" si="41"/>
        <v>0</v>
      </c>
      <c r="S216" s="29">
        <f t="shared" si="42"/>
        <v>76.31</v>
      </c>
      <c r="T216" s="1" t="str">
        <f t="shared" si="43"/>
        <v>caught</v>
      </c>
      <c r="U216" s="1" t="str">
        <f t="shared" si="45"/>
        <v>2</v>
      </c>
      <c r="V216" s="1" t="str">
        <f t="shared" si="46"/>
        <v xml:space="preserve"> Australia</v>
      </c>
      <c r="W216" s="1" t="str">
        <f t="shared" si="47"/>
        <v>Melbourne</v>
      </c>
      <c r="X216" s="1" t="str">
        <f t="shared" si="48"/>
        <v>Yes</v>
      </c>
      <c r="Y216" s="1"/>
      <c r="Z216" s="1"/>
    </row>
    <row r="217" spans="1:26" ht="14.25" customHeight="1">
      <c r="A217" s="1"/>
      <c r="B217" s="1">
        <v>198</v>
      </c>
      <c r="C217" s="1" t="s">
        <v>140</v>
      </c>
      <c r="D217" s="1" t="s">
        <v>202</v>
      </c>
      <c r="E217" s="1" t="s">
        <v>130</v>
      </c>
      <c r="F217" s="1" t="s">
        <v>131</v>
      </c>
      <c r="G217" s="1" t="s">
        <v>361</v>
      </c>
      <c r="H217" s="1" t="s">
        <v>24</v>
      </c>
      <c r="I217" s="1" t="s">
        <v>151</v>
      </c>
      <c r="J217" s="1" t="s">
        <v>133</v>
      </c>
      <c r="K217" s="1" t="s">
        <v>89</v>
      </c>
      <c r="L217" s="1"/>
      <c r="M217" s="1"/>
      <c r="N217" s="1" t="str">
        <f t="shared" si="38"/>
        <v>No</v>
      </c>
      <c r="O217" s="1">
        <f t="shared" si="44"/>
        <v>4</v>
      </c>
      <c r="P217" s="1">
        <f t="shared" si="39"/>
        <v>5</v>
      </c>
      <c r="Q217" s="1">
        <f t="shared" si="40"/>
        <v>1</v>
      </c>
      <c r="R217" s="1">
        <f t="shared" si="41"/>
        <v>0</v>
      </c>
      <c r="S217" s="29">
        <f t="shared" si="42"/>
        <v>80</v>
      </c>
      <c r="T217" s="1" t="str">
        <f t="shared" si="43"/>
        <v>caught</v>
      </c>
      <c r="U217" s="1" t="str">
        <f t="shared" si="45"/>
        <v>2</v>
      </c>
      <c r="V217" s="1" t="str">
        <f t="shared" si="46"/>
        <v xml:space="preserve"> Sri Lanka</v>
      </c>
      <c r="W217" s="1" t="str">
        <f t="shared" si="47"/>
        <v>W.A.C.A</v>
      </c>
      <c r="X217" s="1" t="str">
        <f t="shared" si="48"/>
        <v>Yes</v>
      </c>
      <c r="Y217" s="1"/>
      <c r="Z217" s="1"/>
    </row>
    <row r="218" spans="1:26" ht="14.25" customHeight="1">
      <c r="A218" s="1"/>
      <c r="B218" s="1">
        <v>199</v>
      </c>
      <c r="C218" s="1" t="s">
        <v>385</v>
      </c>
      <c r="D218" s="1" t="s">
        <v>582</v>
      </c>
      <c r="E218" s="1" t="s">
        <v>131</v>
      </c>
      <c r="F218" s="1" t="s">
        <v>130</v>
      </c>
      <c r="G218" s="1" t="s">
        <v>710</v>
      </c>
      <c r="H218" s="1" t="s">
        <v>32</v>
      </c>
      <c r="I218" s="1" t="s">
        <v>151</v>
      </c>
      <c r="J218" s="1" t="s">
        <v>158</v>
      </c>
      <c r="K218" s="1" t="s">
        <v>90</v>
      </c>
      <c r="L218" s="1"/>
      <c r="M218" s="1"/>
      <c r="N218" s="1" t="str">
        <f t="shared" si="38"/>
        <v>No</v>
      </c>
      <c r="O218" s="1">
        <f t="shared" si="44"/>
        <v>44</v>
      </c>
      <c r="P218" s="1">
        <f t="shared" si="39"/>
        <v>58</v>
      </c>
      <c r="Q218" s="1">
        <f t="shared" si="40"/>
        <v>0</v>
      </c>
      <c r="R218" s="1">
        <f t="shared" si="41"/>
        <v>1</v>
      </c>
      <c r="S218" s="29">
        <f t="shared" si="42"/>
        <v>75.86</v>
      </c>
      <c r="T218" s="1" t="str">
        <f t="shared" si="43"/>
        <v>not out</v>
      </c>
      <c r="U218" s="1" t="str">
        <f t="shared" si="45"/>
        <v>2</v>
      </c>
      <c r="V218" s="1" t="str">
        <f t="shared" si="46"/>
        <v xml:space="preserve"> Australia</v>
      </c>
      <c r="W218" s="1" t="str">
        <f t="shared" si="47"/>
        <v>Adelaide</v>
      </c>
      <c r="X218" s="1" t="str">
        <f t="shared" si="48"/>
        <v>No</v>
      </c>
      <c r="Y218" s="1"/>
      <c r="Z218" s="1"/>
    </row>
    <row r="219" spans="1:26" ht="14.25" customHeight="1">
      <c r="A219" s="1"/>
      <c r="B219" s="1">
        <v>200</v>
      </c>
      <c r="C219" s="1" t="s">
        <v>319</v>
      </c>
      <c r="D219" s="1" t="s">
        <v>701</v>
      </c>
      <c r="E219" s="1" t="s">
        <v>148</v>
      </c>
      <c r="F219" s="1" t="s">
        <v>130</v>
      </c>
      <c r="G219" s="1" t="s">
        <v>711</v>
      </c>
      <c r="H219" s="1" t="s">
        <v>32</v>
      </c>
      <c r="I219" s="1" t="s">
        <v>151</v>
      </c>
      <c r="J219" s="1" t="s">
        <v>133</v>
      </c>
      <c r="K219" s="1" t="s">
        <v>90</v>
      </c>
      <c r="L219" s="1"/>
      <c r="M219" s="1"/>
      <c r="N219" s="1" t="str">
        <f t="shared" si="38"/>
        <v>No</v>
      </c>
      <c r="O219" s="1">
        <f t="shared" si="44"/>
        <v>58</v>
      </c>
      <c r="P219" s="1">
        <f t="shared" si="39"/>
        <v>69</v>
      </c>
      <c r="Q219" s="1">
        <f t="shared" si="40"/>
        <v>3</v>
      </c>
      <c r="R219" s="1">
        <f t="shared" si="41"/>
        <v>1</v>
      </c>
      <c r="S219" s="29">
        <f t="shared" si="42"/>
        <v>84.05</v>
      </c>
      <c r="T219" s="1" t="str">
        <f t="shared" si="43"/>
        <v>not out</v>
      </c>
      <c r="U219" s="1" t="str">
        <f t="shared" si="45"/>
        <v>2</v>
      </c>
      <c r="V219" s="1" t="str">
        <f t="shared" si="46"/>
        <v xml:space="preserve"> Sri Lanka</v>
      </c>
      <c r="W219" s="1" t="str">
        <f t="shared" si="47"/>
        <v>Adelaide</v>
      </c>
      <c r="X219" s="1" t="str">
        <f t="shared" si="48"/>
        <v>No</v>
      </c>
      <c r="Y219" s="1"/>
      <c r="Z219" s="1"/>
    </row>
    <row r="220" spans="1:26" ht="14.25" customHeight="1">
      <c r="A220" s="1"/>
      <c r="B220" s="1">
        <v>201</v>
      </c>
      <c r="C220" s="1" t="s">
        <v>452</v>
      </c>
      <c r="D220" s="1" t="s">
        <v>340</v>
      </c>
      <c r="E220" s="1" t="s">
        <v>151</v>
      </c>
      <c r="F220" s="1" t="s">
        <v>130</v>
      </c>
      <c r="G220" s="1" t="s">
        <v>155</v>
      </c>
      <c r="H220" s="1" t="s">
        <v>24</v>
      </c>
      <c r="I220" s="1" t="s">
        <v>151</v>
      </c>
      <c r="J220" s="1" t="s">
        <v>158</v>
      </c>
      <c r="K220" s="1" t="s">
        <v>91</v>
      </c>
      <c r="L220" s="1"/>
      <c r="M220" s="1"/>
      <c r="N220" s="1" t="str">
        <f t="shared" si="38"/>
        <v>No</v>
      </c>
      <c r="O220" s="1">
        <f t="shared" si="44"/>
        <v>56</v>
      </c>
      <c r="P220" s="1">
        <f t="shared" si="39"/>
        <v>84</v>
      </c>
      <c r="Q220" s="1">
        <f t="shared" si="40"/>
        <v>2</v>
      </c>
      <c r="R220" s="1">
        <f t="shared" si="41"/>
        <v>1</v>
      </c>
      <c r="S220" s="29">
        <f t="shared" si="42"/>
        <v>66.66</v>
      </c>
      <c r="T220" s="1" t="str">
        <f t="shared" si="43"/>
        <v>caught</v>
      </c>
      <c r="U220" s="1" t="str">
        <f t="shared" si="45"/>
        <v>2</v>
      </c>
      <c r="V220" s="1" t="str">
        <f t="shared" si="46"/>
        <v xml:space="preserve"> Australia</v>
      </c>
      <c r="W220" s="1" t="str">
        <f t="shared" si="47"/>
        <v>Brisbane</v>
      </c>
      <c r="X220" s="1" t="str">
        <f t="shared" si="48"/>
        <v>Yes</v>
      </c>
      <c r="Y220" s="1"/>
      <c r="Z220" s="1"/>
    </row>
    <row r="221" spans="1:26" ht="14.25" customHeight="1">
      <c r="A221" s="1"/>
      <c r="B221" s="1">
        <v>202</v>
      </c>
      <c r="C221" s="1" t="s">
        <v>205</v>
      </c>
      <c r="D221" s="1" t="s">
        <v>249</v>
      </c>
      <c r="E221" s="1" t="s">
        <v>131</v>
      </c>
      <c r="F221" s="1" t="s">
        <v>131</v>
      </c>
      <c r="G221" s="1" t="s">
        <v>539</v>
      </c>
      <c r="H221" s="1" t="s">
        <v>19</v>
      </c>
      <c r="I221" s="1" t="s">
        <v>151</v>
      </c>
      <c r="J221" s="1" t="s">
        <v>158</v>
      </c>
      <c r="K221" s="1" t="s">
        <v>92</v>
      </c>
      <c r="L221" s="1"/>
      <c r="M221" s="1"/>
      <c r="N221" s="1" t="str">
        <f t="shared" si="38"/>
        <v>No</v>
      </c>
      <c r="O221" s="1">
        <f t="shared" si="44"/>
        <v>14</v>
      </c>
      <c r="P221" s="1">
        <f t="shared" si="39"/>
        <v>49</v>
      </c>
      <c r="Q221" s="1">
        <f t="shared" si="40"/>
        <v>0</v>
      </c>
      <c r="R221" s="1">
        <f t="shared" si="41"/>
        <v>0</v>
      </c>
      <c r="S221" s="29">
        <f t="shared" si="42"/>
        <v>28.57</v>
      </c>
      <c r="T221" s="1" t="str">
        <f t="shared" si="43"/>
        <v>lbw</v>
      </c>
      <c r="U221" s="1" t="str">
        <f t="shared" si="45"/>
        <v>2</v>
      </c>
      <c r="V221" s="1" t="str">
        <f t="shared" si="46"/>
        <v xml:space="preserve"> Australia</v>
      </c>
      <c r="W221" s="1" t="str">
        <f t="shared" si="47"/>
        <v>Sydney</v>
      </c>
      <c r="X221" s="1" t="str">
        <f t="shared" si="48"/>
        <v>Yes</v>
      </c>
      <c r="Y221" s="1"/>
      <c r="Z221" s="1"/>
    </row>
    <row r="222" spans="1:26" ht="14.25" customHeight="1">
      <c r="A222" s="1"/>
      <c r="B222" s="1">
        <v>203</v>
      </c>
      <c r="C222" s="1" t="s">
        <v>57</v>
      </c>
      <c r="D222" s="1" t="s">
        <v>157</v>
      </c>
      <c r="E222" s="1" t="s">
        <v>157</v>
      </c>
      <c r="F222" s="1" t="s">
        <v>157</v>
      </c>
      <c r="G222" s="1" t="s">
        <v>157</v>
      </c>
      <c r="H222" s="1" t="s">
        <v>157</v>
      </c>
      <c r="I222" s="1" t="s">
        <v>151</v>
      </c>
      <c r="J222" s="1" t="s">
        <v>133</v>
      </c>
      <c r="K222" s="1" t="s">
        <v>93</v>
      </c>
      <c r="L222" s="1"/>
      <c r="M222" s="1"/>
      <c r="N222" s="1" t="str">
        <f t="shared" si="38"/>
        <v>Yes</v>
      </c>
      <c r="O222" s="1" t="str">
        <f t="shared" si="44"/>
        <v>NA</v>
      </c>
      <c r="P222" s="1" t="str">
        <f t="shared" si="39"/>
        <v>NA</v>
      </c>
      <c r="Q222" s="1" t="str">
        <f t="shared" si="40"/>
        <v>NA</v>
      </c>
      <c r="R222" s="1" t="str">
        <f t="shared" si="41"/>
        <v>NA</v>
      </c>
      <c r="S222" s="29" t="str">
        <f t="shared" si="42"/>
        <v>NA</v>
      </c>
      <c r="T222" s="1" t="str">
        <f t="shared" si="43"/>
        <v>NA</v>
      </c>
      <c r="U222" s="1" t="str">
        <f t="shared" si="45"/>
        <v>2</v>
      </c>
      <c r="V222" s="1" t="str">
        <f t="shared" si="46"/>
        <v xml:space="preserve"> Sri Lanka</v>
      </c>
      <c r="W222" s="1" t="str">
        <f t="shared" si="47"/>
        <v>Hobart</v>
      </c>
      <c r="X222" s="1" t="str">
        <f t="shared" si="48"/>
        <v>No</v>
      </c>
      <c r="Y222" s="1"/>
      <c r="Z222" s="1"/>
    </row>
    <row r="223" spans="1:26" ht="14.25" customHeight="1">
      <c r="A223" s="1"/>
      <c r="B223" s="1">
        <v>204</v>
      </c>
      <c r="C223" s="1" t="s">
        <v>442</v>
      </c>
      <c r="D223" s="1" t="s">
        <v>313</v>
      </c>
      <c r="E223" s="1" t="s">
        <v>136</v>
      </c>
      <c r="F223" s="1" t="s">
        <v>130</v>
      </c>
      <c r="G223" s="1" t="s">
        <v>712</v>
      </c>
      <c r="H223" s="1" t="s">
        <v>32</v>
      </c>
      <c r="I223" s="1" t="s">
        <v>130</v>
      </c>
      <c r="J223" s="1" t="s">
        <v>133</v>
      </c>
      <c r="K223" s="1" t="s">
        <v>53</v>
      </c>
      <c r="L223" s="1"/>
      <c r="M223" s="1"/>
      <c r="N223" s="1" t="str">
        <f t="shared" si="38"/>
        <v>No</v>
      </c>
      <c r="O223" s="1">
        <f t="shared" si="44"/>
        <v>46</v>
      </c>
      <c r="P223" s="1">
        <f t="shared" si="39"/>
        <v>26</v>
      </c>
      <c r="Q223" s="1">
        <f t="shared" si="40"/>
        <v>6</v>
      </c>
      <c r="R223" s="1">
        <f t="shared" si="41"/>
        <v>1</v>
      </c>
      <c r="S223" s="29">
        <f t="shared" si="42"/>
        <v>176.92</v>
      </c>
      <c r="T223" s="1" t="str">
        <f t="shared" si="43"/>
        <v>not out</v>
      </c>
      <c r="U223" s="1" t="str">
        <f t="shared" si="45"/>
        <v>1</v>
      </c>
      <c r="V223" s="1" t="str">
        <f t="shared" si="46"/>
        <v xml:space="preserve"> Sri Lanka</v>
      </c>
      <c r="W223" s="1" t="str">
        <f t="shared" si="47"/>
        <v>Mirpur</v>
      </c>
      <c r="X223" s="1" t="str">
        <f t="shared" si="48"/>
        <v>No</v>
      </c>
      <c r="Y223" s="1"/>
      <c r="Z223" s="1"/>
    </row>
    <row r="224" spans="1:26" ht="14.25" customHeight="1">
      <c r="A224" s="1"/>
      <c r="B224" s="1">
        <v>205</v>
      </c>
      <c r="C224" s="1" t="s">
        <v>713</v>
      </c>
      <c r="D224" s="1" t="s">
        <v>176</v>
      </c>
      <c r="E224" s="1" t="s">
        <v>151</v>
      </c>
      <c r="F224" s="1" t="s">
        <v>131</v>
      </c>
      <c r="G224" s="1" t="s">
        <v>714</v>
      </c>
      <c r="H224" s="1" t="s">
        <v>32</v>
      </c>
      <c r="I224" s="1" t="s">
        <v>130</v>
      </c>
      <c r="J224" s="1" t="s">
        <v>182</v>
      </c>
      <c r="K224" s="1" t="s">
        <v>53</v>
      </c>
      <c r="L224" s="1"/>
      <c r="M224" s="1"/>
      <c r="N224" s="1" t="str">
        <f t="shared" si="38"/>
        <v>No</v>
      </c>
      <c r="O224" s="1">
        <f t="shared" si="44"/>
        <v>21</v>
      </c>
      <c r="P224" s="1">
        <f t="shared" si="39"/>
        <v>11</v>
      </c>
      <c r="Q224" s="1">
        <f t="shared" si="40"/>
        <v>2</v>
      </c>
      <c r="R224" s="1">
        <f t="shared" si="41"/>
        <v>0</v>
      </c>
      <c r="S224" s="29">
        <f t="shared" si="42"/>
        <v>190.9</v>
      </c>
      <c r="T224" s="1" t="str">
        <f t="shared" si="43"/>
        <v>not out</v>
      </c>
      <c r="U224" s="1" t="str">
        <f t="shared" si="45"/>
        <v>1</v>
      </c>
      <c r="V224" s="1" t="str">
        <f t="shared" si="46"/>
        <v xml:space="preserve"> Bangladesh</v>
      </c>
      <c r="W224" s="1" t="str">
        <f t="shared" si="47"/>
        <v>Mirpur</v>
      </c>
      <c r="X224" s="1" t="str">
        <f t="shared" si="48"/>
        <v>No</v>
      </c>
      <c r="Y224" s="1"/>
      <c r="Z224" s="1"/>
    </row>
    <row r="225" spans="1:26" ht="14.25" customHeight="1">
      <c r="A225" s="1"/>
      <c r="B225" s="1">
        <v>206</v>
      </c>
      <c r="C225" s="1" t="s">
        <v>715</v>
      </c>
      <c r="D225" s="1" t="s">
        <v>130</v>
      </c>
      <c r="E225" s="1" t="s">
        <v>130</v>
      </c>
      <c r="F225" s="1" t="s">
        <v>131</v>
      </c>
      <c r="G225" s="1" t="s">
        <v>716</v>
      </c>
      <c r="H225" s="1" t="s">
        <v>32</v>
      </c>
      <c r="I225" s="1" t="s">
        <v>151</v>
      </c>
      <c r="J225" s="1" t="s">
        <v>156</v>
      </c>
      <c r="K225" s="1" t="s">
        <v>53</v>
      </c>
      <c r="L225" s="1"/>
      <c r="M225" s="1"/>
      <c r="N225" s="1" t="str">
        <f t="shared" si="38"/>
        <v>No</v>
      </c>
      <c r="O225" s="1">
        <f t="shared" si="44"/>
        <v>4</v>
      </c>
      <c r="P225" s="1">
        <f t="shared" si="39"/>
        <v>1</v>
      </c>
      <c r="Q225" s="1">
        <f t="shared" si="40"/>
        <v>1</v>
      </c>
      <c r="R225" s="1">
        <f t="shared" si="41"/>
        <v>0</v>
      </c>
      <c r="S225" s="29">
        <f t="shared" si="42"/>
        <v>400</v>
      </c>
      <c r="T225" s="1" t="str">
        <f t="shared" si="43"/>
        <v>not out</v>
      </c>
      <c r="U225" s="1" t="str">
        <f t="shared" si="45"/>
        <v>2</v>
      </c>
      <c r="V225" s="1" t="str">
        <f t="shared" si="46"/>
        <v xml:space="preserve"> Pakistan</v>
      </c>
      <c r="W225" s="1" t="str">
        <f t="shared" si="47"/>
        <v>Mirpur</v>
      </c>
      <c r="X225" s="1" t="str">
        <f t="shared" si="48"/>
        <v>No</v>
      </c>
      <c r="Y225" s="1"/>
      <c r="Z225" s="1"/>
    </row>
    <row r="226" spans="1:26" ht="14.25" customHeight="1">
      <c r="A226" s="1"/>
      <c r="B226" s="1">
        <v>207</v>
      </c>
      <c r="C226" s="1" t="s">
        <v>248</v>
      </c>
      <c r="D226" s="1" t="s">
        <v>200</v>
      </c>
      <c r="E226" s="1" t="s">
        <v>148</v>
      </c>
      <c r="F226" s="1" t="s">
        <v>130</v>
      </c>
      <c r="G226" s="1" t="s">
        <v>717</v>
      </c>
      <c r="H226" s="1" t="s">
        <v>24</v>
      </c>
      <c r="I226" s="1" t="s">
        <v>130</v>
      </c>
      <c r="J226" s="1" t="s">
        <v>133</v>
      </c>
      <c r="K226" s="1" t="s">
        <v>94</v>
      </c>
      <c r="L226" s="1"/>
      <c r="M226" s="1"/>
      <c r="N226" s="1" t="str">
        <f t="shared" si="38"/>
        <v>No</v>
      </c>
      <c r="O226" s="1">
        <f t="shared" si="44"/>
        <v>35</v>
      </c>
      <c r="P226" s="1">
        <f t="shared" si="39"/>
        <v>29</v>
      </c>
      <c r="Q226" s="1">
        <f t="shared" si="40"/>
        <v>3</v>
      </c>
      <c r="R226" s="1">
        <f t="shared" si="41"/>
        <v>1</v>
      </c>
      <c r="S226" s="29">
        <f t="shared" si="42"/>
        <v>120.68</v>
      </c>
      <c r="T226" s="1" t="str">
        <f t="shared" si="43"/>
        <v>caught</v>
      </c>
      <c r="U226" s="1" t="str">
        <f t="shared" si="45"/>
        <v>1</v>
      </c>
      <c r="V226" s="1" t="str">
        <f t="shared" si="46"/>
        <v xml:space="preserve"> Sri Lanka</v>
      </c>
      <c r="W226" s="1" t="str">
        <f t="shared" si="47"/>
        <v>Hambantota</v>
      </c>
      <c r="X226" s="1" t="str">
        <f t="shared" si="48"/>
        <v>Yes</v>
      </c>
      <c r="Y226" s="1"/>
      <c r="Z226" s="1"/>
    </row>
    <row r="227" spans="1:26" ht="14.25" customHeight="1">
      <c r="A227" s="1"/>
      <c r="B227" s="1">
        <v>208</v>
      </c>
      <c r="C227" s="1" t="s">
        <v>176</v>
      </c>
      <c r="D227" s="1" t="s">
        <v>153</v>
      </c>
      <c r="E227" s="1" t="s">
        <v>151</v>
      </c>
      <c r="F227" s="1" t="s">
        <v>131</v>
      </c>
      <c r="G227" s="1" t="s">
        <v>537</v>
      </c>
      <c r="H227" s="1" t="s">
        <v>24</v>
      </c>
      <c r="I227" s="1" t="s">
        <v>130</v>
      </c>
      <c r="J227" s="1" t="s">
        <v>133</v>
      </c>
      <c r="K227" s="1" t="s">
        <v>94</v>
      </c>
      <c r="L227" s="1"/>
      <c r="M227" s="1"/>
      <c r="N227" s="1" t="str">
        <f t="shared" si="38"/>
        <v>No</v>
      </c>
      <c r="O227" s="1">
        <f t="shared" si="44"/>
        <v>11</v>
      </c>
      <c r="P227" s="1">
        <f t="shared" si="39"/>
        <v>16</v>
      </c>
      <c r="Q227" s="1">
        <f t="shared" si="40"/>
        <v>2</v>
      </c>
      <c r="R227" s="1">
        <f t="shared" si="41"/>
        <v>0</v>
      </c>
      <c r="S227" s="29">
        <f t="shared" si="42"/>
        <v>68.75</v>
      </c>
      <c r="T227" s="1" t="str">
        <f t="shared" si="43"/>
        <v>caught</v>
      </c>
      <c r="U227" s="1" t="str">
        <f t="shared" si="45"/>
        <v>1</v>
      </c>
      <c r="V227" s="1" t="str">
        <f t="shared" si="46"/>
        <v xml:space="preserve"> Sri Lanka</v>
      </c>
      <c r="W227" s="1" t="str">
        <f t="shared" si="47"/>
        <v>Hambantota</v>
      </c>
      <c r="X227" s="1" t="str">
        <f t="shared" si="48"/>
        <v>Yes</v>
      </c>
      <c r="Y227" s="1"/>
      <c r="Z227" s="1"/>
    </row>
    <row r="228" spans="1:26" ht="14.25" customHeight="1">
      <c r="A228" s="1"/>
      <c r="B228" s="1">
        <v>209</v>
      </c>
      <c r="C228" s="1" t="s">
        <v>146</v>
      </c>
      <c r="D228" s="1" t="s">
        <v>249</v>
      </c>
      <c r="E228" s="1" t="s">
        <v>130</v>
      </c>
      <c r="F228" s="1" t="s">
        <v>131</v>
      </c>
      <c r="G228" s="1" t="s">
        <v>718</v>
      </c>
      <c r="H228" s="1" t="s">
        <v>29</v>
      </c>
      <c r="I228" s="1" t="s">
        <v>151</v>
      </c>
      <c r="J228" s="1" t="s">
        <v>133</v>
      </c>
      <c r="K228" s="1" t="s">
        <v>27</v>
      </c>
      <c r="L228" s="1"/>
      <c r="M228" s="1"/>
      <c r="N228" s="1" t="str">
        <f t="shared" si="38"/>
        <v>No</v>
      </c>
      <c r="O228" s="1">
        <f t="shared" si="44"/>
        <v>31</v>
      </c>
      <c r="P228" s="1">
        <f t="shared" si="39"/>
        <v>49</v>
      </c>
      <c r="Q228" s="1">
        <f t="shared" si="40"/>
        <v>1</v>
      </c>
      <c r="R228" s="1">
        <f t="shared" si="41"/>
        <v>0</v>
      </c>
      <c r="S228" s="29">
        <f t="shared" si="42"/>
        <v>63.26</v>
      </c>
      <c r="T228" s="1" t="str">
        <f t="shared" si="43"/>
        <v>bowled</v>
      </c>
      <c r="U228" s="1" t="str">
        <f t="shared" si="45"/>
        <v>2</v>
      </c>
      <c r="V228" s="1" t="str">
        <f t="shared" si="46"/>
        <v xml:space="preserve"> Sri Lanka</v>
      </c>
      <c r="W228" s="1" t="str">
        <f t="shared" si="47"/>
        <v>Colombo (RPS)</v>
      </c>
      <c r="X228" s="1" t="str">
        <f t="shared" si="48"/>
        <v>Yes</v>
      </c>
      <c r="Y228" s="1"/>
      <c r="Z228" s="1"/>
    </row>
    <row r="229" spans="1:26" ht="14.25" customHeight="1">
      <c r="A229" s="1"/>
      <c r="B229" s="1">
        <v>210</v>
      </c>
      <c r="C229" s="1" t="s">
        <v>57</v>
      </c>
      <c r="D229" s="1" t="s">
        <v>157</v>
      </c>
      <c r="E229" s="1" t="s">
        <v>157</v>
      </c>
      <c r="F229" s="1" t="s">
        <v>157</v>
      </c>
      <c r="G229" s="1" t="s">
        <v>157</v>
      </c>
      <c r="H229" s="1" t="s">
        <v>157</v>
      </c>
      <c r="I229" s="1" t="s">
        <v>151</v>
      </c>
      <c r="J229" s="1" t="s">
        <v>133</v>
      </c>
      <c r="K229" s="1" t="s">
        <v>27</v>
      </c>
      <c r="L229" s="1"/>
      <c r="M229" s="1"/>
      <c r="N229" s="1" t="str">
        <f t="shared" si="38"/>
        <v>Yes</v>
      </c>
      <c r="O229" s="1" t="str">
        <f t="shared" si="44"/>
        <v>NA</v>
      </c>
      <c r="P229" s="1" t="str">
        <f t="shared" si="39"/>
        <v>NA</v>
      </c>
      <c r="Q229" s="1" t="str">
        <f t="shared" si="40"/>
        <v>NA</v>
      </c>
      <c r="R229" s="1" t="str">
        <f t="shared" si="41"/>
        <v>NA</v>
      </c>
      <c r="S229" s="29" t="str">
        <f t="shared" si="42"/>
        <v>NA</v>
      </c>
      <c r="T229" s="1" t="str">
        <f t="shared" si="43"/>
        <v>NA</v>
      </c>
      <c r="U229" s="1" t="str">
        <f t="shared" si="45"/>
        <v>2</v>
      </c>
      <c r="V229" s="1" t="str">
        <f t="shared" si="46"/>
        <v xml:space="preserve"> Sri Lanka</v>
      </c>
      <c r="W229" s="1" t="str">
        <f t="shared" si="47"/>
        <v>Colombo (RPS)</v>
      </c>
      <c r="X229" s="1" t="str">
        <f t="shared" si="48"/>
        <v>No</v>
      </c>
      <c r="Y229" s="1"/>
      <c r="Z229" s="1"/>
    </row>
    <row r="230" spans="1:26" ht="14.25" customHeight="1">
      <c r="A230" s="1"/>
      <c r="B230" s="1">
        <v>211</v>
      </c>
      <c r="C230" s="1" t="s">
        <v>582</v>
      </c>
      <c r="D230" s="1" t="s">
        <v>139</v>
      </c>
      <c r="E230" s="1" t="s">
        <v>189</v>
      </c>
      <c r="F230" s="1" t="s">
        <v>130</v>
      </c>
      <c r="G230" s="1" t="s">
        <v>719</v>
      </c>
      <c r="H230" s="1" t="s">
        <v>24</v>
      </c>
      <c r="I230" s="1" t="s">
        <v>130</v>
      </c>
      <c r="J230" s="1" t="s">
        <v>133</v>
      </c>
      <c r="K230" s="1" t="s">
        <v>95</v>
      </c>
      <c r="L230" s="1"/>
      <c r="M230" s="1"/>
      <c r="N230" s="1" t="str">
        <f t="shared" si="38"/>
        <v>No</v>
      </c>
      <c r="O230" s="1">
        <f t="shared" si="44"/>
        <v>58</v>
      </c>
      <c r="P230" s="1">
        <f t="shared" si="39"/>
        <v>38</v>
      </c>
      <c r="Q230" s="1">
        <f t="shared" si="40"/>
        <v>8</v>
      </c>
      <c r="R230" s="1">
        <f t="shared" si="41"/>
        <v>1</v>
      </c>
      <c r="S230" s="29">
        <f t="shared" si="42"/>
        <v>152.63</v>
      </c>
      <c r="T230" s="1" t="str">
        <f t="shared" si="43"/>
        <v>caught</v>
      </c>
      <c r="U230" s="1" t="str">
        <f t="shared" si="45"/>
        <v>1</v>
      </c>
      <c r="V230" s="1" t="str">
        <f t="shared" si="46"/>
        <v xml:space="preserve"> Sri Lanka</v>
      </c>
      <c r="W230" s="1" t="str">
        <f t="shared" si="47"/>
        <v>Pallekele</v>
      </c>
      <c r="X230" s="1" t="str">
        <f t="shared" si="48"/>
        <v>Yes</v>
      </c>
      <c r="Y230" s="1"/>
      <c r="Z230" s="1"/>
    </row>
    <row r="231" spans="1:26" ht="14.25" customHeight="1">
      <c r="A231" s="1"/>
      <c r="B231" s="1">
        <v>212</v>
      </c>
      <c r="C231" s="1" t="s">
        <v>720</v>
      </c>
      <c r="D231" s="1" t="s">
        <v>438</v>
      </c>
      <c r="E231" s="1" t="s">
        <v>144</v>
      </c>
      <c r="F231" s="1" t="s">
        <v>148</v>
      </c>
      <c r="G231" s="1" t="s">
        <v>721</v>
      </c>
      <c r="H231" s="1" t="s">
        <v>32</v>
      </c>
      <c r="I231" s="1" t="s">
        <v>130</v>
      </c>
      <c r="J231" s="1" t="s">
        <v>156</v>
      </c>
      <c r="K231" s="1" t="s">
        <v>68</v>
      </c>
      <c r="L231" s="1"/>
      <c r="M231" s="1"/>
      <c r="N231" s="1" t="str">
        <f t="shared" si="38"/>
        <v>No</v>
      </c>
      <c r="O231" s="1">
        <f t="shared" si="44"/>
        <v>113</v>
      </c>
      <c r="P231" s="1">
        <f t="shared" si="39"/>
        <v>125</v>
      </c>
      <c r="Q231" s="1">
        <f t="shared" si="40"/>
        <v>7</v>
      </c>
      <c r="R231" s="1">
        <f t="shared" si="41"/>
        <v>3</v>
      </c>
      <c r="S231" s="29">
        <f t="shared" si="42"/>
        <v>90.4</v>
      </c>
      <c r="T231" s="1" t="str">
        <f t="shared" si="43"/>
        <v>not out</v>
      </c>
      <c r="U231" s="1" t="str">
        <f t="shared" si="45"/>
        <v>1</v>
      </c>
      <c r="V231" s="1" t="str">
        <f t="shared" si="46"/>
        <v xml:space="preserve"> Pakistan</v>
      </c>
      <c r="W231" s="1" t="str">
        <f t="shared" si="47"/>
        <v>Chennai</v>
      </c>
      <c r="X231" s="1" t="str">
        <f t="shared" si="48"/>
        <v>No</v>
      </c>
      <c r="Y231" s="1"/>
      <c r="Z231" s="1"/>
    </row>
    <row r="232" spans="1:26" ht="14.25" customHeight="1">
      <c r="A232" s="1"/>
      <c r="B232" s="1">
        <v>213</v>
      </c>
      <c r="C232" s="1" t="s">
        <v>722</v>
      </c>
      <c r="D232" s="1" t="s">
        <v>486</v>
      </c>
      <c r="E232" s="1" t="s">
        <v>140</v>
      </c>
      <c r="F232" s="1" t="s">
        <v>130</v>
      </c>
      <c r="G232" s="1" t="s">
        <v>723</v>
      </c>
      <c r="H232" s="1" t="s">
        <v>32</v>
      </c>
      <c r="I232" s="1" t="s">
        <v>151</v>
      </c>
      <c r="J232" s="1" t="s">
        <v>156</v>
      </c>
      <c r="K232" s="1" t="s">
        <v>51</v>
      </c>
      <c r="L232" s="1"/>
      <c r="M232" s="1"/>
      <c r="N232" s="1" t="str">
        <f t="shared" si="38"/>
        <v>No</v>
      </c>
      <c r="O232" s="1">
        <f t="shared" si="44"/>
        <v>54</v>
      </c>
      <c r="P232" s="1">
        <f t="shared" si="39"/>
        <v>89</v>
      </c>
      <c r="Q232" s="1">
        <f t="shared" si="40"/>
        <v>4</v>
      </c>
      <c r="R232" s="1">
        <f t="shared" si="41"/>
        <v>1</v>
      </c>
      <c r="S232" s="29">
        <f t="shared" si="42"/>
        <v>60.67</v>
      </c>
      <c r="T232" s="1" t="str">
        <f t="shared" si="43"/>
        <v>not out</v>
      </c>
      <c r="U232" s="1" t="str">
        <f t="shared" si="45"/>
        <v>2</v>
      </c>
      <c r="V232" s="1" t="str">
        <f t="shared" si="46"/>
        <v xml:space="preserve"> Pakistan</v>
      </c>
      <c r="W232" s="1" t="str">
        <f t="shared" si="47"/>
        <v>Eden Gardens</v>
      </c>
      <c r="X232" s="1" t="str">
        <f t="shared" si="48"/>
        <v>No</v>
      </c>
      <c r="Y232" s="1"/>
      <c r="Z232" s="1"/>
    </row>
    <row r="233" spans="1:26" ht="14.25" customHeight="1">
      <c r="A233" s="1"/>
      <c r="B233" s="1">
        <v>214</v>
      </c>
      <c r="C233" s="1" t="s">
        <v>258</v>
      </c>
      <c r="D233" s="1" t="s">
        <v>255</v>
      </c>
      <c r="E233" s="1" t="s">
        <v>130</v>
      </c>
      <c r="F233" s="1" t="s">
        <v>148</v>
      </c>
      <c r="G233" s="1" t="s">
        <v>724</v>
      </c>
      <c r="H233" s="1" t="s">
        <v>24</v>
      </c>
      <c r="I233" s="1" t="s">
        <v>130</v>
      </c>
      <c r="J233" s="1" t="s">
        <v>156</v>
      </c>
      <c r="K233" s="1" t="s">
        <v>52</v>
      </c>
      <c r="L233" s="1"/>
      <c r="M233" s="1"/>
      <c r="N233" s="1" t="str">
        <f t="shared" si="38"/>
        <v>No</v>
      </c>
      <c r="O233" s="1">
        <f t="shared" si="44"/>
        <v>36</v>
      </c>
      <c r="P233" s="1">
        <f t="shared" si="39"/>
        <v>55</v>
      </c>
      <c r="Q233" s="1">
        <f t="shared" si="40"/>
        <v>1</v>
      </c>
      <c r="R233" s="1">
        <f t="shared" si="41"/>
        <v>3</v>
      </c>
      <c r="S233" s="29">
        <f t="shared" si="42"/>
        <v>65.45</v>
      </c>
      <c r="T233" s="1" t="str">
        <f t="shared" si="43"/>
        <v>caught</v>
      </c>
      <c r="U233" s="1" t="str">
        <f t="shared" si="45"/>
        <v>1</v>
      </c>
      <c r="V233" s="1" t="str">
        <f t="shared" si="46"/>
        <v xml:space="preserve"> Pakistan</v>
      </c>
      <c r="W233" s="1" t="str">
        <f t="shared" si="47"/>
        <v>Delhi</v>
      </c>
      <c r="X233" s="1" t="str">
        <f t="shared" si="48"/>
        <v>Yes</v>
      </c>
      <c r="Y233" s="1"/>
      <c r="Z233" s="1"/>
    </row>
    <row r="234" spans="1:26" ht="14.25" customHeight="1">
      <c r="A234" s="1"/>
      <c r="B234" s="1">
        <v>215</v>
      </c>
      <c r="C234" s="1" t="s">
        <v>521</v>
      </c>
      <c r="D234" s="1" t="s">
        <v>138</v>
      </c>
      <c r="E234" s="1" t="s">
        <v>131</v>
      </c>
      <c r="F234" s="1" t="s">
        <v>140</v>
      </c>
      <c r="G234" s="1" t="s">
        <v>725</v>
      </c>
      <c r="H234" s="1" t="s">
        <v>24</v>
      </c>
      <c r="I234" s="1" t="s">
        <v>151</v>
      </c>
      <c r="J234" s="1" t="s">
        <v>234</v>
      </c>
      <c r="K234" s="1" t="s">
        <v>48</v>
      </c>
      <c r="L234" s="1"/>
      <c r="M234" s="1"/>
      <c r="N234" s="1" t="str">
        <f t="shared" si="38"/>
        <v>No</v>
      </c>
      <c r="O234" s="1">
        <f t="shared" si="44"/>
        <v>32</v>
      </c>
      <c r="P234" s="1">
        <f t="shared" si="39"/>
        <v>25</v>
      </c>
      <c r="Q234" s="1">
        <f t="shared" si="40"/>
        <v>0</v>
      </c>
      <c r="R234" s="1">
        <f t="shared" si="41"/>
        <v>4</v>
      </c>
      <c r="S234" s="29">
        <f t="shared" si="42"/>
        <v>128</v>
      </c>
      <c r="T234" s="1" t="str">
        <f t="shared" si="43"/>
        <v>caught</v>
      </c>
      <c r="U234" s="1" t="str">
        <f t="shared" si="45"/>
        <v>2</v>
      </c>
      <c r="V234" s="1" t="str">
        <f t="shared" si="46"/>
        <v xml:space="preserve"> England</v>
      </c>
      <c r="W234" s="1" t="str">
        <f t="shared" si="47"/>
        <v>Rajkot</v>
      </c>
      <c r="X234" s="1" t="str">
        <f t="shared" si="48"/>
        <v>Yes</v>
      </c>
      <c r="Y234" s="1"/>
      <c r="Z234" s="1"/>
    </row>
    <row r="235" spans="1:26" ht="14.25" customHeight="1">
      <c r="A235" s="1"/>
      <c r="B235" s="1">
        <v>216</v>
      </c>
      <c r="C235" s="1" t="s">
        <v>454</v>
      </c>
      <c r="D235" s="1" t="s">
        <v>143</v>
      </c>
      <c r="E235" s="1" t="s">
        <v>144</v>
      </c>
      <c r="F235" s="1" t="s">
        <v>151</v>
      </c>
      <c r="G235" s="1" t="s">
        <v>530</v>
      </c>
      <c r="H235" s="1" t="s">
        <v>24</v>
      </c>
      <c r="I235" s="1" t="s">
        <v>130</v>
      </c>
      <c r="J235" s="1" t="s">
        <v>234</v>
      </c>
      <c r="K235" s="1" t="s">
        <v>96</v>
      </c>
      <c r="L235" s="1"/>
      <c r="M235" s="1"/>
      <c r="N235" s="1" t="str">
        <f t="shared" si="38"/>
        <v>No</v>
      </c>
      <c r="O235" s="1">
        <f t="shared" si="44"/>
        <v>72</v>
      </c>
      <c r="P235" s="1">
        <f t="shared" si="39"/>
        <v>66</v>
      </c>
      <c r="Q235" s="1">
        <f t="shared" si="40"/>
        <v>7</v>
      </c>
      <c r="R235" s="1">
        <f t="shared" si="41"/>
        <v>2</v>
      </c>
      <c r="S235" s="29">
        <f t="shared" si="42"/>
        <v>109.09</v>
      </c>
      <c r="T235" s="1" t="str">
        <f t="shared" si="43"/>
        <v>caught</v>
      </c>
      <c r="U235" s="1" t="str">
        <f t="shared" si="45"/>
        <v>1</v>
      </c>
      <c r="V235" s="1" t="str">
        <f t="shared" si="46"/>
        <v xml:space="preserve"> England</v>
      </c>
      <c r="W235" s="1" t="str">
        <f t="shared" si="47"/>
        <v>Kochi</v>
      </c>
      <c r="X235" s="1" t="str">
        <f t="shared" si="48"/>
        <v>Yes</v>
      </c>
      <c r="Y235" s="1"/>
      <c r="Z235" s="1"/>
    </row>
    <row r="236" spans="1:26" ht="14.25" customHeight="1">
      <c r="A236" s="1"/>
      <c r="B236" s="1">
        <v>217</v>
      </c>
      <c r="C236" s="1" t="s">
        <v>574</v>
      </c>
      <c r="D236" s="1" t="s">
        <v>128</v>
      </c>
      <c r="E236" s="1" t="s">
        <v>151</v>
      </c>
      <c r="F236" s="1" t="s">
        <v>131</v>
      </c>
      <c r="G236" s="1" t="s">
        <v>496</v>
      </c>
      <c r="H236" s="1" t="s">
        <v>32</v>
      </c>
      <c r="I236" s="1" t="s">
        <v>151</v>
      </c>
      <c r="J236" s="1" t="s">
        <v>234</v>
      </c>
      <c r="K236" s="1" t="s">
        <v>97</v>
      </c>
      <c r="L236" s="1"/>
      <c r="M236" s="1"/>
      <c r="N236" s="1" t="str">
        <f t="shared" si="38"/>
        <v>No</v>
      </c>
      <c r="O236" s="1">
        <f t="shared" si="44"/>
        <v>10</v>
      </c>
      <c r="P236" s="1">
        <f t="shared" si="39"/>
        <v>12</v>
      </c>
      <c r="Q236" s="1">
        <f t="shared" si="40"/>
        <v>2</v>
      </c>
      <c r="R236" s="1">
        <f t="shared" si="41"/>
        <v>0</v>
      </c>
      <c r="S236" s="29">
        <f t="shared" si="42"/>
        <v>83.33</v>
      </c>
      <c r="T236" s="1" t="str">
        <f t="shared" si="43"/>
        <v>not out</v>
      </c>
      <c r="U236" s="1" t="str">
        <f t="shared" si="45"/>
        <v>2</v>
      </c>
      <c r="V236" s="1" t="str">
        <f t="shared" si="46"/>
        <v xml:space="preserve"> England</v>
      </c>
      <c r="W236" s="1" t="str">
        <f t="shared" si="47"/>
        <v>Ranchi</v>
      </c>
      <c r="X236" s="1" t="str">
        <f t="shared" si="48"/>
        <v>No</v>
      </c>
      <c r="Y236" s="1"/>
      <c r="Z236" s="1"/>
    </row>
    <row r="237" spans="1:26" ht="14.25" customHeight="1">
      <c r="A237" s="1"/>
      <c r="B237" s="1">
        <v>218</v>
      </c>
      <c r="C237" s="1" t="s">
        <v>170</v>
      </c>
      <c r="D237" s="1" t="s">
        <v>246</v>
      </c>
      <c r="E237" s="1" t="s">
        <v>151</v>
      </c>
      <c r="F237" s="1" t="s">
        <v>131</v>
      </c>
      <c r="G237" s="1" t="s">
        <v>726</v>
      </c>
      <c r="H237" s="1" t="s">
        <v>24</v>
      </c>
      <c r="I237" s="1" t="s">
        <v>151</v>
      </c>
      <c r="J237" s="1" t="s">
        <v>234</v>
      </c>
      <c r="K237" s="1" t="s">
        <v>46</v>
      </c>
      <c r="L237" s="1"/>
      <c r="M237" s="1"/>
      <c r="N237" s="1" t="str">
        <f t="shared" si="38"/>
        <v>No</v>
      </c>
      <c r="O237" s="1">
        <f t="shared" si="44"/>
        <v>19</v>
      </c>
      <c r="P237" s="1">
        <f t="shared" si="39"/>
        <v>21</v>
      </c>
      <c r="Q237" s="1">
        <f t="shared" si="40"/>
        <v>2</v>
      </c>
      <c r="R237" s="1">
        <f t="shared" si="41"/>
        <v>0</v>
      </c>
      <c r="S237" s="29">
        <f t="shared" si="42"/>
        <v>90.47</v>
      </c>
      <c r="T237" s="1" t="str">
        <f t="shared" si="43"/>
        <v>caught</v>
      </c>
      <c r="U237" s="1" t="str">
        <f t="shared" si="45"/>
        <v>2</v>
      </c>
      <c r="V237" s="1" t="str">
        <f t="shared" si="46"/>
        <v xml:space="preserve"> England</v>
      </c>
      <c r="W237" s="1" t="str">
        <f t="shared" si="47"/>
        <v>Mohali</v>
      </c>
      <c r="X237" s="1" t="str">
        <f t="shared" si="48"/>
        <v>Yes</v>
      </c>
      <c r="Y237" s="1"/>
      <c r="Z237" s="1"/>
    </row>
    <row r="238" spans="1:26" ht="14.25" customHeight="1">
      <c r="A238" s="1"/>
      <c r="B238" s="1">
        <v>219</v>
      </c>
      <c r="C238" s="1" t="s">
        <v>283</v>
      </c>
      <c r="D238" s="1" t="s">
        <v>304</v>
      </c>
      <c r="E238" s="1" t="s">
        <v>151</v>
      </c>
      <c r="F238" s="1" t="s">
        <v>131</v>
      </c>
      <c r="G238" s="1" t="s">
        <v>727</v>
      </c>
      <c r="H238" s="1" t="s">
        <v>19</v>
      </c>
      <c r="I238" s="1" t="s">
        <v>130</v>
      </c>
      <c r="J238" s="1" t="s">
        <v>234</v>
      </c>
      <c r="K238" s="1" t="s">
        <v>98</v>
      </c>
      <c r="L238" s="1"/>
      <c r="M238" s="1"/>
      <c r="N238" s="1" t="str">
        <f t="shared" si="38"/>
        <v>No</v>
      </c>
      <c r="O238" s="1">
        <f t="shared" si="44"/>
        <v>15</v>
      </c>
      <c r="P238" s="1">
        <f t="shared" si="39"/>
        <v>23</v>
      </c>
      <c r="Q238" s="1">
        <f t="shared" si="40"/>
        <v>2</v>
      </c>
      <c r="R238" s="1">
        <f t="shared" si="41"/>
        <v>0</v>
      </c>
      <c r="S238" s="29">
        <f t="shared" si="42"/>
        <v>65.209999999999994</v>
      </c>
      <c r="T238" s="1" t="str">
        <f t="shared" si="43"/>
        <v>lbw</v>
      </c>
      <c r="U238" s="1" t="str">
        <f t="shared" si="45"/>
        <v>1</v>
      </c>
      <c r="V238" s="1" t="str">
        <f t="shared" si="46"/>
        <v xml:space="preserve"> England</v>
      </c>
      <c r="W238" s="1" t="str">
        <f t="shared" si="47"/>
        <v>Dharamsala</v>
      </c>
      <c r="X238" s="1" t="str">
        <f t="shared" si="48"/>
        <v>Yes</v>
      </c>
      <c r="Y238" s="1"/>
      <c r="Z238" s="1"/>
    </row>
    <row r="239" spans="1:26" ht="14.25" customHeight="1">
      <c r="A239" s="1"/>
      <c r="B239" s="1">
        <v>220</v>
      </c>
      <c r="C239" s="1" t="s">
        <v>169</v>
      </c>
      <c r="D239" s="1" t="s">
        <v>313</v>
      </c>
      <c r="E239" s="1" t="s">
        <v>148</v>
      </c>
      <c r="F239" s="1" t="s">
        <v>131</v>
      </c>
      <c r="G239" s="1" t="s">
        <v>728</v>
      </c>
      <c r="H239" s="1" t="s">
        <v>24</v>
      </c>
      <c r="I239" s="1" t="s">
        <v>130</v>
      </c>
      <c r="J239" s="1" t="s">
        <v>191</v>
      </c>
      <c r="K239" s="1" t="s">
        <v>84</v>
      </c>
      <c r="L239" s="1"/>
      <c r="M239" s="1"/>
      <c r="N239" s="1" t="str">
        <f t="shared" si="38"/>
        <v>No</v>
      </c>
      <c r="O239" s="1">
        <f t="shared" si="44"/>
        <v>27</v>
      </c>
      <c r="P239" s="1">
        <f t="shared" si="39"/>
        <v>26</v>
      </c>
      <c r="Q239" s="1">
        <f t="shared" si="40"/>
        <v>3</v>
      </c>
      <c r="R239" s="1">
        <f t="shared" si="41"/>
        <v>0</v>
      </c>
      <c r="S239" s="29">
        <f t="shared" si="42"/>
        <v>103.84</v>
      </c>
      <c r="T239" s="1" t="str">
        <f t="shared" si="43"/>
        <v>caught</v>
      </c>
      <c r="U239" s="1" t="str">
        <f t="shared" si="45"/>
        <v>1</v>
      </c>
      <c r="V239" s="1" t="str">
        <f t="shared" si="46"/>
        <v xml:space="preserve"> South Africa</v>
      </c>
      <c r="W239" s="1" t="str">
        <f t="shared" si="47"/>
        <v>Cardiff</v>
      </c>
      <c r="X239" s="1" t="str">
        <f t="shared" si="48"/>
        <v>Yes</v>
      </c>
      <c r="Y239" s="1"/>
      <c r="Z239" s="1"/>
    </row>
    <row r="240" spans="1:26" ht="14.25" customHeight="1">
      <c r="A240" s="1"/>
      <c r="B240" s="1">
        <v>221</v>
      </c>
      <c r="C240" s="1" t="s">
        <v>57</v>
      </c>
      <c r="D240" s="1" t="s">
        <v>157</v>
      </c>
      <c r="E240" s="1" t="s">
        <v>157</v>
      </c>
      <c r="F240" s="1" t="s">
        <v>157</v>
      </c>
      <c r="G240" s="1" t="s">
        <v>157</v>
      </c>
      <c r="H240" s="1" t="s">
        <v>157</v>
      </c>
      <c r="I240" s="1" t="s">
        <v>151</v>
      </c>
      <c r="J240" s="1" t="s">
        <v>163</v>
      </c>
      <c r="K240" s="1" t="s">
        <v>81</v>
      </c>
      <c r="L240" s="1"/>
      <c r="M240" s="1"/>
      <c r="N240" s="1" t="str">
        <f t="shared" si="38"/>
        <v>Yes</v>
      </c>
      <c r="O240" s="1" t="str">
        <f t="shared" si="44"/>
        <v>NA</v>
      </c>
      <c r="P240" s="1" t="str">
        <f t="shared" si="39"/>
        <v>NA</v>
      </c>
      <c r="Q240" s="1" t="str">
        <f t="shared" si="40"/>
        <v>NA</v>
      </c>
      <c r="R240" s="1" t="str">
        <f t="shared" si="41"/>
        <v>NA</v>
      </c>
      <c r="S240" s="29" t="str">
        <f t="shared" si="42"/>
        <v>NA</v>
      </c>
      <c r="T240" s="1" t="str">
        <f t="shared" si="43"/>
        <v>NA</v>
      </c>
      <c r="U240" s="1" t="str">
        <f t="shared" si="45"/>
        <v>2</v>
      </c>
      <c r="V240" s="1" t="str">
        <f t="shared" si="46"/>
        <v xml:space="preserve"> West Indies</v>
      </c>
      <c r="W240" s="1" t="str">
        <f t="shared" si="47"/>
        <v>The Oval</v>
      </c>
      <c r="X240" s="1" t="str">
        <f t="shared" si="48"/>
        <v>No</v>
      </c>
      <c r="Y240" s="1"/>
      <c r="Z240" s="1"/>
    </row>
    <row r="241" spans="1:26" ht="14.25" customHeight="1">
      <c r="A241" s="1"/>
      <c r="B241" s="1">
        <v>222</v>
      </c>
      <c r="C241" s="1" t="s">
        <v>57</v>
      </c>
      <c r="D241" s="1" t="s">
        <v>157</v>
      </c>
      <c r="E241" s="1" t="s">
        <v>157</v>
      </c>
      <c r="F241" s="1" t="s">
        <v>157</v>
      </c>
      <c r="G241" s="1" t="s">
        <v>157</v>
      </c>
      <c r="H241" s="1" t="s">
        <v>157</v>
      </c>
      <c r="I241" s="1" t="s">
        <v>151</v>
      </c>
      <c r="J241" s="1" t="s">
        <v>156</v>
      </c>
      <c r="K241" s="1" t="s">
        <v>99</v>
      </c>
      <c r="L241" s="1"/>
      <c r="M241" s="1"/>
      <c r="N241" s="1" t="str">
        <f t="shared" si="38"/>
        <v>Yes</v>
      </c>
      <c r="O241" s="1" t="str">
        <f t="shared" si="44"/>
        <v>NA</v>
      </c>
      <c r="P241" s="1" t="str">
        <f t="shared" si="39"/>
        <v>NA</v>
      </c>
      <c r="Q241" s="1" t="str">
        <f t="shared" si="40"/>
        <v>NA</v>
      </c>
      <c r="R241" s="1" t="str">
        <f t="shared" si="41"/>
        <v>NA</v>
      </c>
      <c r="S241" s="29" t="str">
        <f t="shared" si="42"/>
        <v>NA</v>
      </c>
      <c r="T241" s="1" t="str">
        <f t="shared" si="43"/>
        <v>NA</v>
      </c>
      <c r="U241" s="1" t="str">
        <f t="shared" si="45"/>
        <v>2</v>
      </c>
      <c r="V241" s="1" t="str">
        <f t="shared" si="46"/>
        <v xml:space="preserve"> Pakistan</v>
      </c>
      <c r="W241" s="1" t="str">
        <f t="shared" si="47"/>
        <v>Birmingham</v>
      </c>
      <c r="X241" s="1" t="str">
        <f t="shared" si="48"/>
        <v>No</v>
      </c>
      <c r="Y241" s="1"/>
      <c r="Z241" s="1"/>
    </row>
    <row r="242" spans="1:26" ht="14.25" customHeight="1">
      <c r="A242" s="1"/>
      <c r="B242" s="1">
        <v>223</v>
      </c>
      <c r="C242" s="1" t="s">
        <v>57</v>
      </c>
      <c r="D242" s="1" t="s">
        <v>157</v>
      </c>
      <c r="E242" s="1" t="s">
        <v>157</v>
      </c>
      <c r="F242" s="1" t="s">
        <v>157</v>
      </c>
      <c r="G242" s="1" t="s">
        <v>157</v>
      </c>
      <c r="H242" s="1" t="s">
        <v>157</v>
      </c>
      <c r="I242" s="1" t="s">
        <v>151</v>
      </c>
      <c r="J242" s="1" t="s">
        <v>133</v>
      </c>
      <c r="K242" s="1" t="s">
        <v>84</v>
      </c>
      <c r="L242" s="1"/>
      <c r="M242" s="1"/>
      <c r="N242" s="1" t="str">
        <f t="shared" si="38"/>
        <v>Yes</v>
      </c>
      <c r="O242" s="1" t="str">
        <f t="shared" si="44"/>
        <v>NA</v>
      </c>
      <c r="P242" s="1" t="str">
        <f t="shared" si="39"/>
        <v>NA</v>
      </c>
      <c r="Q242" s="1" t="str">
        <f t="shared" si="40"/>
        <v>NA</v>
      </c>
      <c r="R242" s="1" t="str">
        <f t="shared" si="41"/>
        <v>NA</v>
      </c>
      <c r="S242" s="29" t="str">
        <f t="shared" si="42"/>
        <v>NA</v>
      </c>
      <c r="T242" s="1" t="str">
        <f t="shared" si="43"/>
        <v>NA</v>
      </c>
      <c r="U242" s="1" t="str">
        <f t="shared" si="45"/>
        <v>2</v>
      </c>
      <c r="V242" s="1" t="str">
        <f t="shared" si="46"/>
        <v xml:space="preserve"> Sri Lanka</v>
      </c>
      <c r="W242" s="1" t="str">
        <f t="shared" si="47"/>
        <v>Cardiff</v>
      </c>
      <c r="X242" s="1" t="str">
        <f t="shared" si="48"/>
        <v>No</v>
      </c>
      <c r="Y242" s="1"/>
      <c r="Z242" s="1"/>
    </row>
    <row r="243" spans="1:26" ht="14.25" customHeight="1">
      <c r="A243" s="1"/>
      <c r="B243" s="1">
        <v>224</v>
      </c>
      <c r="C243" s="1" t="s">
        <v>131</v>
      </c>
      <c r="D243" s="1" t="s">
        <v>140</v>
      </c>
      <c r="E243" s="1" t="s">
        <v>131</v>
      </c>
      <c r="F243" s="1" t="s">
        <v>131</v>
      </c>
      <c r="G243" s="1" t="s">
        <v>210</v>
      </c>
      <c r="H243" s="1" t="s">
        <v>24</v>
      </c>
      <c r="I243" s="1" t="s">
        <v>130</v>
      </c>
      <c r="J243" s="1" t="s">
        <v>234</v>
      </c>
      <c r="K243" s="1" t="s">
        <v>99</v>
      </c>
      <c r="L243" s="1"/>
      <c r="M243" s="1"/>
      <c r="N243" s="1" t="str">
        <f t="shared" si="38"/>
        <v>No</v>
      </c>
      <c r="O243" s="1">
        <f t="shared" si="44"/>
        <v>0</v>
      </c>
      <c r="P243" s="1">
        <f t="shared" si="39"/>
        <v>4</v>
      </c>
      <c r="Q243" s="1">
        <f t="shared" si="40"/>
        <v>0</v>
      </c>
      <c r="R243" s="1">
        <f t="shared" si="41"/>
        <v>0</v>
      </c>
      <c r="S243" s="29">
        <f t="shared" si="42"/>
        <v>0</v>
      </c>
      <c r="T243" s="1" t="str">
        <f t="shared" si="43"/>
        <v>caught</v>
      </c>
      <c r="U243" s="1" t="str">
        <f t="shared" si="45"/>
        <v>1</v>
      </c>
      <c r="V243" s="1" t="str">
        <f t="shared" si="46"/>
        <v xml:space="preserve"> England</v>
      </c>
      <c r="W243" s="1" t="str">
        <f t="shared" si="47"/>
        <v>Birmingham</v>
      </c>
      <c r="X243" s="1" t="str">
        <f t="shared" si="48"/>
        <v>Yes</v>
      </c>
      <c r="Y243" s="1"/>
      <c r="Z243" s="1"/>
    </row>
    <row r="244" spans="1:26" ht="14.25" customHeight="1">
      <c r="A244" s="1"/>
      <c r="B244" s="1">
        <v>225</v>
      </c>
      <c r="C244" s="1" t="s">
        <v>169</v>
      </c>
      <c r="D244" s="1" t="s">
        <v>248</v>
      </c>
      <c r="E244" s="1" t="s">
        <v>130</v>
      </c>
      <c r="F244" s="1" t="s">
        <v>131</v>
      </c>
      <c r="G244" s="1" t="s">
        <v>224</v>
      </c>
      <c r="H244" s="1" t="s">
        <v>29</v>
      </c>
      <c r="I244" s="1" t="s">
        <v>130</v>
      </c>
      <c r="J244" s="1" t="s">
        <v>163</v>
      </c>
      <c r="K244" s="1" t="s">
        <v>78</v>
      </c>
      <c r="L244" s="1"/>
      <c r="M244" s="1"/>
      <c r="N244" s="1" t="str">
        <f t="shared" si="38"/>
        <v>No</v>
      </c>
      <c r="O244" s="1">
        <f t="shared" si="44"/>
        <v>27</v>
      </c>
      <c r="P244" s="1">
        <f t="shared" si="39"/>
        <v>35</v>
      </c>
      <c r="Q244" s="1">
        <f t="shared" si="40"/>
        <v>1</v>
      </c>
      <c r="R244" s="1">
        <f t="shared" si="41"/>
        <v>0</v>
      </c>
      <c r="S244" s="29">
        <f t="shared" si="42"/>
        <v>77.14</v>
      </c>
      <c r="T244" s="1" t="str">
        <f t="shared" si="43"/>
        <v>bowled</v>
      </c>
      <c r="U244" s="1" t="str">
        <f t="shared" si="45"/>
        <v>1</v>
      </c>
      <c r="V244" s="1" t="str">
        <f t="shared" si="46"/>
        <v xml:space="preserve"> West Indies</v>
      </c>
      <c r="W244" s="1" t="str">
        <f t="shared" si="47"/>
        <v>Kingston</v>
      </c>
      <c r="X244" s="1" t="str">
        <f t="shared" si="48"/>
        <v>Yes</v>
      </c>
      <c r="Y244" s="1"/>
      <c r="Z244" s="1"/>
    </row>
    <row r="245" spans="1:26" ht="14.25" customHeight="1">
      <c r="A245" s="1"/>
      <c r="B245" s="1">
        <v>226</v>
      </c>
      <c r="C245" s="1" t="s">
        <v>554</v>
      </c>
      <c r="D245" s="1" t="s">
        <v>327</v>
      </c>
      <c r="E245" s="1" t="s">
        <v>202</v>
      </c>
      <c r="F245" s="1" t="s">
        <v>151</v>
      </c>
      <c r="G245" s="1" t="s">
        <v>729</v>
      </c>
      <c r="H245" s="1" t="s">
        <v>32</v>
      </c>
      <c r="I245" s="1" t="s">
        <v>151</v>
      </c>
      <c r="J245" s="1" t="s">
        <v>133</v>
      </c>
      <c r="K245" s="1" t="s">
        <v>76</v>
      </c>
      <c r="L245" s="1"/>
      <c r="M245" s="1"/>
      <c r="N245" s="1" t="str">
        <f t="shared" si="38"/>
        <v>No</v>
      </c>
      <c r="O245" s="1">
        <f t="shared" si="44"/>
        <v>45</v>
      </c>
      <c r="P245" s="1">
        <f t="shared" si="39"/>
        <v>52</v>
      </c>
      <c r="Q245" s="1">
        <f t="shared" si="40"/>
        <v>5</v>
      </c>
      <c r="R245" s="1">
        <f t="shared" si="41"/>
        <v>2</v>
      </c>
      <c r="S245" s="29">
        <f t="shared" si="42"/>
        <v>86.53</v>
      </c>
      <c r="T245" s="1" t="str">
        <f t="shared" si="43"/>
        <v>not out</v>
      </c>
      <c r="U245" s="1" t="str">
        <f t="shared" si="45"/>
        <v>2</v>
      </c>
      <c r="V245" s="1" t="str">
        <f t="shared" si="46"/>
        <v xml:space="preserve"> Sri Lanka</v>
      </c>
      <c r="W245" s="1" t="str">
        <f t="shared" si="47"/>
        <v>Port of Spain</v>
      </c>
      <c r="X245" s="1" t="str">
        <f t="shared" si="48"/>
        <v>No</v>
      </c>
      <c r="Y245" s="1"/>
      <c r="Z245" s="1"/>
    </row>
    <row r="246" spans="1:26" ht="14.25" customHeight="1">
      <c r="A246" s="1"/>
      <c r="B246" s="1">
        <v>227</v>
      </c>
      <c r="C246" s="1" t="s">
        <v>170</v>
      </c>
      <c r="D246" s="1" t="s">
        <v>129</v>
      </c>
      <c r="E246" s="1" t="s">
        <v>151</v>
      </c>
      <c r="F246" s="1" t="s">
        <v>131</v>
      </c>
      <c r="G246" s="1" t="s">
        <v>730</v>
      </c>
      <c r="H246" s="1" t="s">
        <v>29</v>
      </c>
      <c r="I246" s="1" t="s">
        <v>151</v>
      </c>
      <c r="J246" s="1" t="s">
        <v>158</v>
      </c>
      <c r="K246" s="1" t="s">
        <v>100</v>
      </c>
      <c r="L246" s="1"/>
      <c r="M246" s="1"/>
      <c r="N246" s="1" t="str">
        <f t="shared" si="38"/>
        <v>No</v>
      </c>
      <c r="O246" s="1">
        <f t="shared" si="44"/>
        <v>19</v>
      </c>
      <c r="P246" s="1">
        <f t="shared" si="39"/>
        <v>22</v>
      </c>
      <c r="Q246" s="1">
        <f t="shared" si="40"/>
        <v>2</v>
      </c>
      <c r="R246" s="1">
        <f t="shared" si="41"/>
        <v>0</v>
      </c>
      <c r="S246" s="29">
        <f t="shared" si="42"/>
        <v>86.36</v>
      </c>
      <c r="T246" s="1" t="str">
        <f t="shared" si="43"/>
        <v>bowled</v>
      </c>
      <c r="U246" s="1" t="str">
        <f t="shared" si="45"/>
        <v>2</v>
      </c>
      <c r="V246" s="1" t="str">
        <f t="shared" si="46"/>
        <v xml:space="preserve"> Australia</v>
      </c>
      <c r="W246" s="1" t="str">
        <f t="shared" si="47"/>
        <v>Pune</v>
      </c>
      <c r="X246" s="1" t="str">
        <f t="shared" si="48"/>
        <v>Yes</v>
      </c>
      <c r="Y246" s="1"/>
      <c r="Z246" s="1"/>
    </row>
    <row r="247" spans="1:26" ht="14.25" customHeight="1">
      <c r="A247" s="1"/>
      <c r="B247" s="1">
        <v>228</v>
      </c>
      <c r="C247" s="1" t="s">
        <v>57</v>
      </c>
      <c r="D247" s="1" t="s">
        <v>157</v>
      </c>
      <c r="E247" s="1" t="s">
        <v>157</v>
      </c>
      <c r="F247" s="1" t="s">
        <v>157</v>
      </c>
      <c r="G247" s="1" t="s">
        <v>157</v>
      </c>
      <c r="H247" s="1" t="s">
        <v>157</v>
      </c>
      <c r="I247" s="1" t="s">
        <v>151</v>
      </c>
      <c r="J247" s="1" t="s">
        <v>158</v>
      </c>
      <c r="K247" s="1" t="s">
        <v>56</v>
      </c>
      <c r="L247" s="1"/>
      <c r="M247" s="1"/>
      <c r="N247" s="1" t="str">
        <f t="shared" si="38"/>
        <v>Yes</v>
      </c>
      <c r="O247" s="1" t="str">
        <f t="shared" si="44"/>
        <v>NA</v>
      </c>
      <c r="P247" s="1" t="str">
        <f t="shared" si="39"/>
        <v>NA</v>
      </c>
      <c r="Q247" s="1" t="str">
        <f t="shared" si="40"/>
        <v>NA</v>
      </c>
      <c r="R247" s="1" t="str">
        <f t="shared" si="41"/>
        <v>NA</v>
      </c>
      <c r="S247" s="29" t="str">
        <f t="shared" si="42"/>
        <v>NA</v>
      </c>
      <c r="T247" s="1" t="str">
        <f t="shared" si="43"/>
        <v>NA</v>
      </c>
      <c r="U247" s="1" t="str">
        <f t="shared" si="45"/>
        <v>2</v>
      </c>
      <c r="V247" s="1" t="str">
        <f t="shared" si="46"/>
        <v xml:space="preserve"> Australia</v>
      </c>
      <c r="W247" s="1" t="str">
        <f t="shared" si="47"/>
        <v>Jaipur</v>
      </c>
      <c r="X247" s="1" t="str">
        <f t="shared" si="48"/>
        <v>No</v>
      </c>
      <c r="Y247" s="1"/>
      <c r="Z247" s="1"/>
    </row>
    <row r="248" spans="1:26" ht="14.25" customHeight="1">
      <c r="A248" s="1"/>
      <c r="B248" s="1">
        <v>229</v>
      </c>
      <c r="C248" s="1" t="s">
        <v>373</v>
      </c>
      <c r="D248" s="1" t="s">
        <v>214</v>
      </c>
      <c r="E248" s="1" t="s">
        <v>128</v>
      </c>
      <c r="F248" s="1" t="s">
        <v>202</v>
      </c>
      <c r="G248" s="1" t="s">
        <v>731</v>
      </c>
      <c r="H248" s="1" t="s">
        <v>32</v>
      </c>
      <c r="I248" s="1" t="s">
        <v>130</v>
      </c>
      <c r="J248" s="1" t="s">
        <v>158</v>
      </c>
      <c r="K248" s="1" t="s">
        <v>46</v>
      </c>
      <c r="L248" s="1"/>
      <c r="M248" s="1"/>
      <c r="N248" s="1" t="str">
        <f t="shared" si="38"/>
        <v>No</v>
      </c>
      <c r="O248" s="1">
        <f t="shared" si="44"/>
        <v>139</v>
      </c>
      <c r="P248" s="1">
        <f t="shared" si="39"/>
        <v>121</v>
      </c>
      <c r="Q248" s="1">
        <f t="shared" si="40"/>
        <v>12</v>
      </c>
      <c r="R248" s="1">
        <f t="shared" si="41"/>
        <v>5</v>
      </c>
      <c r="S248" s="29">
        <f t="shared" si="42"/>
        <v>114.87</v>
      </c>
      <c r="T248" s="1" t="str">
        <f t="shared" si="43"/>
        <v>not out</v>
      </c>
      <c r="U248" s="1" t="str">
        <f t="shared" si="45"/>
        <v>1</v>
      </c>
      <c r="V248" s="1" t="str">
        <f t="shared" si="46"/>
        <v xml:space="preserve"> Australia</v>
      </c>
      <c r="W248" s="1" t="str">
        <f t="shared" si="47"/>
        <v>Mohali</v>
      </c>
      <c r="X248" s="1" t="str">
        <f t="shared" si="48"/>
        <v>No</v>
      </c>
      <c r="Y248" s="1"/>
      <c r="Z248" s="1"/>
    </row>
    <row r="249" spans="1:26" ht="14.25" customHeight="1">
      <c r="A249" s="1"/>
      <c r="B249" s="1">
        <v>230</v>
      </c>
      <c r="C249" s="1" t="s">
        <v>57</v>
      </c>
      <c r="D249" s="1" t="s">
        <v>157</v>
      </c>
      <c r="E249" s="1" t="s">
        <v>157</v>
      </c>
      <c r="F249" s="1" t="s">
        <v>157</v>
      </c>
      <c r="G249" s="1" t="s">
        <v>157</v>
      </c>
      <c r="H249" s="1" t="s">
        <v>157</v>
      </c>
      <c r="I249" s="1" t="s">
        <v>151</v>
      </c>
      <c r="J249" s="1" t="s">
        <v>158</v>
      </c>
      <c r="K249" s="1" t="s">
        <v>97</v>
      </c>
      <c r="L249" s="1"/>
      <c r="M249" s="1"/>
      <c r="N249" s="1" t="str">
        <f t="shared" si="38"/>
        <v>Yes</v>
      </c>
      <c r="O249" s="1" t="str">
        <f t="shared" si="44"/>
        <v>NA</v>
      </c>
      <c r="P249" s="1" t="str">
        <f t="shared" si="39"/>
        <v>NA</v>
      </c>
      <c r="Q249" s="1" t="str">
        <f t="shared" si="40"/>
        <v>NA</v>
      </c>
      <c r="R249" s="1" t="str">
        <f t="shared" si="41"/>
        <v>NA</v>
      </c>
      <c r="S249" s="29" t="str">
        <f t="shared" si="42"/>
        <v>NA</v>
      </c>
      <c r="T249" s="1" t="str">
        <f t="shared" si="43"/>
        <v>NA</v>
      </c>
      <c r="U249" s="1" t="str">
        <f t="shared" si="45"/>
        <v>2</v>
      </c>
      <c r="V249" s="1" t="str">
        <f t="shared" si="46"/>
        <v xml:space="preserve"> Australia</v>
      </c>
      <c r="W249" s="1" t="str">
        <f t="shared" si="47"/>
        <v>Ranchi</v>
      </c>
      <c r="X249" s="1" t="str">
        <f t="shared" si="48"/>
        <v>No</v>
      </c>
      <c r="Y249" s="1"/>
      <c r="Z249" s="1"/>
    </row>
    <row r="250" spans="1:26" ht="14.25" customHeight="1">
      <c r="A250" s="1"/>
      <c r="B250" s="1">
        <v>231</v>
      </c>
      <c r="C250" s="1" t="s">
        <v>732</v>
      </c>
      <c r="D250" s="1" t="s">
        <v>304</v>
      </c>
      <c r="E250" s="1" t="s">
        <v>151</v>
      </c>
      <c r="F250" s="1" t="s">
        <v>131</v>
      </c>
      <c r="G250" s="1" t="s">
        <v>708</v>
      </c>
      <c r="H250" s="1" t="s">
        <v>32</v>
      </c>
      <c r="I250" s="1" t="s">
        <v>151</v>
      </c>
      <c r="J250" s="1" t="s">
        <v>158</v>
      </c>
      <c r="K250" s="1" t="s">
        <v>50</v>
      </c>
      <c r="L250" s="1"/>
      <c r="M250" s="1"/>
      <c r="N250" s="1" t="str">
        <f t="shared" si="38"/>
        <v>No</v>
      </c>
      <c r="O250" s="1">
        <f t="shared" si="44"/>
        <v>25</v>
      </c>
      <c r="P250" s="1">
        <f t="shared" si="39"/>
        <v>23</v>
      </c>
      <c r="Q250" s="1">
        <f t="shared" si="40"/>
        <v>2</v>
      </c>
      <c r="R250" s="1">
        <f t="shared" si="41"/>
        <v>0</v>
      </c>
      <c r="S250" s="29">
        <f t="shared" si="42"/>
        <v>108.69</v>
      </c>
      <c r="T250" s="1" t="str">
        <f t="shared" si="43"/>
        <v>not out</v>
      </c>
      <c r="U250" s="1" t="str">
        <f t="shared" si="45"/>
        <v>2</v>
      </c>
      <c r="V250" s="1" t="str">
        <f t="shared" si="46"/>
        <v xml:space="preserve"> Australia</v>
      </c>
      <c r="W250" s="1" t="str">
        <f t="shared" si="47"/>
        <v>Nagpur</v>
      </c>
      <c r="X250" s="1" t="str">
        <f t="shared" si="48"/>
        <v>No</v>
      </c>
      <c r="Y250" s="1"/>
      <c r="Z250" s="1"/>
    </row>
    <row r="251" spans="1:26" ht="14.25" customHeight="1">
      <c r="A251" s="1"/>
      <c r="B251" s="1">
        <v>232</v>
      </c>
      <c r="C251" s="1" t="s">
        <v>364</v>
      </c>
      <c r="D251" s="1" t="s">
        <v>139</v>
      </c>
      <c r="E251" s="1" t="s">
        <v>144</v>
      </c>
      <c r="F251" s="1" t="s">
        <v>151</v>
      </c>
      <c r="G251" s="1" t="s">
        <v>733</v>
      </c>
      <c r="H251" s="1" t="s">
        <v>26</v>
      </c>
      <c r="I251" s="1" t="s">
        <v>130</v>
      </c>
      <c r="J251" s="1" t="s">
        <v>158</v>
      </c>
      <c r="K251" s="1" t="s">
        <v>67</v>
      </c>
      <c r="L251" s="1"/>
      <c r="M251" s="1"/>
      <c r="N251" s="1" t="str">
        <f t="shared" si="38"/>
        <v>No</v>
      </c>
      <c r="O251" s="1">
        <f t="shared" si="44"/>
        <v>62</v>
      </c>
      <c r="P251" s="1">
        <f t="shared" si="39"/>
        <v>38</v>
      </c>
      <c r="Q251" s="1">
        <f t="shared" si="40"/>
        <v>7</v>
      </c>
      <c r="R251" s="1">
        <f t="shared" si="41"/>
        <v>2</v>
      </c>
      <c r="S251" s="29">
        <f t="shared" si="42"/>
        <v>163.15</v>
      </c>
      <c r="T251" s="1" t="str">
        <f t="shared" si="43"/>
        <v>run out</v>
      </c>
      <c r="U251" s="1" t="str">
        <f t="shared" si="45"/>
        <v>1</v>
      </c>
      <c r="V251" s="1" t="str">
        <f t="shared" si="46"/>
        <v xml:space="preserve"> Australia</v>
      </c>
      <c r="W251" s="1" t="str">
        <f t="shared" si="47"/>
        <v>Bengaluru</v>
      </c>
      <c r="X251" s="1" t="str">
        <f t="shared" si="48"/>
        <v>Yes</v>
      </c>
      <c r="Y251" s="1"/>
      <c r="Z251" s="1"/>
    </row>
    <row r="252" spans="1:26" ht="14.25" customHeight="1">
      <c r="A252" s="1"/>
      <c r="B252" s="1">
        <v>233</v>
      </c>
      <c r="C252" s="1" t="s">
        <v>571</v>
      </c>
      <c r="D252" s="1" t="s">
        <v>144</v>
      </c>
      <c r="E252" s="1" t="s">
        <v>148</v>
      </c>
      <c r="F252" s="1" t="s">
        <v>131</v>
      </c>
      <c r="G252" s="1" t="s">
        <v>734</v>
      </c>
      <c r="H252" s="1" t="s">
        <v>32</v>
      </c>
      <c r="I252" s="1" t="s">
        <v>151</v>
      </c>
      <c r="J252" s="1" t="s">
        <v>163</v>
      </c>
      <c r="K252" s="1" t="s">
        <v>96</v>
      </c>
      <c r="L252" s="1"/>
      <c r="M252" s="1"/>
      <c r="N252" s="1" t="str">
        <f t="shared" si="38"/>
        <v>No</v>
      </c>
      <c r="O252" s="1">
        <f t="shared" si="44"/>
        <v>13</v>
      </c>
      <c r="P252" s="1">
        <f t="shared" si="39"/>
        <v>7</v>
      </c>
      <c r="Q252" s="1">
        <f t="shared" si="40"/>
        <v>3</v>
      </c>
      <c r="R252" s="1">
        <f t="shared" si="41"/>
        <v>0</v>
      </c>
      <c r="S252" s="29">
        <f t="shared" si="42"/>
        <v>185.71</v>
      </c>
      <c r="T252" s="1" t="str">
        <f t="shared" si="43"/>
        <v>not out</v>
      </c>
      <c r="U252" s="1" t="str">
        <f t="shared" si="45"/>
        <v>2</v>
      </c>
      <c r="V252" s="1" t="str">
        <f t="shared" si="46"/>
        <v xml:space="preserve"> West Indies</v>
      </c>
      <c r="W252" s="1" t="str">
        <f t="shared" si="47"/>
        <v>Kochi</v>
      </c>
      <c r="X252" s="1" t="str">
        <f t="shared" si="48"/>
        <v>No</v>
      </c>
      <c r="Y252" s="1"/>
      <c r="Z252" s="1"/>
    </row>
    <row r="253" spans="1:26" ht="14.25" customHeight="1">
      <c r="A253" s="1"/>
      <c r="B253" s="1">
        <v>234</v>
      </c>
      <c r="C253" s="1" t="s">
        <v>735</v>
      </c>
      <c r="D253" s="1" t="s">
        <v>359</v>
      </c>
      <c r="E253" s="1" t="s">
        <v>148</v>
      </c>
      <c r="F253" s="1" t="s">
        <v>140</v>
      </c>
      <c r="G253" s="1" t="s">
        <v>736</v>
      </c>
      <c r="H253" s="1" t="s">
        <v>32</v>
      </c>
      <c r="I253" s="1" t="s">
        <v>130</v>
      </c>
      <c r="J253" s="1" t="s">
        <v>163</v>
      </c>
      <c r="K253" s="1" t="s">
        <v>65</v>
      </c>
      <c r="L253" s="1"/>
      <c r="M253" s="1"/>
      <c r="N253" s="1" t="str">
        <f t="shared" si="38"/>
        <v>No</v>
      </c>
      <c r="O253" s="1">
        <f t="shared" si="44"/>
        <v>51</v>
      </c>
      <c r="P253" s="1">
        <f t="shared" si="39"/>
        <v>40</v>
      </c>
      <c r="Q253" s="1">
        <f t="shared" si="40"/>
        <v>3</v>
      </c>
      <c r="R253" s="1">
        <f t="shared" si="41"/>
        <v>4</v>
      </c>
      <c r="S253" s="29">
        <f t="shared" si="42"/>
        <v>127.5</v>
      </c>
      <c r="T253" s="1" t="str">
        <f t="shared" si="43"/>
        <v>not out</v>
      </c>
      <c r="U253" s="1" t="str">
        <f t="shared" si="45"/>
        <v>1</v>
      </c>
      <c r="V253" s="1" t="str">
        <f t="shared" si="46"/>
        <v xml:space="preserve"> West Indies</v>
      </c>
      <c r="W253" s="1" t="str">
        <f t="shared" si="47"/>
        <v>Visakhapatnam</v>
      </c>
      <c r="X253" s="1" t="str">
        <f t="shared" si="48"/>
        <v>No</v>
      </c>
      <c r="Y253" s="1"/>
      <c r="Z253" s="1"/>
    </row>
    <row r="254" spans="1:26" ht="14.25" customHeight="1">
      <c r="A254" s="1"/>
      <c r="B254" s="1">
        <v>235</v>
      </c>
      <c r="C254" s="1" t="s">
        <v>274</v>
      </c>
      <c r="D254" s="1" t="s">
        <v>304</v>
      </c>
      <c r="E254" s="1" t="s">
        <v>148</v>
      </c>
      <c r="F254" s="1" t="s">
        <v>131</v>
      </c>
      <c r="G254" s="1" t="s">
        <v>152</v>
      </c>
      <c r="H254" s="1" t="s">
        <v>32</v>
      </c>
      <c r="I254" s="1" t="s">
        <v>151</v>
      </c>
      <c r="J254" s="1" t="s">
        <v>163</v>
      </c>
      <c r="K254" s="1" t="s">
        <v>101</v>
      </c>
      <c r="L254" s="1"/>
      <c r="M254" s="1"/>
      <c r="N254" s="1" t="str">
        <f t="shared" si="38"/>
        <v>No</v>
      </c>
      <c r="O254" s="1">
        <f t="shared" si="44"/>
        <v>23</v>
      </c>
      <c r="P254" s="1">
        <f t="shared" si="39"/>
        <v>23</v>
      </c>
      <c r="Q254" s="1">
        <f t="shared" si="40"/>
        <v>3</v>
      </c>
      <c r="R254" s="1">
        <f t="shared" si="41"/>
        <v>0</v>
      </c>
      <c r="S254" s="29">
        <f t="shared" si="42"/>
        <v>100</v>
      </c>
      <c r="T254" s="1" t="str">
        <f t="shared" si="43"/>
        <v>not out</v>
      </c>
      <c r="U254" s="1" t="str">
        <f t="shared" si="45"/>
        <v>2</v>
      </c>
      <c r="V254" s="1" t="str">
        <f t="shared" si="46"/>
        <v xml:space="preserve"> West Indies</v>
      </c>
      <c r="W254" s="1" t="str">
        <f t="shared" si="47"/>
        <v>Kanpur</v>
      </c>
      <c r="X254" s="1" t="str">
        <f t="shared" si="48"/>
        <v>No</v>
      </c>
      <c r="Y254" s="1"/>
      <c r="Z254" s="1"/>
    </row>
    <row r="255" spans="1:26" ht="14.25" customHeight="1">
      <c r="A255" s="1"/>
      <c r="B255" s="1">
        <v>236</v>
      </c>
      <c r="C255" s="1" t="s">
        <v>172</v>
      </c>
      <c r="D255" s="1" t="s">
        <v>193</v>
      </c>
      <c r="E255" s="1" t="s">
        <v>189</v>
      </c>
      <c r="F255" s="1" t="s">
        <v>130</v>
      </c>
      <c r="G255" s="1" t="s">
        <v>737</v>
      </c>
      <c r="H255" s="1" t="s">
        <v>29</v>
      </c>
      <c r="I255" s="1" t="s">
        <v>151</v>
      </c>
      <c r="J255" s="1" t="s">
        <v>191</v>
      </c>
      <c r="K255" s="1" t="s">
        <v>43</v>
      </c>
      <c r="L255" s="1"/>
      <c r="M255" s="1"/>
      <c r="N255" s="1" t="str">
        <f t="shared" si="38"/>
        <v>No</v>
      </c>
      <c r="O255" s="1">
        <f t="shared" si="44"/>
        <v>65</v>
      </c>
      <c r="P255" s="1">
        <f t="shared" si="39"/>
        <v>71</v>
      </c>
      <c r="Q255" s="1">
        <f t="shared" si="40"/>
        <v>8</v>
      </c>
      <c r="R255" s="1">
        <f t="shared" si="41"/>
        <v>1</v>
      </c>
      <c r="S255" s="29">
        <f t="shared" si="42"/>
        <v>91.54</v>
      </c>
      <c r="T255" s="1" t="str">
        <f t="shared" si="43"/>
        <v>bowled</v>
      </c>
      <c r="U255" s="1" t="str">
        <f t="shared" si="45"/>
        <v>2</v>
      </c>
      <c r="V255" s="1" t="str">
        <f t="shared" si="46"/>
        <v xml:space="preserve"> South Africa</v>
      </c>
      <c r="W255" s="1" t="str">
        <f t="shared" si="47"/>
        <v>Johannesburg</v>
      </c>
      <c r="X255" s="1" t="str">
        <f t="shared" si="48"/>
        <v>Yes</v>
      </c>
      <c r="Y255" s="1"/>
      <c r="Z255" s="1"/>
    </row>
    <row r="256" spans="1:26" ht="14.25" customHeight="1">
      <c r="A256" s="1"/>
      <c r="B256" s="1">
        <v>237</v>
      </c>
      <c r="C256" s="1" t="s">
        <v>170</v>
      </c>
      <c r="D256" s="1" t="s">
        <v>146</v>
      </c>
      <c r="E256" s="1" t="s">
        <v>131</v>
      </c>
      <c r="F256" s="1" t="s">
        <v>131</v>
      </c>
      <c r="G256" s="1" t="s">
        <v>738</v>
      </c>
      <c r="H256" s="1" t="s">
        <v>24</v>
      </c>
      <c r="I256" s="1" t="s">
        <v>151</v>
      </c>
      <c r="J256" s="1" t="s">
        <v>191</v>
      </c>
      <c r="K256" s="1" t="s">
        <v>69</v>
      </c>
      <c r="L256" s="1"/>
      <c r="M256" s="1"/>
      <c r="N256" s="1" t="str">
        <f t="shared" si="38"/>
        <v>No</v>
      </c>
      <c r="O256" s="1">
        <f t="shared" si="44"/>
        <v>19</v>
      </c>
      <c r="P256" s="1">
        <f t="shared" si="39"/>
        <v>31</v>
      </c>
      <c r="Q256" s="1">
        <f t="shared" si="40"/>
        <v>0</v>
      </c>
      <c r="R256" s="1">
        <f t="shared" si="41"/>
        <v>0</v>
      </c>
      <c r="S256" s="29">
        <f t="shared" si="42"/>
        <v>61.29</v>
      </c>
      <c r="T256" s="1" t="str">
        <f t="shared" si="43"/>
        <v>caught</v>
      </c>
      <c r="U256" s="1" t="str">
        <f t="shared" si="45"/>
        <v>2</v>
      </c>
      <c r="V256" s="1" t="str">
        <f t="shared" si="46"/>
        <v xml:space="preserve"> South Africa</v>
      </c>
      <c r="W256" s="1" t="str">
        <f t="shared" si="47"/>
        <v>Durban</v>
      </c>
      <c r="X256" s="1" t="str">
        <f t="shared" si="48"/>
        <v>Yes</v>
      </c>
      <c r="Y256" s="1"/>
      <c r="Z256" s="1"/>
    </row>
    <row r="257" spans="1:26" ht="14.25" customHeight="1">
      <c r="A257" s="1"/>
      <c r="B257" s="1">
        <v>238</v>
      </c>
      <c r="C257" s="1" t="s">
        <v>38</v>
      </c>
      <c r="D257" s="1" t="s">
        <v>157</v>
      </c>
      <c r="E257" s="1" t="s">
        <v>157</v>
      </c>
      <c r="F257" s="1" t="s">
        <v>157</v>
      </c>
      <c r="G257" s="1" t="s">
        <v>157</v>
      </c>
      <c r="H257" s="1" t="s">
        <v>157</v>
      </c>
      <c r="I257" s="1" t="s">
        <v>157</v>
      </c>
      <c r="J257" s="1" t="s">
        <v>191</v>
      </c>
      <c r="K257" s="1" t="s">
        <v>36</v>
      </c>
      <c r="L257" s="1"/>
      <c r="M257" s="1"/>
      <c r="N257" s="1" t="str">
        <f t="shared" si="38"/>
        <v>Yes</v>
      </c>
      <c r="O257" s="1" t="str">
        <f t="shared" si="44"/>
        <v>NA</v>
      </c>
      <c r="P257" s="1" t="str">
        <f t="shared" si="39"/>
        <v>NA</v>
      </c>
      <c r="Q257" s="1" t="str">
        <f t="shared" si="40"/>
        <v>NA</v>
      </c>
      <c r="R257" s="1" t="str">
        <f t="shared" si="41"/>
        <v>NA</v>
      </c>
      <c r="S257" s="29" t="str">
        <f t="shared" si="42"/>
        <v>NA</v>
      </c>
      <c r="T257" s="1" t="str">
        <f t="shared" si="43"/>
        <v>NA</v>
      </c>
      <c r="U257" s="1" t="str">
        <f t="shared" si="45"/>
        <v>-</v>
      </c>
      <c r="V257" s="1" t="str">
        <f t="shared" si="46"/>
        <v xml:space="preserve"> South Africa</v>
      </c>
      <c r="W257" s="1" t="str">
        <f t="shared" si="47"/>
        <v>Centurion</v>
      </c>
      <c r="X257" s="1" t="str">
        <f t="shared" si="48"/>
        <v>No</v>
      </c>
      <c r="Y257" s="1"/>
      <c r="Z257" s="1"/>
    </row>
    <row r="258" spans="1:26" ht="14.25" customHeight="1">
      <c r="A258" s="1"/>
      <c r="B258" s="1">
        <v>239</v>
      </c>
      <c r="C258" s="1" t="s">
        <v>359</v>
      </c>
      <c r="D258" s="1" t="s">
        <v>147</v>
      </c>
      <c r="E258" s="1" t="s">
        <v>151</v>
      </c>
      <c r="F258" s="1" t="s">
        <v>151</v>
      </c>
      <c r="G258" s="1" t="s">
        <v>739</v>
      </c>
      <c r="H258" s="1" t="s">
        <v>24</v>
      </c>
      <c r="I258" s="1" t="s">
        <v>151</v>
      </c>
      <c r="J258" s="1" t="s">
        <v>211</v>
      </c>
      <c r="K258" s="1" t="s">
        <v>102</v>
      </c>
      <c r="L258" s="1"/>
      <c r="M258" s="1"/>
      <c r="N258" s="1" t="str">
        <f t="shared" si="38"/>
        <v>No</v>
      </c>
      <c r="O258" s="1">
        <f t="shared" si="44"/>
        <v>40</v>
      </c>
      <c r="P258" s="1">
        <f t="shared" si="39"/>
        <v>46</v>
      </c>
      <c r="Q258" s="1">
        <f t="shared" si="40"/>
        <v>2</v>
      </c>
      <c r="R258" s="1">
        <f t="shared" si="41"/>
        <v>2</v>
      </c>
      <c r="S258" s="29">
        <f t="shared" si="42"/>
        <v>86.95</v>
      </c>
      <c r="T258" s="1" t="str">
        <f t="shared" si="43"/>
        <v>caught</v>
      </c>
      <c r="U258" s="1" t="str">
        <f t="shared" si="45"/>
        <v>2</v>
      </c>
      <c r="V258" s="1" t="str">
        <f t="shared" si="46"/>
        <v xml:space="preserve"> New Zealand</v>
      </c>
      <c r="W258" s="1" t="str">
        <f t="shared" si="47"/>
        <v>Napier</v>
      </c>
      <c r="X258" s="1" t="str">
        <f t="shared" si="48"/>
        <v>Yes</v>
      </c>
      <c r="Y258" s="1"/>
      <c r="Z258" s="1"/>
    </row>
    <row r="259" spans="1:26" ht="14.25" customHeight="1">
      <c r="A259" s="1"/>
      <c r="B259" s="1">
        <v>240</v>
      </c>
      <c r="C259" s="1" t="s">
        <v>452</v>
      </c>
      <c r="D259" s="1" t="s">
        <v>369</v>
      </c>
      <c r="E259" s="1" t="s">
        <v>144</v>
      </c>
      <c r="F259" s="1" t="s">
        <v>130</v>
      </c>
      <c r="G259" s="1" t="s">
        <v>608</v>
      </c>
      <c r="H259" s="1" t="s">
        <v>24</v>
      </c>
      <c r="I259" s="1" t="s">
        <v>151</v>
      </c>
      <c r="J259" s="1" t="s">
        <v>211</v>
      </c>
      <c r="K259" s="1" t="s">
        <v>103</v>
      </c>
      <c r="L259" s="1"/>
      <c r="M259" s="1"/>
      <c r="N259" s="1" t="str">
        <f t="shared" si="38"/>
        <v>No</v>
      </c>
      <c r="O259" s="1">
        <f t="shared" si="44"/>
        <v>56</v>
      </c>
      <c r="P259" s="1">
        <f t="shared" si="39"/>
        <v>44</v>
      </c>
      <c r="Q259" s="1">
        <f t="shared" si="40"/>
        <v>7</v>
      </c>
      <c r="R259" s="1">
        <f t="shared" si="41"/>
        <v>1</v>
      </c>
      <c r="S259" s="29">
        <f t="shared" si="42"/>
        <v>127.27</v>
      </c>
      <c r="T259" s="1" t="str">
        <f t="shared" si="43"/>
        <v>caught</v>
      </c>
      <c r="U259" s="1" t="str">
        <f t="shared" si="45"/>
        <v>2</v>
      </c>
      <c r="V259" s="1" t="str">
        <f t="shared" si="46"/>
        <v xml:space="preserve"> New Zealand</v>
      </c>
      <c r="W259" s="1" t="str">
        <f t="shared" si="47"/>
        <v>Hamilton</v>
      </c>
      <c r="X259" s="1" t="str">
        <f t="shared" si="48"/>
        <v>Yes</v>
      </c>
      <c r="Y259" s="1"/>
      <c r="Z259" s="1"/>
    </row>
    <row r="260" spans="1:26" ht="14.25" customHeight="1">
      <c r="A260" s="1"/>
      <c r="B260" s="1">
        <v>241</v>
      </c>
      <c r="C260" s="1" t="s">
        <v>360</v>
      </c>
      <c r="D260" s="1" t="s">
        <v>380</v>
      </c>
      <c r="E260" s="1" t="s">
        <v>151</v>
      </c>
      <c r="F260" s="1" t="s">
        <v>148</v>
      </c>
      <c r="G260" s="1" t="s">
        <v>496</v>
      </c>
      <c r="H260" s="1" t="s">
        <v>24</v>
      </c>
      <c r="I260" s="1" t="s">
        <v>151</v>
      </c>
      <c r="J260" s="1" t="s">
        <v>211</v>
      </c>
      <c r="K260" s="1" t="s">
        <v>104</v>
      </c>
      <c r="L260" s="1"/>
      <c r="M260" s="1"/>
      <c r="N260" s="1" t="str">
        <f t="shared" si="38"/>
        <v>No</v>
      </c>
      <c r="O260" s="1">
        <f t="shared" si="44"/>
        <v>50</v>
      </c>
      <c r="P260" s="1">
        <f t="shared" si="39"/>
        <v>60</v>
      </c>
      <c r="Q260" s="1">
        <f t="shared" si="40"/>
        <v>2</v>
      </c>
      <c r="R260" s="1">
        <f t="shared" si="41"/>
        <v>3</v>
      </c>
      <c r="S260" s="29">
        <f t="shared" si="42"/>
        <v>83.33</v>
      </c>
      <c r="T260" s="1" t="str">
        <f t="shared" si="43"/>
        <v>caught</v>
      </c>
      <c r="U260" s="1" t="str">
        <f t="shared" si="45"/>
        <v>2</v>
      </c>
      <c r="V260" s="1" t="str">
        <f t="shared" si="46"/>
        <v xml:space="preserve"> New Zealand</v>
      </c>
      <c r="W260" s="1" t="str">
        <f t="shared" si="47"/>
        <v>Auckland</v>
      </c>
      <c r="X260" s="1" t="str">
        <f t="shared" si="48"/>
        <v>Yes</v>
      </c>
      <c r="Y260" s="1"/>
      <c r="Z260" s="1"/>
    </row>
    <row r="261" spans="1:26" ht="14.25" customHeight="1">
      <c r="A261" s="1"/>
      <c r="B261" s="1">
        <v>242</v>
      </c>
      <c r="C261" s="1" t="s">
        <v>159</v>
      </c>
      <c r="D261" s="1" t="s">
        <v>219</v>
      </c>
      <c r="E261" s="1" t="s">
        <v>136</v>
      </c>
      <c r="F261" s="1" t="s">
        <v>148</v>
      </c>
      <c r="G261" s="1" t="s">
        <v>740</v>
      </c>
      <c r="H261" s="1" t="s">
        <v>32</v>
      </c>
      <c r="I261" s="1" t="s">
        <v>130</v>
      </c>
      <c r="J261" s="1" t="s">
        <v>211</v>
      </c>
      <c r="K261" s="1" t="s">
        <v>103</v>
      </c>
      <c r="L261" s="1"/>
      <c r="M261" s="1"/>
      <c r="N261" s="1" t="str">
        <f t="shared" si="38"/>
        <v>No</v>
      </c>
      <c r="O261" s="1">
        <f t="shared" si="44"/>
        <v>79</v>
      </c>
      <c r="P261" s="1">
        <f t="shared" si="39"/>
        <v>73</v>
      </c>
      <c r="Q261" s="1">
        <f t="shared" si="40"/>
        <v>6</v>
      </c>
      <c r="R261" s="1">
        <f t="shared" si="41"/>
        <v>3</v>
      </c>
      <c r="S261" s="29">
        <f t="shared" si="42"/>
        <v>108.21</v>
      </c>
      <c r="T261" s="1" t="str">
        <f t="shared" si="43"/>
        <v>not out</v>
      </c>
      <c r="U261" s="1" t="str">
        <f t="shared" si="45"/>
        <v>1</v>
      </c>
      <c r="V261" s="1" t="str">
        <f t="shared" si="46"/>
        <v xml:space="preserve"> New Zealand</v>
      </c>
      <c r="W261" s="1" t="str">
        <f t="shared" si="47"/>
        <v>Hamilton</v>
      </c>
      <c r="X261" s="1" t="str">
        <f t="shared" si="48"/>
        <v>No</v>
      </c>
      <c r="Y261" s="1"/>
      <c r="Z261" s="1"/>
    </row>
    <row r="262" spans="1:26" ht="14.25" customHeight="1">
      <c r="A262" s="1"/>
      <c r="B262" s="1">
        <v>243</v>
      </c>
      <c r="C262" s="1" t="s">
        <v>419</v>
      </c>
      <c r="D262" s="1" t="s">
        <v>454</v>
      </c>
      <c r="E262" s="1" t="s">
        <v>148</v>
      </c>
      <c r="F262" s="1" t="s">
        <v>131</v>
      </c>
      <c r="G262" s="1" t="s">
        <v>741</v>
      </c>
      <c r="H262" s="1" t="s">
        <v>24</v>
      </c>
      <c r="I262" s="1" t="s">
        <v>151</v>
      </c>
      <c r="J262" s="1" t="s">
        <v>211</v>
      </c>
      <c r="K262" s="1" t="s">
        <v>105</v>
      </c>
      <c r="L262" s="1"/>
      <c r="M262" s="1"/>
      <c r="N262" s="1" t="str">
        <f t="shared" si="38"/>
        <v>No</v>
      </c>
      <c r="O262" s="1">
        <f t="shared" si="44"/>
        <v>47</v>
      </c>
      <c r="P262" s="1">
        <f t="shared" si="39"/>
        <v>72</v>
      </c>
      <c r="Q262" s="1">
        <f t="shared" si="40"/>
        <v>3</v>
      </c>
      <c r="R262" s="1">
        <f t="shared" si="41"/>
        <v>0</v>
      </c>
      <c r="S262" s="29">
        <f t="shared" si="42"/>
        <v>65.27</v>
      </c>
      <c r="T262" s="1" t="str">
        <f t="shared" si="43"/>
        <v>caught</v>
      </c>
      <c r="U262" s="1" t="str">
        <f t="shared" si="45"/>
        <v>2</v>
      </c>
      <c r="V262" s="1" t="str">
        <f t="shared" si="46"/>
        <v xml:space="preserve"> New Zealand</v>
      </c>
      <c r="W262" s="1" t="str">
        <f t="shared" si="47"/>
        <v>Wellington</v>
      </c>
      <c r="X262" s="1" t="str">
        <f t="shared" si="48"/>
        <v>Yes</v>
      </c>
      <c r="Y262" s="1"/>
      <c r="Z262" s="1"/>
    </row>
    <row r="263" spans="1:26" ht="14.25" customHeight="1">
      <c r="A263" s="1"/>
      <c r="B263" s="1">
        <v>244</v>
      </c>
      <c r="C263" s="1" t="s">
        <v>327</v>
      </c>
      <c r="D263" s="1" t="s">
        <v>356</v>
      </c>
      <c r="E263" s="1" t="s">
        <v>136</v>
      </c>
      <c r="F263" s="1" t="s">
        <v>131</v>
      </c>
      <c r="G263" s="1" t="s">
        <v>742</v>
      </c>
      <c r="H263" s="1" t="s">
        <v>29</v>
      </c>
      <c r="I263" s="1" t="s">
        <v>130</v>
      </c>
      <c r="J263" s="1" t="s">
        <v>234</v>
      </c>
      <c r="K263" s="1" t="s">
        <v>84</v>
      </c>
      <c r="L263" s="1"/>
      <c r="M263" s="1"/>
      <c r="N263" s="1" t="str">
        <f t="shared" si="38"/>
        <v>No</v>
      </c>
      <c r="O263" s="1">
        <f t="shared" si="44"/>
        <v>52</v>
      </c>
      <c r="P263" s="1">
        <f t="shared" si="39"/>
        <v>51</v>
      </c>
      <c r="Q263" s="1">
        <f t="shared" si="40"/>
        <v>6</v>
      </c>
      <c r="R263" s="1">
        <f t="shared" si="41"/>
        <v>0</v>
      </c>
      <c r="S263" s="29">
        <f t="shared" si="42"/>
        <v>101.96</v>
      </c>
      <c r="T263" s="1" t="str">
        <f t="shared" si="43"/>
        <v>bowled</v>
      </c>
      <c r="U263" s="1" t="str">
        <f t="shared" si="45"/>
        <v>1</v>
      </c>
      <c r="V263" s="1" t="str">
        <f t="shared" si="46"/>
        <v xml:space="preserve"> England</v>
      </c>
      <c r="W263" s="1" t="str">
        <f t="shared" si="47"/>
        <v>Cardiff</v>
      </c>
      <c r="X263" s="1" t="str">
        <f t="shared" si="48"/>
        <v>Yes</v>
      </c>
      <c r="Y263" s="1"/>
      <c r="Z263" s="1"/>
    </row>
    <row r="264" spans="1:26" ht="14.25" customHeight="1">
      <c r="A264" s="1"/>
      <c r="B264" s="1">
        <v>245</v>
      </c>
      <c r="C264" s="1" t="s">
        <v>57</v>
      </c>
      <c r="D264" s="1" t="s">
        <v>157</v>
      </c>
      <c r="E264" s="1" t="s">
        <v>157</v>
      </c>
      <c r="F264" s="1" t="s">
        <v>157</v>
      </c>
      <c r="G264" s="1" t="s">
        <v>157</v>
      </c>
      <c r="H264" s="1" t="s">
        <v>157</v>
      </c>
      <c r="I264" s="1" t="s">
        <v>151</v>
      </c>
      <c r="J264" s="1" t="s">
        <v>234</v>
      </c>
      <c r="K264" s="1" t="s">
        <v>108</v>
      </c>
      <c r="L264" s="1"/>
      <c r="M264" s="1"/>
      <c r="N264" s="1" t="str">
        <f t="shared" si="38"/>
        <v>Yes</v>
      </c>
      <c r="O264" s="1" t="str">
        <f t="shared" si="44"/>
        <v>NA</v>
      </c>
      <c r="P264" s="1" t="str">
        <f t="shared" si="39"/>
        <v>NA</v>
      </c>
      <c r="Q264" s="1" t="str">
        <f t="shared" si="40"/>
        <v>NA</v>
      </c>
      <c r="R264" s="1" t="str">
        <f t="shared" si="41"/>
        <v>NA</v>
      </c>
      <c r="S264" s="29" t="str">
        <f t="shared" si="42"/>
        <v>NA</v>
      </c>
      <c r="T264" s="1" t="str">
        <f t="shared" si="43"/>
        <v>NA</v>
      </c>
      <c r="U264" s="1" t="str">
        <f t="shared" si="45"/>
        <v>2</v>
      </c>
      <c r="V264" s="1" t="str">
        <f t="shared" si="46"/>
        <v xml:space="preserve"> England</v>
      </c>
      <c r="W264" s="1" t="str">
        <f t="shared" si="47"/>
        <v>Nottingham</v>
      </c>
      <c r="X264" s="1" t="str">
        <f t="shared" si="48"/>
        <v>No</v>
      </c>
      <c r="Y264" s="1"/>
      <c r="Z264" s="1"/>
    </row>
    <row r="265" spans="1:26" ht="14.25" customHeight="1">
      <c r="A265" s="1"/>
      <c r="B265" s="1">
        <v>246</v>
      </c>
      <c r="C265" s="1" t="s">
        <v>57</v>
      </c>
      <c r="D265" s="1" t="s">
        <v>157</v>
      </c>
      <c r="E265" s="1" t="s">
        <v>157</v>
      </c>
      <c r="F265" s="1" t="s">
        <v>157</v>
      </c>
      <c r="G265" s="1" t="s">
        <v>157</v>
      </c>
      <c r="H265" s="1" t="s">
        <v>157</v>
      </c>
      <c r="I265" s="1" t="s">
        <v>151</v>
      </c>
      <c r="J265" s="1" t="s">
        <v>234</v>
      </c>
      <c r="K265" s="1" t="s">
        <v>99</v>
      </c>
      <c r="L265" s="1"/>
      <c r="M265" s="1"/>
      <c r="N265" s="1" t="str">
        <f t="shared" si="38"/>
        <v>Yes</v>
      </c>
      <c r="O265" s="1" t="str">
        <f t="shared" si="44"/>
        <v>NA</v>
      </c>
      <c r="P265" s="1" t="str">
        <f t="shared" si="39"/>
        <v>NA</v>
      </c>
      <c r="Q265" s="1" t="str">
        <f t="shared" si="40"/>
        <v>NA</v>
      </c>
      <c r="R265" s="1" t="str">
        <f t="shared" si="41"/>
        <v>NA</v>
      </c>
      <c r="S265" s="29" t="str">
        <f t="shared" si="42"/>
        <v>NA</v>
      </c>
      <c r="T265" s="1" t="str">
        <f t="shared" si="43"/>
        <v>NA</v>
      </c>
      <c r="U265" s="1" t="str">
        <f t="shared" si="45"/>
        <v>2</v>
      </c>
      <c r="V265" s="1" t="str">
        <f t="shared" si="46"/>
        <v xml:space="preserve"> England</v>
      </c>
      <c r="W265" s="1" t="str">
        <f t="shared" si="47"/>
        <v>Birmingham</v>
      </c>
      <c r="X265" s="1" t="str">
        <f t="shared" si="48"/>
        <v>No</v>
      </c>
      <c r="Y265" s="1"/>
      <c r="Z265" s="1"/>
    </row>
    <row r="266" spans="1:26" ht="14.25" customHeight="1">
      <c r="A266" s="1"/>
      <c r="B266" s="1">
        <v>247</v>
      </c>
      <c r="C266" s="1" t="s">
        <v>200</v>
      </c>
      <c r="D266" s="1" t="s">
        <v>386</v>
      </c>
      <c r="E266" s="1" t="s">
        <v>130</v>
      </c>
      <c r="F266" s="1" t="s">
        <v>130</v>
      </c>
      <c r="G266" s="1" t="s">
        <v>743</v>
      </c>
      <c r="H266" s="1" t="s">
        <v>24</v>
      </c>
      <c r="I266" s="1" t="s">
        <v>151</v>
      </c>
      <c r="J266" s="1" t="s">
        <v>234</v>
      </c>
      <c r="K266" s="1" t="s">
        <v>109</v>
      </c>
      <c r="L266" s="1"/>
      <c r="M266" s="1"/>
      <c r="N266" s="1" t="str">
        <f t="shared" si="38"/>
        <v>No</v>
      </c>
      <c r="O266" s="1">
        <f t="shared" si="44"/>
        <v>29</v>
      </c>
      <c r="P266" s="1">
        <f t="shared" si="39"/>
        <v>42</v>
      </c>
      <c r="Q266" s="1">
        <f t="shared" si="40"/>
        <v>1</v>
      </c>
      <c r="R266" s="1">
        <f t="shared" si="41"/>
        <v>1</v>
      </c>
      <c r="S266" s="29">
        <f t="shared" si="42"/>
        <v>69.040000000000006</v>
      </c>
      <c r="T266" s="1" t="str">
        <f t="shared" si="43"/>
        <v>caught</v>
      </c>
      <c r="U266" s="1" t="str">
        <f t="shared" si="45"/>
        <v>2</v>
      </c>
      <c r="V266" s="1" t="str">
        <f t="shared" si="46"/>
        <v xml:space="preserve"> England</v>
      </c>
      <c r="W266" s="1" t="str">
        <f t="shared" si="47"/>
        <v>Leeds</v>
      </c>
      <c r="X266" s="1" t="str">
        <f t="shared" si="48"/>
        <v>Yes</v>
      </c>
      <c r="Y266" s="1"/>
      <c r="Z266" s="1"/>
    </row>
    <row r="267" spans="1:26" ht="14.25" customHeight="1">
      <c r="A267" s="1"/>
      <c r="B267" s="1">
        <v>248</v>
      </c>
      <c r="C267" s="1" t="s">
        <v>189</v>
      </c>
      <c r="D267" s="1" t="s">
        <v>246</v>
      </c>
      <c r="E267" s="1" t="s">
        <v>131</v>
      </c>
      <c r="F267" s="1" t="s">
        <v>131</v>
      </c>
      <c r="G267" s="1" t="s">
        <v>744</v>
      </c>
      <c r="H267" s="1" t="s">
        <v>29</v>
      </c>
      <c r="I267" s="1" t="s">
        <v>151</v>
      </c>
      <c r="J267" s="1" t="s">
        <v>163</v>
      </c>
      <c r="K267" s="1" t="s">
        <v>96</v>
      </c>
      <c r="L267" s="1"/>
      <c r="M267" s="1"/>
      <c r="N267" s="1" t="str">
        <f t="shared" si="38"/>
        <v>No</v>
      </c>
      <c r="O267" s="1">
        <f t="shared" si="44"/>
        <v>8</v>
      </c>
      <c r="P267" s="1">
        <f t="shared" si="39"/>
        <v>21</v>
      </c>
      <c r="Q267" s="1">
        <f t="shared" si="40"/>
        <v>0</v>
      </c>
      <c r="R267" s="1">
        <f t="shared" si="41"/>
        <v>0</v>
      </c>
      <c r="S267" s="29">
        <f t="shared" si="42"/>
        <v>38.090000000000003</v>
      </c>
      <c r="T267" s="1" t="str">
        <f t="shared" si="43"/>
        <v>bowled</v>
      </c>
      <c r="U267" s="1" t="str">
        <f t="shared" si="45"/>
        <v>2</v>
      </c>
      <c r="V267" s="1" t="str">
        <f t="shared" si="46"/>
        <v xml:space="preserve"> West Indies</v>
      </c>
      <c r="W267" s="1" t="str">
        <f t="shared" si="47"/>
        <v>Kochi</v>
      </c>
      <c r="X267" s="1" t="str">
        <f t="shared" si="48"/>
        <v>Yes</v>
      </c>
      <c r="Y267" s="1"/>
      <c r="Z267" s="1"/>
    </row>
    <row r="268" spans="1:26" ht="14.25" customHeight="1">
      <c r="A268" s="1"/>
      <c r="B268" s="1">
        <v>249</v>
      </c>
      <c r="C268" s="1" t="s">
        <v>735</v>
      </c>
      <c r="D268" s="1" t="s">
        <v>359</v>
      </c>
      <c r="E268" s="1" t="s">
        <v>202</v>
      </c>
      <c r="F268" s="1" t="s">
        <v>130</v>
      </c>
      <c r="G268" s="1" t="s">
        <v>736</v>
      </c>
      <c r="H268" s="1" t="s">
        <v>32</v>
      </c>
      <c r="I268" s="1" t="s">
        <v>130</v>
      </c>
      <c r="J268" s="1" t="s">
        <v>163</v>
      </c>
      <c r="K268" s="1" t="s">
        <v>52</v>
      </c>
      <c r="L268" s="1"/>
      <c r="M268" s="1"/>
      <c r="N268" s="1" t="str">
        <f t="shared" si="38"/>
        <v>No</v>
      </c>
      <c r="O268" s="1">
        <f t="shared" si="44"/>
        <v>51</v>
      </c>
      <c r="P268" s="1">
        <f t="shared" si="39"/>
        <v>40</v>
      </c>
      <c r="Q268" s="1">
        <f t="shared" si="40"/>
        <v>5</v>
      </c>
      <c r="R268" s="1">
        <f t="shared" si="41"/>
        <v>1</v>
      </c>
      <c r="S268" s="29">
        <f t="shared" si="42"/>
        <v>127.5</v>
      </c>
      <c r="T268" s="1" t="str">
        <f t="shared" si="43"/>
        <v>not out</v>
      </c>
      <c r="U268" s="1" t="str">
        <f t="shared" si="45"/>
        <v>1</v>
      </c>
      <c r="V268" s="1" t="str">
        <f t="shared" si="46"/>
        <v xml:space="preserve"> West Indies</v>
      </c>
      <c r="W268" s="1" t="str">
        <f t="shared" si="47"/>
        <v>Delhi</v>
      </c>
      <c r="X268" s="1" t="str">
        <f t="shared" si="48"/>
        <v>No</v>
      </c>
      <c r="Y268" s="1"/>
      <c r="Z268" s="1"/>
    </row>
    <row r="269" spans="1:26" ht="14.25" customHeight="1">
      <c r="A269" s="1"/>
      <c r="B269" s="1">
        <v>250</v>
      </c>
      <c r="C269" s="1" t="s">
        <v>136</v>
      </c>
      <c r="D269" s="1" t="s">
        <v>202</v>
      </c>
      <c r="E269" s="1" t="s">
        <v>131</v>
      </c>
      <c r="F269" s="1" t="s">
        <v>131</v>
      </c>
      <c r="G269" s="1" t="s">
        <v>349</v>
      </c>
      <c r="H269" s="1" t="s">
        <v>26</v>
      </c>
      <c r="I269" s="1" t="s">
        <v>130</v>
      </c>
      <c r="J269" s="1" t="s">
        <v>163</v>
      </c>
      <c r="K269" s="1" t="s">
        <v>98</v>
      </c>
      <c r="L269" s="1"/>
      <c r="M269" s="1"/>
      <c r="N269" s="1" t="str">
        <f t="shared" si="38"/>
        <v>No</v>
      </c>
      <c r="O269" s="1">
        <f t="shared" si="44"/>
        <v>6</v>
      </c>
      <c r="P269" s="1">
        <f t="shared" si="39"/>
        <v>5</v>
      </c>
      <c r="Q269" s="1">
        <f t="shared" si="40"/>
        <v>0</v>
      </c>
      <c r="R269" s="1">
        <f t="shared" si="41"/>
        <v>0</v>
      </c>
      <c r="S269" s="29">
        <f t="shared" si="42"/>
        <v>120</v>
      </c>
      <c r="T269" s="1" t="str">
        <f t="shared" si="43"/>
        <v>run out</v>
      </c>
      <c r="U269" s="1" t="str">
        <f t="shared" si="45"/>
        <v>1</v>
      </c>
      <c r="V269" s="1" t="str">
        <f t="shared" si="46"/>
        <v xml:space="preserve"> West Indies</v>
      </c>
      <c r="W269" s="1" t="str">
        <f t="shared" si="47"/>
        <v>Dharamsala</v>
      </c>
      <c r="X269" s="1" t="str">
        <f t="shared" si="48"/>
        <v>Yes</v>
      </c>
      <c r="Y269" s="1"/>
      <c r="Z269" s="1"/>
    </row>
    <row r="270" spans="1:26" ht="14.25" customHeight="1">
      <c r="A270" s="1"/>
      <c r="B270" s="1">
        <v>251</v>
      </c>
      <c r="C270" s="1" t="s">
        <v>170</v>
      </c>
      <c r="D270" s="1" t="s">
        <v>146</v>
      </c>
      <c r="E270" s="1" t="s">
        <v>151</v>
      </c>
      <c r="F270" s="1" t="s">
        <v>131</v>
      </c>
      <c r="G270" s="1" t="s">
        <v>738</v>
      </c>
      <c r="H270" s="1" t="s">
        <v>29</v>
      </c>
      <c r="I270" s="1" t="s">
        <v>130</v>
      </c>
      <c r="J270" s="1" t="s">
        <v>158</v>
      </c>
      <c r="K270" s="1" t="s">
        <v>88</v>
      </c>
      <c r="L270" s="1"/>
      <c r="M270" s="1"/>
      <c r="N270" s="1" t="str">
        <f t="shared" si="38"/>
        <v>No</v>
      </c>
      <c r="O270" s="1">
        <f t="shared" si="44"/>
        <v>19</v>
      </c>
      <c r="P270" s="1">
        <f t="shared" si="39"/>
        <v>31</v>
      </c>
      <c r="Q270" s="1">
        <f t="shared" si="40"/>
        <v>2</v>
      </c>
      <c r="R270" s="1">
        <f t="shared" si="41"/>
        <v>0</v>
      </c>
      <c r="S270" s="29">
        <f t="shared" si="42"/>
        <v>61.29</v>
      </c>
      <c r="T270" s="1" t="str">
        <f t="shared" si="43"/>
        <v>bowled</v>
      </c>
      <c r="U270" s="1" t="str">
        <f t="shared" si="45"/>
        <v>1</v>
      </c>
      <c r="V270" s="1" t="str">
        <f t="shared" si="46"/>
        <v xml:space="preserve"> Australia</v>
      </c>
      <c r="W270" s="1" t="str">
        <f t="shared" si="47"/>
        <v>Melbourne</v>
      </c>
      <c r="X270" s="1" t="str">
        <f t="shared" si="48"/>
        <v>Yes</v>
      </c>
      <c r="Y270" s="1"/>
      <c r="Z270" s="1"/>
    </row>
    <row r="271" spans="1:26" ht="14.25" customHeight="1">
      <c r="A271" s="1"/>
      <c r="B271" s="1">
        <v>252</v>
      </c>
      <c r="C271" s="1" t="s">
        <v>208</v>
      </c>
      <c r="D271" s="1" t="s">
        <v>334</v>
      </c>
      <c r="E271" s="1" t="s">
        <v>130</v>
      </c>
      <c r="F271" s="1" t="s">
        <v>131</v>
      </c>
      <c r="G271" s="1" t="s">
        <v>745</v>
      </c>
      <c r="H271" s="1" t="s">
        <v>24</v>
      </c>
      <c r="I271" s="1" t="s">
        <v>130</v>
      </c>
      <c r="J271" s="1" t="s">
        <v>234</v>
      </c>
      <c r="K271" s="1" t="s">
        <v>91</v>
      </c>
      <c r="L271" s="1"/>
      <c r="M271" s="1"/>
      <c r="N271" s="1" t="str">
        <f t="shared" si="38"/>
        <v>No</v>
      </c>
      <c r="O271" s="1">
        <f t="shared" si="44"/>
        <v>34</v>
      </c>
      <c r="P271" s="1">
        <f t="shared" si="39"/>
        <v>61</v>
      </c>
      <c r="Q271" s="1">
        <f t="shared" si="40"/>
        <v>1</v>
      </c>
      <c r="R271" s="1">
        <f t="shared" si="41"/>
        <v>0</v>
      </c>
      <c r="S271" s="29">
        <f t="shared" si="42"/>
        <v>55.73</v>
      </c>
      <c r="T271" s="1" t="str">
        <f t="shared" si="43"/>
        <v>caught</v>
      </c>
      <c r="U271" s="1" t="str">
        <f t="shared" si="45"/>
        <v>1</v>
      </c>
      <c r="V271" s="1" t="str">
        <f t="shared" si="46"/>
        <v xml:space="preserve"> England</v>
      </c>
      <c r="W271" s="1" t="str">
        <f t="shared" si="47"/>
        <v>Brisbane</v>
      </c>
      <c r="X271" s="1" t="str">
        <f t="shared" si="48"/>
        <v>Yes</v>
      </c>
      <c r="Y271" s="1"/>
      <c r="Z271" s="1"/>
    </row>
    <row r="272" spans="1:26" ht="14.25" customHeight="1">
      <c r="A272" s="1"/>
      <c r="B272" s="1">
        <v>253</v>
      </c>
      <c r="C272" s="1" t="s">
        <v>57</v>
      </c>
      <c r="D272" s="1" t="s">
        <v>157</v>
      </c>
      <c r="E272" s="1" t="s">
        <v>157</v>
      </c>
      <c r="F272" s="1" t="s">
        <v>157</v>
      </c>
      <c r="G272" s="1" t="s">
        <v>157</v>
      </c>
      <c r="H272" s="1" t="s">
        <v>157</v>
      </c>
      <c r="I272" s="1" t="s">
        <v>130</v>
      </c>
      <c r="J272" s="1" t="s">
        <v>158</v>
      </c>
      <c r="K272" s="1" t="s">
        <v>92</v>
      </c>
      <c r="L272" s="1"/>
      <c r="M272" s="1"/>
      <c r="N272" s="1" t="str">
        <f t="shared" si="38"/>
        <v>Yes</v>
      </c>
      <c r="O272" s="1" t="str">
        <f t="shared" si="44"/>
        <v>NA</v>
      </c>
      <c r="P272" s="1" t="str">
        <f t="shared" si="39"/>
        <v>NA</v>
      </c>
      <c r="Q272" s="1" t="str">
        <f t="shared" si="40"/>
        <v>NA</v>
      </c>
      <c r="R272" s="1" t="str">
        <f t="shared" si="41"/>
        <v>NA</v>
      </c>
      <c r="S272" s="29" t="str">
        <f t="shared" si="42"/>
        <v>NA</v>
      </c>
      <c r="T272" s="1" t="str">
        <f t="shared" si="43"/>
        <v>NA</v>
      </c>
      <c r="U272" s="1" t="str">
        <f t="shared" si="45"/>
        <v>1</v>
      </c>
      <c r="V272" s="1" t="str">
        <f t="shared" si="46"/>
        <v xml:space="preserve"> Australia</v>
      </c>
      <c r="W272" s="1" t="str">
        <f t="shared" si="47"/>
        <v>Sydney</v>
      </c>
      <c r="X272" s="1" t="str">
        <f t="shared" si="48"/>
        <v>No</v>
      </c>
      <c r="Y272" s="1"/>
      <c r="Z272" s="1"/>
    </row>
    <row r="273" spans="1:26" ht="14.25" customHeight="1">
      <c r="A273" s="1"/>
      <c r="B273" s="1">
        <v>254</v>
      </c>
      <c r="C273" s="1" t="s">
        <v>306</v>
      </c>
      <c r="D273" s="1" t="s">
        <v>521</v>
      </c>
      <c r="E273" s="1" t="s">
        <v>148</v>
      </c>
      <c r="F273" s="1" t="s">
        <v>131</v>
      </c>
      <c r="G273" s="1" t="s">
        <v>746</v>
      </c>
      <c r="H273" s="1" t="s">
        <v>19</v>
      </c>
      <c r="I273" s="1" t="s">
        <v>130</v>
      </c>
      <c r="J273" s="1" t="s">
        <v>234</v>
      </c>
      <c r="K273" s="1" t="s">
        <v>89</v>
      </c>
      <c r="L273" s="1"/>
      <c r="M273" s="1"/>
      <c r="N273" s="1" t="str">
        <f t="shared" si="38"/>
        <v>No</v>
      </c>
      <c r="O273" s="1">
        <f t="shared" si="44"/>
        <v>17</v>
      </c>
      <c r="P273" s="1">
        <f t="shared" si="39"/>
        <v>32</v>
      </c>
      <c r="Q273" s="1">
        <f t="shared" si="40"/>
        <v>3</v>
      </c>
      <c r="R273" s="1">
        <f t="shared" si="41"/>
        <v>0</v>
      </c>
      <c r="S273" s="29">
        <f t="shared" si="42"/>
        <v>53.12</v>
      </c>
      <c r="T273" s="1" t="str">
        <f t="shared" si="43"/>
        <v>lbw</v>
      </c>
      <c r="U273" s="1" t="str">
        <f t="shared" si="45"/>
        <v>1</v>
      </c>
      <c r="V273" s="1" t="str">
        <f t="shared" si="46"/>
        <v xml:space="preserve"> England</v>
      </c>
      <c r="W273" s="1" t="str">
        <f t="shared" si="47"/>
        <v>W.A.C.A</v>
      </c>
      <c r="X273" s="1" t="str">
        <f t="shared" si="48"/>
        <v>Yes</v>
      </c>
      <c r="Y273" s="1"/>
      <c r="Z273" s="1"/>
    </row>
    <row r="274" spans="1:26" ht="14.25" customHeight="1">
      <c r="A274" s="1"/>
      <c r="B274" s="1">
        <v>255</v>
      </c>
      <c r="C274" s="1" t="s">
        <v>199</v>
      </c>
      <c r="D274" s="1" t="s">
        <v>325</v>
      </c>
      <c r="E274" s="1" t="s">
        <v>130</v>
      </c>
      <c r="F274" s="1" t="s">
        <v>130</v>
      </c>
      <c r="G274" s="1" t="s">
        <v>586</v>
      </c>
      <c r="H274" s="1" t="s">
        <v>24</v>
      </c>
      <c r="I274" s="1" t="s">
        <v>130</v>
      </c>
      <c r="J274" s="1" t="s">
        <v>156</v>
      </c>
      <c r="K274" s="1" t="s">
        <v>90</v>
      </c>
      <c r="L274" s="1"/>
      <c r="M274" s="1"/>
      <c r="N274" s="1" t="str">
        <f t="shared" si="38"/>
        <v>No</v>
      </c>
      <c r="O274" s="1">
        <f t="shared" si="44"/>
        <v>18</v>
      </c>
      <c r="P274" s="1">
        <f t="shared" si="39"/>
        <v>13</v>
      </c>
      <c r="Q274" s="1">
        <f t="shared" si="40"/>
        <v>1</v>
      </c>
      <c r="R274" s="1">
        <f t="shared" si="41"/>
        <v>1</v>
      </c>
      <c r="S274" s="29">
        <f t="shared" si="42"/>
        <v>138.46</v>
      </c>
      <c r="T274" s="1" t="str">
        <f t="shared" si="43"/>
        <v>caught</v>
      </c>
      <c r="U274" s="1" t="str">
        <f t="shared" si="45"/>
        <v>1</v>
      </c>
      <c r="V274" s="1" t="str">
        <f t="shared" si="46"/>
        <v xml:space="preserve"> Pakistan</v>
      </c>
      <c r="W274" s="1" t="str">
        <f t="shared" si="47"/>
        <v>Adelaide</v>
      </c>
      <c r="X274" s="1" t="str">
        <f t="shared" si="48"/>
        <v>Yes</v>
      </c>
      <c r="Y274" s="1"/>
      <c r="Z274" s="1"/>
    </row>
    <row r="275" spans="1:26" ht="14.25" customHeight="1">
      <c r="A275" s="1"/>
      <c r="B275" s="1">
        <v>256</v>
      </c>
      <c r="C275" s="1" t="s">
        <v>199</v>
      </c>
      <c r="D275" s="1" t="s">
        <v>176</v>
      </c>
      <c r="E275" s="1" t="s">
        <v>148</v>
      </c>
      <c r="F275" s="1" t="s">
        <v>131</v>
      </c>
      <c r="G275" s="1" t="s">
        <v>579</v>
      </c>
      <c r="H275" s="1" t="s">
        <v>24</v>
      </c>
      <c r="I275" s="1" t="s">
        <v>130</v>
      </c>
      <c r="J275" s="1" t="s">
        <v>191</v>
      </c>
      <c r="K275" s="1" t="s">
        <v>88</v>
      </c>
      <c r="L275" s="1"/>
      <c r="M275" s="1"/>
      <c r="N275" s="1" t="str">
        <f t="shared" si="38"/>
        <v>No</v>
      </c>
      <c r="O275" s="1">
        <f t="shared" si="44"/>
        <v>18</v>
      </c>
      <c r="P275" s="1">
        <f t="shared" si="39"/>
        <v>11</v>
      </c>
      <c r="Q275" s="1">
        <f t="shared" si="40"/>
        <v>3</v>
      </c>
      <c r="R275" s="1">
        <f t="shared" si="41"/>
        <v>0</v>
      </c>
      <c r="S275" s="29">
        <f t="shared" si="42"/>
        <v>163.63</v>
      </c>
      <c r="T275" s="1" t="str">
        <f t="shared" si="43"/>
        <v>caught</v>
      </c>
      <c r="U275" s="1" t="str">
        <f t="shared" si="45"/>
        <v>1</v>
      </c>
      <c r="V275" s="1" t="str">
        <f t="shared" si="46"/>
        <v xml:space="preserve"> South Africa</v>
      </c>
      <c r="W275" s="1" t="str">
        <f t="shared" si="47"/>
        <v>Melbourne</v>
      </c>
      <c r="X275" s="1" t="str">
        <f t="shared" si="48"/>
        <v>Yes</v>
      </c>
      <c r="Y275" s="1"/>
      <c r="Z275" s="1"/>
    </row>
    <row r="276" spans="1:26" ht="14.25" customHeight="1">
      <c r="A276" s="1"/>
      <c r="B276" s="1">
        <v>257</v>
      </c>
      <c r="C276" s="1" t="s">
        <v>57</v>
      </c>
      <c r="D276" s="1" t="s">
        <v>157</v>
      </c>
      <c r="E276" s="1" t="s">
        <v>157</v>
      </c>
      <c r="F276" s="1" t="s">
        <v>157</v>
      </c>
      <c r="G276" s="1" t="s">
        <v>157</v>
      </c>
      <c r="H276" s="1" t="s">
        <v>157</v>
      </c>
      <c r="I276" s="1" t="s">
        <v>151</v>
      </c>
      <c r="J276" s="1" t="s">
        <v>383</v>
      </c>
      <c r="K276" s="1" t="s">
        <v>89</v>
      </c>
      <c r="L276" s="1"/>
      <c r="M276" s="1"/>
      <c r="N276" s="1" t="str">
        <f t="shared" ref="N276:N339" si="49">IF(OR(C276="DNB",C276="TDNB"),"Yes","No")</f>
        <v>Yes</v>
      </c>
      <c r="O276" s="1" t="str">
        <f t="shared" si="44"/>
        <v>NA</v>
      </c>
      <c r="P276" s="1" t="str">
        <f t="shared" ref="P276:P339" si="50">IF(D276="-","NA",D276*1)</f>
        <v>NA</v>
      </c>
      <c r="Q276" s="1" t="str">
        <f t="shared" ref="Q276:Q339" si="51">IF(E276="-","NA",E276*1)</f>
        <v>NA</v>
      </c>
      <c r="R276" s="1" t="str">
        <f t="shared" ref="R276:R339" si="52">IF(F276="-","NA",F276*1)</f>
        <v>NA</v>
      </c>
      <c r="S276" s="29" t="str">
        <f t="shared" ref="S276:S339" si="53">IF(G276="-","NA",G276*1)</f>
        <v>NA</v>
      </c>
      <c r="T276" s="1" t="str">
        <f t="shared" ref="T276:T339" si="54">IF(H276="-","NA",H276)</f>
        <v>NA</v>
      </c>
      <c r="U276" s="1" t="str">
        <f t="shared" si="45"/>
        <v>2</v>
      </c>
      <c r="V276" s="1" t="str">
        <f t="shared" si="46"/>
        <v xml:space="preserve"> U.A.E.</v>
      </c>
      <c r="W276" s="1" t="str">
        <f t="shared" si="47"/>
        <v>W.A.C.A</v>
      </c>
      <c r="X276" s="1" t="str">
        <f t="shared" si="48"/>
        <v>No</v>
      </c>
      <c r="Y276" s="1"/>
      <c r="Z276" s="1"/>
    </row>
    <row r="277" spans="1:26" ht="14.25" customHeight="1">
      <c r="A277" s="1"/>
      <c r="B277" s="1">
        <v>258</v>
      </c>
      <c r="C277" s="1" t="s">
        <v>554</v>
      </c>
      <c r="D277" s="1" t="s">
        <v>452</v>
      </c>
      <c r="E277" s="1" t="s">
        <v>148</v>
      </c>
      <c r="F277" s="1" t="s">
        <v>130</v>
      </c>
      <c r="G277" s="1" t="s">
        <v>453</v>
      </c>
      <c r="H277" s="1" t="s">
        <v>32</v>
      </c>
      <c r="I277" s="1" t="s">
        <v>151</v>
      </c>
      <c r="J277" s="1" t="s">
        <v>163</v>
      </c>
      <c r="K277" s="1" t="s">
        <v>89</v>
      </c>
      <c r="L277" s="1"/>
      <c r="M277" s="1"/>
      <c r="N277" s="1" t="str">
        <f t="shared" si="49"/>
        <v>No</v>
      </c>
      <c r="O277" s="1">
        <f t="shared" ref="O277:O340" si="55">IF(N277="Yes", "NA",SUBSTITUTE(C277,"*","")*1)</f>
        <v>45</v>
      </c>
      <c r="P277" s="1">
        <f t="shared" si="50"/>
        <v>56</v>
      </c>
      <c r="Q277" s="1">
        <f t="shared" si="51"/>
        <v>3</v>
      </c>
      <c r="R277" s="1">
        <f t="shared" si="52"/>
        <v>1</v>
      </c>
      <c r="S277" s="29">
        <f t="shared" si="53"/>
        <v>80.349999999999994</v>
      </c>
      <c r="T277" s="1" t="str">
        <f t="shared" si="54"/>
        <v>not out</v>
      </c>
      <c r="U277" s="1" t="str">
        <f t="shared" ref="U277:U340" si="56">I277</f>
        <v>2</v>
      </c>
      <c r="V277" s="1" t="str">
        <f t="shared" ref="V277:V340" si="57">SUBSTITUTE(J277,"v","")</f>
        <v xml:space="preserve"> West Indies</v>
      </c>
      <c r="W277" s="1" t="str">
        <f t="shared" ref="W277:W340" si="58">K277</f>
        <v>W.A.C.A</v>
      </c>
      <c r="X277" s="1" t="str">
        <f t="shared" ref="X277:X340" si="59">IF(N277="Yes","No",IF(T277="not out","No","Yes"))</f>
        <v>No</v>
      </c>
      <c r="Y277" s="1"/>
      <c r="Z277" s="1"/>
    </row>
    <row r="278" spans="1:26" ht="14.25" customHeight="1">
      <c r="A278" s="1"/>
      <c r="B278" s="1">
        <v>259</v>
      </c>
      <c r="C278" s="1" t="s">
        <v>57</v>
      </c>
      <c r="D278" s="1" t="s">
        <v>157</v>
      </c>
      <c r="E278" s="1" t="s">
        <v>157</v>
      </c>
      <c r="F278" s="1" t="s">
        <v>157</v>
      </c>
      <c r="G278" s="1" t="s">
        <v>157</v>
      </c>
      <c r="H278" s="1" t="s">
        <v>157</v>
      </c>
      <c r="I278" s="1" t="s">
        <v>151</v>
      </c>
      <c r="J278" s="1" t="s">
        <v>237</v>
      </c>
      <c r="K278" s="1" t="s">
        <v>103</v>
      </c>
      <c r="L278" s="1"/>
      <c r="M278" s="1"/>
      <c r="N278" s="1" t="str">
        <f t="shared" si="49"/>
        <v>Yes</v>
      </c>
      <c r="O278" s="1" t="str">
        <f t="shared" si="55"/>
        <v>NA</v>
      </c>
      <c r="P278" s="1" t="str">
        <f t="shared" si="50"/>
        <v>NA</v>
      </c>
      <c r="Q278" s="1" t="str">
        <f t="shared" si="51"/>
        <v>NA</v>
      </c>
      <c r="R278" s="1" t="str">
        <f t="shared" si="52"/>
        <v>NA</v>
      </c>
      <c r="S278" s="29" t="str">
        <f t="shared" si="53"/>
        <v>NA</v>
      </c>
      <c r="T278" s="1" t="str">
        <f t="shared" si="54"/>
        <v>NA</v>
      </c>
      <c r="U278" s="1" t="str">
        <f t="shared" si="56"/>
        <v>2</v>
      </c>
      <c r="V278" s="1" t="str">
        <f t="shared" si="57"/>
        <v xml:space="preserve"> Ireland</v>
      </c>
      <c r="W278" s="1" t="str">
        <f t="shared" si="58"/>
        <v>Hamilton</v>
      </c>
      <c r="X278" s="1" t="str">
        <f t="shared" si="59"/>
        <v>No</v>
      </c>
      <c r="Y278" s="1"/>
      <c r="Z278" s="1"/>
    </row>
    <row r="279" spans="1:26" ht="14.25" customHeight="1">
      <c r="A279" s="1"/>
      <c r="B279" s="1">
        <v>260</v>
      </c>
      <c r="C279" s="1" t="s">
        <v>399</v>
      </c>
      <c r="D279" s="1" t="s">
        <v>242</v>
      </c>
      <c r="E279" s="1" t="s">
        <v>189</v>
      </c>
      <c r="F279" s="1" t="s">
        <v>151</v>
      </c>
      <c r="G279" s="1" t="s">
        <v>747</v>
      </c>
      <c r="H279" s="1" t="s">
        <v>32</v>
      </c>
      <c r="I279" s="1" t="s">
        <v>151</v>
      </c>
      <c r="J279" s="1" t="s">
        <v>195</v>
      </c>
      <c r="K279" s="1" t="s">
        <v>104</v>
      </c>
      <c r="L279" s="1"/>
      <c r="M279" s="1"/>
      <c r="N279" s="1" t="str">
        <f t="shared" si="49"/>
        <v>No</v>
      </c>
      <c r="O279" s="1">
        <f t="shared" si="55"/>
        <v>85</v>
      </c>
      <c r="P279" s="1">
        <f t="shared" si="50"/>
        <v>76</v>
      </c>
      <c r="Q279" s="1">
        <f t="shared" si="51"/>
        <v>8</v>
      </c>
      <c r="R279" s="1">
        <f t="shared" si="52"/>
        <v>2</v>
      </c>
      <c r="S279" s="29">
        <f t="shared" si="53"/>
        <v>111.84</v>
      </c>
      <c r="T279" s="1" t="str">
        <f t="shared" si="54"/>
        <v>not out</v>
      </c>
      <c r="U279" s="1" t="str">
        <f t="shared" si="56"/>
        <v>2</v>
      </c>
      <c r="V279" s="1" t="str">
        <f t="shared" si="57"/>
        <v xml:space="preserve"> Zimbabwe</v>
      </c>
      <c r="W279" s="1" t="str">
        <f t="shared" si="58"/>
        <v>Auckland</v>
      </c>
      <c r="X279" s="1" t="str">
        <f t="shared" si="59"/>
        <v>No</v>
      </c>
      <c r="Y279" s="1"/>
      <c r="Z279" s="1"/>
    </row>
    <row r="280" spans="1:26" ht="14.25" customHeight="1">
      <c r="A280" s="1"/>
      <c r="B280" s="1">
        <v>261</v>
      </c>
      <c r="C280" s="1" t="s">
        <v>136</v>
      </c>
      <c r="D280" s="1" t="s">
        <v>176</v>
      </c>
      <c r="E280" s="1" t="s">
        <v>131</v>
      </c>
      <c r="F280" s="1" t="s">
        <v>131</v>
      </c>
      <c r="G280" s="1" t="s">
        <v>132</v>
      </c>
      <c r="H280" s="1" t="s">
        <v>24</v>
      </c>
      <c r="I280" s="1" t="s">
        <v>130</v>
      </c>
      <c r="J280" s="1" t="s">
        <v>182</v>
      </c>
      <c r="K280" s="1" t="s">
        <v>88</v>
      </c>
      <c r="L280" s="1"/>
      <c r="M280" s="1"/>
      <c r="N280" s="1" t="str">
        <f t="shared" si="49"/>
        <v>No</v>
      </c>
      <c r="O280" s="1">
        <f t="shared" si="55"/>
        <v>6</v>
      </c>
      <c r="P280" s="1">
        <f t="shared" si="50"/>
        <v>11</v>
      </c>
      <c r="Q280" s="1">
        <f t="shared" si="51"/>
        <v>0</v>
      </c>
      <c r="R280" s="1">
        <f t="shared" si="52"/>
        <v>0</v>
      </c>
      <c r="S280" s="29">
        <f t="shared" si="53"/>
        <v>54.54</v>
      </c>
      <c r="T280" s="1" t="str">
        <f t="shared" si="54"/>
        <v>caught</v>
      </c>
      <c r="U280" s="1" t="str">
        <f t="shared" si="56"/>
        <v>1</v>
      </c>
      <c r="V280" s="1" t="str">
        <f t="shared" si="57"/>
        <v xml:space="preserve"> Bangladesh</v>
      </c>
      <c r="W280" s="1" t="str">
        <f t="shared" si="58"/>
        <v>Melbourne</v>
      </c>
      <c r="X280" s="1" t="str">
        <f t="shared" si="59"/>
        <v>Yes</v>
      </c>
      <c r="Y280" s="1"/>
      <c r="Z280" s="1"/>
    </row>
    <row r="281" spans="1:26" ht="14.25" customHeight="1">
      <c r="A281" s="1"/>
      <c r="B281" s="1">
        <v>262</v>
      </c>
      <c r="C281" s="1" t="s">
        <v>172</v>
      </c>
      <c r="D281" s="1" t="s">
        <v>172</v>
      </c>
      <c r="E281" s="1" t="s">
        <v>148</v>
      </c>
      <c r="F281" s="1" t="s">
        <v>151</v>
      </c>
      <c r="G281" s="1" t="s">
        <v>152</v>
      </c>
      <c r="H281" s="1" t="s">
        <v>26</v>
      </c>
      <c r="I281" s="1" t="s">
        <v>151</v>
      </c>
      <c r="J281" s="1" t="s">
        <v>158</v>
      </c>
      <c r="K281" s="1" t="s">
        <v>92</v>
      </c>
      <c r="L281" s="1"/>
      <c r="M281" s="1"/>
      <c r="N281" s="1" t="str">
        <f t="shared" si="49"/>
        <v>No</v>
      </c>
      <c r="O281" s="1">
        <f t="shared" si="55"/>
        <v>65</v>
      </c>
      <c r="P281" s="1">
        <f t="shared" si="50"/>
        <v>65</v>
      </c>
      <c r="Q281" s="1">
        <f t="shared" si="51"/>
        <v>3</v>
      </c>
      <c r="R281" s="1">
        <f t="shared" si="52"/>
        <v>2</v>
      </c>
      <c r="S281" s="29">
        <f t="shared" si="53"/>
        <v>100</v>
      </c>
      <c r="T281" s="1" t="str">
        <f t="shared" si="54"/>
        <v>run out</v>
      </c>
      <c r="U281" s="1" t="str">
        <f t="shared" si="56"/>
        <v>2</v>
      </c>
      <c r="V281" s="1" t="str">
        <f t="shared" si="57"/>
        <v xml:space="preserve"> Australia</v>
      </c>
      <c r="W281" s="1" t="str">
        <f t="shared" si="58"/>
        <v>Sydney</v>
      </c>
      <c r="X281" s="1" t="str">
        <f t="shared" si="59"/>
        <v>Yes</v>
      </c>
      <c r="Y281" s="1"/>
      <c r="Z281" s="1"/>
    </row>
    <row r="282" spans="1:26" ht="14.25" customHeight="1">
      <c r="A282" s="1"/>
      <c r="B282" s="1">
        <v>263</v>
      </c>
      <c r="C282" s="1" t="s">
        <v>202</v>
      </c>
      <c r="D282" s="1" t="s">
        <v>144</v>
      </c>
      <c r="E282" s="1" t="s">
        <v>131</v>
      </c>
      <c r="F282" s="1" t="s">
        <v>131</v>
      </c>
      <c r="G282" s="1" t="s">
        <v>206</v>
      </c>
      <c r="H282" s="1" t="s">
        <v>24</v>
      </c>
      <c r="I282" s="1" t="s">
        <v>151</v>
      </c>
      <c r="J282" s="1" t="s">
        <v>182</v>
      </c>
      <c r="K282" s="1" t="s">
        <v>53</v>
      </c>
      <c r="L282" s="1"/>
      <c r="M282" s="1"/>
      <c r="N282" s="1" t="str">
        <f t="shared" si="49"/>
        <v>No</v>
      </c>
      <c r="O282" s="1">
        <f t="shared" si="55"/>
        <v>5</v>
      </c>
      <c r="P282" s="1">
        <f t="shared" si="50"/>
        <v>7</v>
      </c>
      <c r="Q282" s="1">
        <f t="shared" si="51"/>
        <v>0</v>
      </c>
      <c r="R282" s="1">
        <f t="shared" si="52"/>
        <v>0</v>
      </c>
      <c r="S282" s="29">
        <f t="shared" si="53"/>
        <v>71.42</v>
      </c>
      <c r="T282" s="1" t="str">
        <f t="shared" si="54"/>
        <v>caught</v>
      </c>
      <c r="U282" s="1" t="str">
        <f t="shared" si="56"/>
        <v>2</v>
      </c>
      <c r="V282" s="1" t="str">
        <f t="shared" si="57"/>
        <v xml:space="preserve"> Bangladesh</v>
      </c>
      <c r="W282" s="1" t="str">
        <f t="shared" si="58"/>
        <v>Mirpur</v>
      </c>
      <c r="X282" s="1" t="str">
        <f t="shared" si="59"/>
        <v>Yes</v>
      </c>
      <c r="Y282" s="1"/>
      <c r="Z282" s="1"/>
    </row>
    <row r="283" spans="1:26" ht="14.25" customHeight="1">
      <c r="A283" s="1"/>
      <c r="B283" s="1">
        <v>264</v>
      </c>
      <c r="C283" s="1" t="s">
        <v>419</v>
      </c>
      <c r="D283" s="1" t="s">
        <v>447</v>
      </c>
      <c r="E283" s="1" t="s">
        <v>148</v>
      </c>
      <c r="F283" s="1" t="s">
        <v>131</v>
      </c>
      <c r="G283" s="1" t="s">
        <v>748</v>
      </c>
      <c r="H283" s="1" t="s">
        <v>24</v>
      </c>
      <c r="I283" s="1" t="s">
        <v>130</v>
      </c>
      <c r="J283" s="1" t="s">
        <v>182</v>
      </c>
      <c r="K283" s="1" t="s">
        <v>53</v>
      </c>
      <c r="L283" s="1"/>
      <c r="M283" s="1"/>
      <c r="N283" s="1" t="str">
        <f t="shared" si="49"/>
        <v>No</v>
      </c>
      <c r="O283" s="1">
        <f t="shared" si="55"/>
        <v>47</v>
      </c>
      <c r="P283" s="1">
        <f t="shared" si="50"/>
        <v>75</v>
      </c>
      <c r="Q283" s="1">
        <f t="shared" si="51"/>
        <v>3</v>
      </c>
      <c r="R283" s="1">
        <f t="shared" si="52"/>
        <v>0</v>
      </c>
      <c r="S283" s="29">
        <f t="shared" si="53"/>
        <v>62.66</v>
      </c>
      <c r="T283" s="1" t="str">
        <f t="shared" si="54"/>
        <v>caught</v>
      </c>
      <c r="U283" s="1" t="str">
        <f t="shared" si="56"/>
        <v>1</v>
      </c>
      <c r="V283" s="1" t="str">
        <f t="shared" si="57"/>
        <v xml:space="preserve"> Bangladesh</v>
      </c>
      <c r="W283" s="1" t="str">
        <f t="shared" si="58"/>
        <v>Mirpur</v>
      </c>
      <c r="X283" s="1" t="str">
        <f t="shared" si="59"/>
        <v>Yes</v>
      </c>
      <c r="Y283" s="1"/>
      <c r="Z283" s="1"/>
    </row>
    <row r="284" spans="1:26" ht="14.25" customHeight="1">
      <c r="A284" s="1"/>
      <c r="B284" s="1">
        <v>265</v>
      </c>
      <c r="C284" s="1" t="s">
        <v>701</v>
      </c>
      <c r="D284" s="1" t="s">
        <v>280</v>
      </c>
      <c r="E284" s="1" t="s">
        <v>136</v>
      </c>
      <c r="F284" s="1" t="s">
        <v>130</v>
      </c>
      <c r="G284" s="1" t="s">
        <v>749</v>
      </c>
      <c r="H284" s="1" t="s">
        <v>24</v>
      </c>
      <c r="I284" s="1" t="s">
        <v>130</v>
      </c>
      <c r="J284" s="1" t="s">
        <v>182</v>
      </c>
      <c r="K284" s="1" t="s">
        <v>53</v>
      </c>
      <c r="L284" s="1"/>
      <c r="M284" s="1"/>
      <c r="N284" s="1" t="str">
        <f t="shared" si="49"/>
        <v>No</v>
      </c>
      <c r="O284" s="1">
        <f t="shared" si="55"/>
        <v>69</v>
      </c>
      <c r="P284" s="1">
        <f t="shared" si="50"/>
        <v>77</v>
      </c>
      <c r="Q284" s="1">
        <f t="shared" si="51"/>
        <v>6</v>
      </c>
      <c r="R284" s="1">
        <f t="shared" si="52"/>
        <v>1</v>
      </c>
      <c r="S284" s="29">
        <f t="shared" si="53"/>
        <v>89.61</v>
      </c>
      <c r="T284" s="1" t="str">
        <f t="shared" si="54"/>
        <v>caught</v>
      </c>
      <c r="U284" s="1" t="str">
        <f t="shared" si="56"/>
        <v>1</v>
      </c>
      <c r="V284" s="1" t="str">
        <f t="shared" si="57"/>
        <v xml:space="preserve"> Bangladesh</v>
      </c>
      <c r="W284" s="1" t="str">
        <f t="shared" si="58"/>
        <v>Mirpur</v>
      </c>
      <c r="X284" s="1" t="str">
        <f t="shared" si="59"/>
        <v>Yes</v>
      </c>
      <c r="Y284" s="1"/>
      <c r="Z284" s="1"/>
    </row>
    <row r="285" spans="1:26" ht="14.25" customHeight="1">
      <c r="A285" s="1"/>
      <c r="B285" s="1">
        <v>266</v>
      </c>
      <c r="C285" s="1" t="s">
        <v>146</v>
      </c>
      <c r="D285" s="1" t="s">
        <v>164</v>
      </c>
      <c r="E285" s="1" t="s">
        <v>130</v>
      </c>
      <c r="F285" s="1" t="s">
        <v>131</v>
      </c>
      <c r="G285" s="1" t="s">
        <v>750</v>
      </c>
      <c r="H285" s="1" t="s">
        <v>24</v>
      </c>
      <c r="I285" s="1" t="s">
        <v>151</v>
      </c>
      <c r="J285" s="1" t="s">
        <v>191</v>
      </c>
      <c r="K285" s="1" t="s">
        <v>101</v>
      </c>
      <c r="L285" s="1"/>
      <c r="M285" s="1"/>
      <c r="N285" s="1" t="str">
        <f t="shared" si="49"/>
        <v>No</v>
      </c>
      <c r="O285" s="1">
        <f t="shared" si="55"/>
        <v>31</v>
      </c>
      <c r="P285" s="1">
        <f t="shared" si="50"/>
        <v>30</v>
      </c>
      <c r="Q285" s="1">
        <f t="shared" si="51"/>
        <v>1</v>
      </c>
      <c r="R285" s="1">
        <f t="shared" si="52"/>
        <v>0</v>
      </c>
      <c r="S285" s="29">
        <f t="shared" si="53"/>
        <v>103.33</v>
      </c>
      <c r="T285" s="1" t="str">
        <f t="shared" si="54"/>
        <v>caught</v>
      </c>
      <c r="U285" s="1" t="str">
        <f t="shared" si="56"/>
        <v>2</v>
      </c>
      <c r="V285" s="1" t="str">
        <f t="shared" si="57"/>
        <v xml:space="preserve"> South Africa</v>
      </c>
      <c r="W285" s="1" t="str">
        <f t="shared" si="58"/>
        <v>Kanpur</v>
      </c>
      <c r="X285" s="1" t="str">
        <f t="shared" si="59"/>
        <v>Yes</v>
      </c>
      <c r="Y285" s="1"/>
      <c r="Z285" s="1"/>
    </row>
    <row r="286" spans="1:26" ht="14.25" customHeight="1">
      <c r="A286" s="1"/>
      <c r="B286" s="1">
        <v>267</v>
      </c>
      <c r="C286" s="1" t="s">
        <v>751</v>
      </c>
      <c r="D286" s="1" t="s">
        <v>288</v>
      </c>
      <c r="E286" s="1" t="s">
        <v>144</v>
      </c>
      <c r="F286" s="1" t="s">
        <v>140</v>
      </c>
      <c r="G286" s="1" t="s">
        <v>752</v>
      </c>
      <c r="H286" s="1" t="s">
        <v>32</v>
      </c>
      <c r="I286" s="1" t="s">
        <v>130</v>
      </c>
      <c r="J286" s="1" t="s">
        <v>191</v>
      </c>
      <c r="K286" s="1" t="s">
        <v>87</v>
      </c>
      <c r="L286" s="1"/>
      <c r="M286" s="1"/>
      <c r="N286" s="1" t="str">
        <f t="shared" si="49"/>
        <v>No</v>
      </c>
      <c r="O286" s="1">
        <f t="shared" si="55"/>
        <v>92</v>
      </c>
      <c r="P286" s="1">
        <f t="shared" si="50"/>
        <v>86</v>
      </c>
      <c r="Q286" s="1">
        <f t="shared" si="51"/>
        <v>7</v>
      </c>
      <c r="R286" s="1">
        <f t="shared" si="52"/>
        <v>4</v>
      </c>
      <c r="S286" s="29">
        <f t="shared" si="53"/>
        <v>106.97</v>
      </c>
      <c r="T286" s="1" t="str">
        <f t="shared" si="54"/>
        <v>not out</v>
      </c>
      <c r="U286" s="1" t="str">
        <f t="shared" si="56"/>
        <v>1</v>
      </c>
      <c r="V286" s="1" t="str">
        <f t="shared" si="57"/>
        <v xml:space="preserve"> South Africa</v>
      </c>
      <c r="W286" s="1" t="str">
        <f t="shared" si="58"/>
        <v>Indore</v>
      </c>
      <c r="X286" s="1" t="str">
        <f t="shared" si="59"/>
        <v>No</v>
      </c>
      <c r="Y286" s="1"/>
      <c r="Z286" s="1"/>
    </row>
    <row r="287" spans="1:26" ht="14.25" customHeight="1">
      <c r="A287" s="1"/>
      <c r="B287" s="1">
        <v>268</v>
      </c>
      <c r="C287" s="1" t="s">
        <v>419</v>
      </c>
      <c r="D287" s="1" t="s">
        <v>334</v>
      </c>
      <c r="E287" s="1" t="s">
        <v>202</v>
      </c>
      <c r="F287" s="1" t="s">
        <v>131</v>
      </c>
      <c r="G287" s="1" t="s">
        <v>753</v>
      </c>
      <c r="H287" s="1" t="s">
        <v>24</v>
      </c>
      <c r="I287" s="1" t="s">
        <v>151</v>
      </c>
      <c r="J287" s="1" t="s">
        <v>191</v>
      </c>
      <c r="K287" s="1" t="s">
        <v>48</v>
      </c>
      <c r="L287" s="1"/>
      <c r="M287" s="1"/>
      <c r="N287" s="1" t="str">
        <f t="shared" si="49"/>
        <v>No</v>
      </c>
      <c r="O287" s="1">
        <f t="shared" si="55"/>
        <v>47</v>
      </c>
      <c r="P287" s="1">
        <f t="shared" si="50"/>
        <v>61</v>
      </c>
      <c r="Q287" s="1">
        <f t="shared" si="51"/>
        <v>5</v>
      </c>
      <c r="R287" s="1">
        <f t="shared" si="52"/>
        <v>0</v>
      </c>
      <c r="S287" s="29">
        <f t="shared" si="53"/>
        <v>77.040000000000006</v>
      </c>
      <c r="T287" s="1" t="str">
        <f t="shared" si="54"/>
        <v>caught</v>
      </c>
      <c r="U287" s="1" t="str">
        <f t="shared" si="56"/>
        <v>2</v>
      </c>
      <c r="V287" s="1" t="str">
        <f t="shared" si="57"/>
        <v xml:space="preserve"> South Africa</v>
      </c>
      <c r="W287" s="1" t="str">
        <f t="shared" si="58"/>
        <v>Rajkot</v>
      </c>
      <c r="X287" s="1" t="str">
        <f t="shared" si="59"/>
        <v>Yes</v>
      </c>
      <c r="Y287" s="1"/>
      <c r="Z287" s="1"/>
    </row>
    <row r="288" spans="1:26" ht="14.25" customHeight="1">
      <c r="A288" s="1"/>
      <c r="B288" s="1">
        <v>269</v>
      </c>
      <c r="C288" s="1" t="s">
        <v>283</v>
      </c>
      <c r="D288" s="1" t="s">
        <v>153</v>
      </c>
      <c r="E288" s="1" t="s">
        <v>130</v>
      </c>
      <c r="F288" s="1" t="s">
        <v>131</v>
      </c>
      <c r="G288" s="1" t="s">
        <v>754</v>
      </c>
      <c r="H288" s="1" t="s">
        <v>24</v>
      </c>
      <c r="I288" s="1" t="s">
        <v>130</v>
      </c>
      <c r="J288" s="1" t="s">
        <v>191</v>
      </c>
      <c r="K288" s="1" t="s">
        <v>68</v>
      </c>
      <c r="L288" s="1"/>
      <c r="M288" s="1"/>
      <c r="N288" s="1" t="str">
        <f t="shared" si="49"/>
        <v>No</v>
      </c>
      <c r="O288" s="1">
        <f t="shared" si="55"/>
        <v>15</v>
      </c>
      <c r="P288" s="1">
        <f t="shared" si="50"/>
        <v>16</v>
      </c>
      <c r="Q288" s="1">
        <f t="shared" si="51"/>
        <v>1</v>
      </c>
      <c r="R288" s="1">
        <f t="shared" si="52"/>
        <v>0</v>
      </c>
      <c r="S288" s="29">
        <f t="shared" si="53"/>
        <v>93.75</v>
      </c>
      <c r="T288" s="1" t="str">
        <f t="shared" si="54"/>
        <v>caught</v>
      </c>
      <c r="U288" s="1" t="str">
        <f t="shared" si="56"/>
        <v>1</v>
      </c>
      <c r="V288" s="1" t="str">
        <f t="shared" si="57"/>
        <v xml:space="preserve"> South Africa</v>
      </c>
      <c r="W288" s="1" t="str">
        <f t="shared" si="58"/>
        <v>Chennai</v>
      </c>
      <c r="X288" s="1" t="str">
        <f t="shared" si="59"/>
        <v>Yes</v>
      </c>
      <c r="Y288" s="1"/>
      <c r="Z288" s="1"/>
    </row>
    <row r="289" spans="1:26" ht="14.25" customHeight="1">
      <c r="A289" s="1"/>
      <c r="B289" s="1">
        <v>270</v>
      </c>
      <c r="C289" s="1" t="s">
        <v>169</v>
      </c>
      <c r="D289" s="1" t="s">
        <v>200</v>
      </c>
      <c r="E289" s="1" t="s">
        <v>148</v>
      </c>
      <c r="F289" s="1" t="s">
        <v>131</v>
      </c>
      <c r="G289" s="1" t="s">
        <v>755</v>
      </c>
      <c r="H289" s="1" t="s">
        <v>29</v>
      </c>
      <c r="I289" s="1" t="s">
        <v>151</v>
      </c>
      <c r="J289" s="1" t="s">
        <v>191</v>
      </c>
      <c r="K289" s="1" t="s">
        <v>75</v>
      </c>
      <c r="L289" s="1"/>
      <c r="M289" s="1"/>
      <c r="N289" s="1" t="str">
        <f t="shared" si="49"/>
        <v>No</v>
      </c>
      <c r="O289" s="1">
        <f t="shared" si="55"/>
        <v>27</v>
      </c>
      <c r="P289" s="1">
        <f t="shared" si="50"/>
        <v>29</v>
      </c>
      <c r="Q289" s="1">
        <f t="shared" si="51"/>
        <v>3</v>
      </c>
      <c r="R289" s="1">
        <f t="shared" si="52"/>
        <v>0</v>
      </c>
      <c r="S289" s="29">
        <f t="shared" si="53"/>
        <v>93.1</v>
      </c>
      <c r="T289" s="1" t="str">
        <f t="shared" si="54"/>
        <v>bowled</v>
      </c>
      <c r="U289" s="1" t="str">
        <f t="shared" si="56"/>
        <v>2</v>
      </c>
      <c r="V289" s="1" t="str">
        <f t="shared" si="57"/>
        <v xml:space="preserve"> South Africa</v>
      </c>
      <c r="W289" s="1" t="str">
        <f t="shared" si="58"/>
        <v>Wankhede</v>
      </c>
      <c r="X289" s="1" t="str">
        <f t="shared" si="59"/>
        <v>Yes</v>
      </c>
      <c r="Y289" s="1"/>
      <c r="Z289" s="1"/>
    </row>
    <row r="290" spans="1:26" ht="14.25" customHeight="1">
      <c r="A290" s="1"/>
      <c r="B290" s="1">
        <v>271</v>
      </c>
      <c r="C290" s="1" t="s">
        <v>199</v>
      </c>
      <c r="D290" s="1" t="s">
        <v>325</v>
      </c>
      <c r="E290" s="1" t="s">
        <v>130</v>
      </c>
      <c r="F290" s="1" t="s">
        <v>130</v>
      </c>
      <c r="G290" s="1" t="s">
        <v>586</v>
      </c>
      <c r="H290" s="1" t="s">
        <v>24</v>
      </c>
      <c r="I290" s="1" t="s">
        <v>130</v>
      </c>
      <c r="J290" s="1" t="s">
        <v>158</v>
      </c>
      <c r="K290" s="1" t="s">
        <v>89</v>
      </c>
      <c r="L290" s="1"/>
      <c r="M290" s="1"/>
      <c r="N290" s="1" t="str">
        <f t="shared" si="49"/>
        <v>No</v>
      </c>
      <c r="O290" s="1">
        <f t="shared" si="55"/>
        <v>18</v>
      </c>
      <c r="P290" s="1">
        <f t="shared" si="50"/>
        <v>13</v>
      </c>
      <c r="Q290" s="1">
        <f t="shared" si="51"/>
        <v>1</v>
      </c>
      <c r="R290" s="1">
        <f t="shared" si="52"/>
        <v>1</v>
      </c>
      <c r="S290" s="29">
        <f t="shared" si="53"/>
        <v>138.46</v>
      </c>
      <c r="T290" s="1" t="str">
        <f t="shared" si="54"/>
        <v>caught</v>
      </c>
      <c r="U290" s="1" t="str">
        <f t="shared" si="56"/>
        <v>1</v>
      </c>
      <c r="V290" s="1" t="str">
        <f t="shared" si="57"/>
        <v xml:space="preserve"> Australia</v>
      </c>
      <c r="W290" s="1" t="str">
        <f t="shared" si="58"/>
        <v>W.A.C.A</v>
      </c>
      <c r="X290" s="1" t="str">
        <f t="shared" si="59"/>
        <v>Yes</v>
      </c>
      <c r="Y290" s="1"/>
      <c r="Z290" s="1"/>
    </row>
    <row r="291" spans="1:26" ht="14.25" customHeight="1">
      <c r="A291" s="1"/>
      <c r="B291" s="1">
        <v>272</v>
      </c>
      <c r="C291" s="1" t="s">
        <v>176</v>
      </c>
      <c r="D291" s="1" t="s">
        <v>167</v>
      </c>
      <c r="E291" s="1" t="s">
        <v>131</v>
      </c>
      <c r="F291" s="1" t="s">
        <v>131</v>
      </c>
      <c r="G291" s="1" t="s">
        <v>756</v>
      </c>
      <c r="H291" s="1" t="s">
        <v>24</v>
      </c>
      <c r="I291" s="1" t="s">
        <v>130</v>
      </c>
      <c r="J291" s="1" t="s">
        <v>158</v>
      </c>
      <c r="K291" s="1" t="s">
        <v>91</v>
      </c>
      <c r="L291" s="1"/>
      <c r="M291" s="1"/>
      <c r="N291" s="1" t="str">
        <f t="shared" si="49"/>
        <v>No</v>
      </c>
      <c r="O291" s="1">
        <f t="shared" si="55"/>
        <v>11</v>
      </c>
      <c r="P291" s="1">
        <f t="shared" si="50"/>
        <v>10</v>
      </c>
      <c r="Q291" s="1">
        <f t="shared" si="51"/>
        <v>0</v>
      </c>
      <c r="R291" s="1">
        <f t="shared" si="52"/>
        <v>0</v>
      </c>
      <c r="S291" s="29">
        <f t="shared" si="53"/>
        <v>110</v>
      </c>
      <c r="T291" s="1" t="str">
        <f t="shared" si="54"/>
        <v>caught</v>
      </c>
      <c r="U291" s="1" t="str">
        <f t="shared" si="56"/>
        <v>1</v>
      </c>
      <c r="V291" s="1" t="str">
        <f t="shared" si="57"/>
        <v xml:space="preserve"> Australia</v>
      </c>
      <c r="W291" s="1" t="str">
        <f t="shared" si="58"/>
        <v>Brisbane</v>
      </c>
      <c r="X291" s="1" t="str">
        <f t="shared" si="59"/>
        <v>Yes</v>
      </c>
      <c r="Y291" s="1"/>
      <c r="Z291" s="1"/>
    </row>
    <row r="292" spans="1:26" ht="14.25" customHeight="1">
      <c r="A292" s="1"/>
      <c r="B292" s="1">
        <v>273</v>
      </c>
      <c r="C292" s="1" t="s">
        <v>304</v>
      </c>
      <c r="D292" s="1" t="s">
        <v>161</v>
      </c>
      <c r="E292" s="1" t="s">
        <v>151</v>
      </c>
      <c r="F292" s="1" t="s">
        <v>151</v>
      </c>
      <c r="G292" s="1" t="s">
        <v>757</v>
      </c>
      <c r="H292" s="1" t="s">
        <v>24</v>
      </c>
      <c r="I292" s="1" t="s">
        <v>130</v>
      </c>
      <c r="J292" s="1" t="s">
        <v>158</v>
      </c>
      <c r="K292" s="1" t="s">
        <v>88</v>
      </c>
      <c r="L292" s="1"/>
      <c r="M292" s="1"/>
      <c r="N292" s="1" t="str">
        <f t="shared" si="49"/>
        <v>No</v>
      </c>
      <c r="O292" s="1">
        <f t="shared" si="55"/>
        <v>23</v>
      </c>
      <c r="P292" s="1">
        <f t="shared" si="50"/>
        <v>9</v>
      </c>
      <c r="Q292" s="1">
        <f t="shared" si="51"/>
        <v>2</v>
      </c>
      <c r="R292" s="1">
        <f t="shared" si="52"/>
        <v>2</v>
      </c>
      <c r="S292" s="29">
        <f t="shared" si="53"/>
        <v>255.55</v>
      </c>
      <c r="T292" s="1" t="str">
        <f t="shared" si="54"/>
        <v>caught</v>
      </c>
      <c r="U292" s="1" t="str">
        <f t="shared" si="56"/>
        <v>1</v>
      </c>
      <c r="V292" s="1" t="str">
        <f t="shared" si="57"/>
        <v xml:space="preserve"> Australia</v>
      </c>
      <c r="W292" s="1" t="str">
        <f t="shared" si="58"/>
        <v>Melbourne</v>
      </c>
      <c r="X292" s="1" t="str">
        <f t="shared" si="59"/>
        <v>Yes</v>
      </c>
      <c r="Y292" s="1"/>
      <c r="Z292" s="1"/>
    </row>
    <row r="293" spans="1:26" ht="14.25" customHeight="1">
      <c r="A293" s="1"/>
      <c r="B293" s="1">
        <v>274</v>
      </c>
      <c r="C293" s="1" t="s">
        <v>131</v>
      </c>
      <c r="D293" s="1" t="s">
        <v>148</v>
      </c>
      <c r="E293" s="1" t="s">
        <v>131</v>
      </c>
      <c r="F293" s="1" t="s">
        <v>131</v>
      </c>
      <c r="G293" s="1" t="s">
        <v>210</v>
      </c>
      <c r="H293" s="1" t="s">
        <v>24</v>
      </c>
      <c r="I293" s="1" t="s">
        <v>151</v>
      </c>
      <c r="J293" s="1" t="s">
        <v>158</v>
      </c>
      <c r="K293" s="1" t="s">
        <v>111</v>
      </c>
      <c r="L293" s="1"/>
      <c r="M293" s="1"/>
      <c r="N293" s="1" t="str">
        <f t="shared" si="49"/>
        <v>No</v>
      </c>
      <c r="O293" s="1">
        <f t="shared" si="55"/>
        <v>0</v>
      </c>
      <c r="P293" s="1">
        <f t="shared" si="50"/>
        <v>3</v>
      </c>
      <c r="Q293" s="1">
        <f t="shared" si="51"/>
        <v>0</v>
      </c>
      <c r="R293" s="1">
        <f t="shared" si="52"/>
        <v>0</v>
      </c>
      <c r="S293" s="29">
        <f t="shared" si="53"/>
        <v>0</v>
      </c>
      <c r="T293" s="1" t="str">
        <f t="shared" si="54"/>
        <v>caught</v>
      </c>
      <c r="U293" s="1" t="str">
        <f t="shared" si="56"/>
        <v>2</v>
      </c>
      <c r="V293" s="1" t="str">
        <f t="shared" si="57"/>
        <v xml:space="preserve"> Australia</v>
      </c>
      <c r="W293" s="1" t="str">
        <f t="shared" si="58"/>
        <v>Canberra</v>
      </c>
      <c r="X293" s="1" t="str">
        <f t="shared" si="59"/>
        <v>Yes</v>
      </c>
      <c r="Y293" s="1"/>
      <c r="Z293" s="1"/>
    </row>
    <row r="294" spans="1:26" ht="14.25" customHeight="1">
      <c r="A294" s="1"/>
      <c r="B294" s="1">
        <v>275</v>
      </c>
      <c r="C294" s="1" t="s">
        <v>208</v>
      </c>
      <c r="D294" s="1" t="s">
        <v>386</v>
      </c>
      <c r="E294" s="1" t="s">
        <v>130</v>
      </c>
      <c r="F294" s="1" t="s">
        <v>130</v>
      </c>
      <c r="G294" s="1" t="s">
        <v>488</v>
      </c>
      <c r="H294" s="1" t="s">
        <v>24</v>
      </c>
      <c r="I294" s="1" t="s">
        <v>151</v>
      </c>
      <c r="J294" s="1" t="s">
        <v>158</v>
      </c>
      <c r="K294" s="1" t="s">
        <v>92</v>
      </c>
      <c r="L294" s="1"/>
      <c r="M294" s="1"/>
      <c r="N294" s="1" t="str">
        <f t="shared" si="49"/>
        <v>No</v>
      </c>
      <c r="O294" s="1">
        <f t="shared" si="55"/>
        <v>34</v>
      </c>
      <c r="P294" s="1">
        <f t="shared" si="50"/>
        <v>42</v>
      </c>
      <c r="Q294" s="1">
        <f t="shared" si="51"/>
        <v>1</v>
      </c>
      <c r="R294" s="1">
        <f t="shared" si="52"/>
        <v>1</v>
      </c>
      <c r="S294" s="29">
        <f t="shared" si="53"/>
        <v>80.95</v>
      </c>
      <c r="T294" s="1" t="str">
        <f t="shared" si="54"/>
        <v>caught</v>
      </c>
      <c r="U294" s="1" t="str">
        <f t="shared" si="56"/>
        <v>2</v>
      </c>
      <c r="V294" s="1" t="str">
        <f t="shared" si="57"/>
        <v xml:space="preserve"> Australia</v>
      </c>
      <c r="W294" s="1" t="str">
        <f t="shared" si="58"/>
        <v>Sydney</v>
      </c>
      <c r="X294" s="1" t="str">
        <f t="shared" si="59"/>
        <v>Yes</v>
      </c>
      <c r="Y294" s="1"/>
      <c r="Z294" s="1"/>
    </row>
    <row r="295" spans="1:26" ht="14.25" customHeight="1">
      <c r="A295" s="1"/>
      <c r="B295" s="1">
        <v>276</v>
      </c>
      <c r="C295" s="1" t="s">
        <v>57</v>
      </c>
      <c r="D295" s="1" t="s">
        <v>157</v>
      </c>
      <c r="E295" s="1" t="s">
        <v>157</v>
      </c>
      <c r="F295" s="1" t="s">
        <v>157</v>
      </c>
      <c r="G295" s="1" t="s">
        <v>157</v>
      </c>
      <c r="H295" s="1" t="s">
        <v>157</v>
      </c>
      <c r="I295" s="1" t="s">
        <v>151</v>
      </c>
      <c r="J295" s="1" t="s">
        <v>195</v>
      </c>
      <c r="K295" s="1" t="s">
        <v>62</v>
      </c>
      <c r="L295" s="1"/>
      <c r="M295" s="1"/>
      <c r="N295" s="1" t="str">
        <f t="shared" si="49"/>
        <v>Yes</v>
      </c>
      <c r="O295" s="1" t="str">
        <f t="shared" si="55"/>
        <v>NA</v>
      </c>
      <c r="P295" s="1" t="str">
        <f t="shared" si="50"/>
        <v>NA</v>
      </c>
      <c r="Q295" s="1" t="str">
        <f t="shared" si="51"/>
        <v>NA</v>
      </c>
      <c r="R295" s="1" t="str">
        <f t="shared" si="52"/>
        <v>NA</v>
      </c>
      <c r="S295" s="29" t="str">
        <f t="shared" si="53"/>
        <v>NA</v>
      </c>
      <c r="T295" s="1" t="str">
        <f t="shared" si="54"/>
        <v>NA</v>
      </c>
      <c r="U295" s="1" t="str">
        <f t="shared" si="56"/>
        <v>2</v>
      </c>
      <c r="V295" s="1" t="str">
        <f t="shared" si="57"/>
        <v xml:space="preserve"> Zimbabwe</v>
      </c>
      <c r="W295" s="1" t="str">
        <f t="shared" si="58"/>
        <v>Harare</v>
      </c>
      <c r="X295" s="1" t="str">
        <f t="shared" si="59"/>
        <v>No</v>
      </c>
      <c r="Y295" s="1"/>
      <c r="Z295" s="1"/>
    </row>
    <row r="296" spans="1:26" ht="14.25" customHeight="1">
      <c r="A296" s="1"/>
      <c r="B296" s="1">
        <v>277</v>
      </c>
      <c r="C296" s="1" t="s">
        <v>57</v>
      </c>
      <c r="D296" s="1" t="s">
        <v>157</v>
      </c>
      <c r="E296" s="1" t="s">
        <v>157</v>
      </c>
      <c r="F296" s="1" t="s">
        <v>157</v>
      </c>
      <c r="G296" s="1" t="s">
        <v>157</v>
      </c>
      <c r="H296" s="1" t="s">
        <v>157</v>
      </c>
      <c r="I296" s="1" t="s">
        <v>151</v>
      </c>
      <c r="J296" s="1" t="s">
        <v>195</v>
      </c>
      <c r="K296" s="1" t="s">
        <v>62</v>
      </c>
      <c r="L296" s="1"/>
      <c r="M296" s="1"/>
      <c r="N296" s="1" t="str">
        <f t="shared" si="49"/>
        <v>Yes</v>
      </c>
      <c r="O296" s="1" t="str">
        <f t="shared" si="55"/>
        <v>NA</v>
      </c>
      <c r="P296" s="1" t="str">
        <f t="shared" si="50"/>
        <v>NA</v>
      </c>
      <c r="Q296" s="1" t="str">
        <f t="shared" si="51"/>
        <v>NA</v>
      </c>
      <c r="R296" s="1" t="str">
        <f t="shared" si="52"/>
        <v>NA</v>
      </c>
      <c r="S296" s="29" t="str">
        <f t="shared" si="53"/>
        <v>NA</v>
      </c>
      <c r="T296" s="1" t="str">
        <f t="shared" si="54"/>
        <v>NA</v>
      </c>
      <c r="U296" s="1" t="str">
        <f t="shared" si="56"/>
        <v>2</v>
      </c>
      <c r="V296" s="1" t="str">
        <f t="shared" si="57"/>
        <v xml:space="preserve"> Zimbabwe</v>
      </c>
      <c r="W296" s="1" t="str">
        <f t="shared" si="58"/>
        <v>Harare</v>
      </c>
      <c r="X296" s="1" t="str">
        <f t="shared" si="59"/>
        <v>No</v>
      </c>
      <c r="Y296" s="1"/>
      <c r="Z296" s="1"/>
    </row>
    <row r="297" spans="1:26" ht="14.25" customHeight="1">
      <c r="A297" s="1"/>
      <c r="B297" s="1">
        <v>278</v>
      </c>
      <c r="C297" s="1" t="s">
        <v>57</v>
      </c>
      <c r="D297" s="1" t="s">
        <v>157</v>
      </c>
      <c r="E297" s="1" t="s">
        <v>157</v>
      </c>
      <c r="F297" s="1" t="s">
        <v>157</v>
      </c>
      <c r="G297" s="1" t="s">
        <v>157</v>
      </c>
      <c r="H297" s="1" t="s">
        <v>157</v>
      </c>
      <c r="I297" s="1" t="s">
        <v>151</v>
      </c>
      <c r="J297" s="1" t="s">
        <v>195</v>
      </c>
      <c r="K297" s="1" t="s">
        <v>62</v>
      </c>
      <c r="L297" s="1"/>
      <c r="M297" s="1"/>
      <c r="N297" s="1" t="str">
        <f t="shared" si="49"/>
        <v>Yes</v>
      </c>
      <c r="O297" s="1" t="str">
        <f t="shared" si="55"/>
        <v>NA</v>
      </c>
      <c r="P297" s="1" t="str">
        <f t="shared" si="50"/>
        <v>NA</v>
      </c>
      <c r="Q297" s="1" t="str">
        <f t="shared" si="51"/>
        <v>NA</v>
      </c>
      <c r="R297" s="1" t="str">
        <f t="shared" si="52"/>
        <v>NA</v>
      </c>
      <c r="S297" s="29" t="str">
        <f t="shared" si="53"/>
        <v>NA</v>
      </c>
      <c r="T297" s="1" t="str">
        <f t="shared" si="54"/>
        <v>NA</v>
      </c>
      <c r="U297" s="1" t="str">
        <f t="shared" si="56"/>
        <v>2</v>
      </c>
      <c r="V297" s="1" t="str">
        <f t="shared" si="57"/>
        <v xml:space="preserve"> Zimbabwe</v>
      </c>
      <c r="W297" s="1" t="str">
        <f t="shared" si="58"/>
        <v>Harare</v>
      </c>
      <c r="X297" s="1" t="str">
        <f t="shared" si="59"/>
        <v>No</v>
      </c>
      <c r="Y297" s="1"/>
      <c r="Z297" s="1"/>
    </row>
    <row r="298" spans="1:26" ht="14.25" customHeight="1">
      <c r="A298" s="1"/>
      <c r="B298" s="1">
        <v>279</v>
      </c>
      <c r="C298" s="1" t="s">
        <v>246</v>
      </c>
      <c r="D298" s="1" t="s">
        <v>154</v>
      </c>
      <c r="E298" s="1" t="s">
        <v>130</v>
      </c>
      <c r="F298" s="1" t="s">
        <v>130</v>
      </c>
      <c r="G298" s="1" t="s">
        <v>698</v>
      </c>
      <c r="H298" s="1" t="s">
        <v>26</v>
      </c>
      <c r="I298" s="1" t="s">
        <v>151</v>
      </c>
      <c r="J298" s="1" t="s">
        <v>211</v>
      </c>
      <c r="K298" s="1" t="s">
        <v>98</v>
      </c>
      <c r="L298" s="1"/>
      <c r="M298" s="1"/>
      <c r="N298" s="1" t="str">
        <f t="shared" si="49"/>
        <v>No</v>
      </c>
      <c r="O298" s="1">
        <f t="shared" si="55"/>
        <v>21</v>
      </c>
      <c r="P298" s="1">
        <f t="shared" si="50"/>
        <v>24</v>
      </c>
      <c r="Q298" s="1">
        <f t="shared" si="51"/>
        <v>1</v>
      </c>
      <c r="R298" s="1">
        <f t="shared" si="52"/>
        <v>1</v>
      </c>
      <c r="S298" s="29">
        <f t="shared" si="53"/>
        <v>87.5</v>
      </c>
      <c r="T298" s="1" t="str">
        <f t="shared" si="54"/>
        <v>run out</v>
      </c>
      <c r="U298" s="1" t="str">
        <f t="shared" si="56"/>
        <v>2</v>
      </c>
      <c r="V298" s="1" t="str">
        <f t="shared" si="57"/>
        <v xml:space="preserve"> New Zealand</v>
      </c>
      <c r="W298" s="1" t="str">
        <f t="shared" si="58"/>
        <v>Dharamsala</v>
      </c>
      <c r="X298" s="1" t="str">
        <f t="shared" si="59"/>
        <v>Yes</v>
      </c>
      <c r="Y298" s="1"/>
      <c r="Z298" s="1"/>
    </row>
    <row r="299" spans="1:26" ht="14.25" customHeight="1">
      <c r="A299" s="1"/>
      <c r="B299" s="1">
        <v>280</v>
      </c>
      <c r="C299" s="1" t="s">
        <v>436</v>
      </c>
      <c r="D299" s="1" t="s">
        <v>172</v>
      </c>
      <c r="E299" s="1" t="s">
        <v>148</v>
      </c>
      <c r="F299" s="1" t="s">
        <v>131</v>
      </c>
      <c r="G299" s="1" t="s">
        <v>239</v>
      </c>
      <c r="H299" s="1" t="s">
        <v>24</v>
      </c>
      <c r="I299" s="1" t="s">
        <v>151</v>
      </c>
      <c r="J299" s="1" t="s">
        <v>211</v>
      </c>
      <c r="K299" s="1" t="s">
        <v>52</v>
      </c>
      <c r="L299" s="1"/>
      <c r="M299" s="1"/>
      <c r="N299" s="1" t="str">
        <f t="shared" si="49"/>
        <v>No</v>
      </c>
      <c r="O299" s="1">
        <f t="shared" si="55"/>
        <v>39</v>
      </c>
      <c r="P299" s="1">
        <f t="shared" si="50"/>
        <v>65</v>
      </c>
      <c r="Q299" s="1">
        <f t="shared" si="51"/>
        <v>3</v>
      </c>
      <c r="R299" s="1">
        <f t="shared" si="52"/>
        <v>0</v>
      </c>
      <c r="S299" s="29">
        <f t="shared" si="53"/>
        <v>60</v>
      </c>
      <c r="T299" s="1" t="str">
        <f t="shared" si="54"/>
        <v>caught</v>
      </c>
      <c r="U299" s="1" t="str">
        <f t="shared" si="56"/>
        <v>2</v>
      </c>
      <c r="V299" s="1" t="str">
        <f t="shared" si="57"/>
        <v xml:space="preserve"> New Zealand</v>
      </c>
      <c r="W299" s="1" t="str">
        <f t="shared" si="58"/>
        <v>Delhi</v>
      </c>
      <c r="X299" s="1" t="str">
        <f t="shared" si="59"/>
        <v>Yes</v>
      </c>
      <c r="Y299" s="1"/>
      <c r="Z299" s="1"/>
    </row>
    <row r="300" spans="1:26" ht="14.25" customHeight="1">
      <c r="A300" s="1"/>
      <c r="B300" s="1">
        <v>281</v>
      </c>
      <c r="C300" s="1" t="s">
        <v>276</v>
      </c>
      <c r="D300" s="1" t="s">
        <v>179</v>
      </c>
      <c r="E300" s="1" t="s">
        <v>136</v>
      </c>
      <c r="F300" s="1" t="s">
        <v>148</v>
      </c>
      <c r="G300" s="1" t="s">
        <v>758</v>
      </c>
      <c r="H300" s="1" t="s">
        <v>24</v>
      </c>
      <c r="I300" s="1" t="s">
        <v>151</v>
      </c>
      <c r="J300" s="1" t="s">
        <v>211</v>
      </c>
      <c r="K300" s="1" t="s">
        <v>46</v>
      </c>
      <c r="L300" s="1"/>
      <c r="M300" s="1"/>
      <c r="N300" s="1" t="str">
        <f t="shared" si="49"/>
        <v>No</v>
      </c>
      <c r="O300" s="1">
        <f t="shared" si="55"/>
        <v>80</v>
      </c>
      <c r="P300" s="1">
        <f t="shared" si="50"/>
        <v>91</v>
      </c>
      <c r="Q300" s="1">
        <f t="shared" si="51"/>
        <v>6</v>
      </c>
      <c r="R300" s="1">
        <f t="shared" si="52"/>
        <v>3</v>
      </c>
      <c r="S300" s="29">
        <f t="shared" si="53"/>
        <v>87.91</v>
      </c>
      <c r="T300" s="1" t="str">
        <f t="shared" si="54"/>
        <v>caught</v>
      </c>
      <c r="U300" s="1" t="str">
        <f t="shared" si="56"/>
        <v>2</v>
      </c>
      <c r="V300" s="1" t="str">
        <f t="shared" si="57"/>
        <v xml:space="preserve"> New Zealand</v>
      </c>
      <c r="W300" s="1" t="str">
        <f t="shared" si="58"/>
        <v>Mohali</v>
      </c>
      <c r="X300" s="1" t="str">
        <f t="shared" si="59"/>
        <v>Yes</v>
      </c>
      <c r="Y300" s="1"/>
      <c r="Z300" s="1"/>
    </row>
    <row r="301" spans="1:26" ht="14.25" customHeight="1">
      <c r="A301" s="1"/>
      <c r="B301" s="1">
        <v>282</v>
      </c>
      <c r="C301" s="1" t="s">
        <v>176</v>
      </c>
      <c r="D301" s="1" t="s">
        <v>146</v>
      </c>
      <c r="E301" s="1" t="s">
        <v>131</v>
      </c>
      <c r="F301" s="1" t="s">
        <v>131</v>
      </c>
      <c r="G301" s="1" t="s">
        <v>759</v>
      </c>
      <c r="H301" s="1" t="s">
        <v>29</v>
      </c>
      <c r="I301" s="1" t="s">
        <v>151</v>
      </c>
      <c r="J301" s="1" t="s">
        <v>211</v>
      </c>
      <c r="K301" s="1" t="s">
        <v>97</v>
      </c>
      <c r="L301" s="1"/>
      <c r="M301" s="1"/>
      <c r="N301" s="1" t="str">
        <f t="shared" si="49"/>
        <v>No</v>
      </c>
      <c r="O301" s="1">
        <f t="shared" si="55"/>
        <v>11</v>
      </c>
      <c r="P301" s="1">
        <f t="shared" si="50"/>
        <v>31</v>
      </c>
      <c r="Q301" s="1">
        <f t="shared" si="51"/>
        <v>0</v>
      </c>
      <c r="R301" s="1">
        <f t="shared" si="52"/>
        <v>0</v>
      </c>
      <c r="S301" s="29">
        <f t="shared" si="53"/>
        <v>35.479999999999997</v>
      </c>
      <c r="T301" s="1" t="str">
        <f t="shared" si="54"/>
        <v>bowled</v>
      </c>
      <c r="U301" s="1" t="str">
        <f t="shared" si="56"/>
        <v>2</v>
      </c>
      <c r="V301" s="1" t="str">
        <f t="shared" si="57"/>
        <v xml:space="preserve"> New Zealand</v>
      </c>
      <c r="W301" s="1" t="str">
        <f t="shared" si="58"/>
        <v>Ranchi</v>
      </c>
      <c r="X301" s="1" t="str">
        <f t="shared" si="59"/>
        <v>Yes</v>
      </c>
      <c r="Y301" s="1"/>
      <c r="Z301" s="1"/>
    </row>
    <row r="302" spans="1:26" ht="14.25" customHeight="1">
      <c r="A302" s="1"/>
      <c r="B302" s="1">
        <v>283</v>
      </c>
      <c r="C302" s="1" t="s">
        <v>165</v>
      </c>
      <c r="D302" s="1" t="s">
        <v>241</v>
      </c>
      <c r="E302" s="1" t="s">
        <v>140</v>
      </c>
      <c r="F302" s="1" t="s">
        <v>130</v>
      </c>
      <c r="G302" s="1" t="s">
        <v>760</v>
      </c>
      <c r="H302" s="1" t="s">
        <v>19</v>
      </c>
      <c r="I302" s="1" t="s">
        <v>130</v>
      </c>
      <c r="J302" s="1" t="s">
        <v>211</v>
      </c>
      <c r="K302" s="1" t="s">
        <v>65</v>
      </c>
      <c r="L302" s="1"/>
      <c r="M302" s="1"/>
      <c r="N302" s="1" t="str">
        <f t="shared" si="49"/>
        <v>No</v>
      </c>
      <c r="O302" s="1">
        <f t="shared" si="55"/>
        <v>41</v>
      </c>
      <c r="P302" s="1">
        <f t="shared" si="50"/>
        <v>59</v>
      </c>
      <c r="Q302" s="1">
        <f t="shared" si="51"/>
        <v>4</v>
      </c>
      <c r="R302" s="1">
        <f t="shared" si="52"/>
        <v>1</v>
      </c>
      <c r="S302" s="29">
        <f t="shared" si="53"/>
        <v>69.489999999999995</v>
      </c>
      <c r="T302" s="1" t="str">
        <f t="shared" si="54"/>
        <v>lbw</v>
      </c>
      <c r="U302" s="1" t="str">
        <f t="shared" si="56"/>
        <v>1</v>
      </c>
      <c r="V302" s="1" t="str">
        <f t="shared" si="57"/>
        <v xml:space="preserve"> New Zealand</v>
      </c>
      <c r="W302" s="1" t="str">
        <f t="shared" si="58"/>
        <v>Visakhapatnam</v>
      </c>
      <c r="X302" s="1" t="str">
        <f t="shared" si="59"/>
        <v>Yes</v>
      </c>
      <c r="Y302" s="1"/>
      <c r="Z302" s="1"/>
    </row>
    <row r="303" spans="1:26" ht="14.25" customHeight="1">
      <c r="A303" s="1"/>
      <c r="B303" s="1">
        <v>284</v>
      </c>
      <c r="C303" s="1" t="s">
        <v>136</v>
      </c>
      <c r="D303" s="1" t="s">
        <v>136</v>
      </c>
      <c r="E303" s="1" t="s">
        <v>130</v>
      </c>
      <c r="F303" s="1" t="s">
        <v>131</v>
      </c>
      <c r="G303" s="1" t="s">
        <v>152</v>
      </c>
      <c r="H303" s="1" t="s">
        <v>24</v>
      </c>
      <c r="I303" s="1" t="s">
        <v>151</v>
      </c>
      <c r="J303" s="1" t="s">
        <v>234</v>
      </c>
      <c r="K303" s="1" t="s">
        <v>100</v>
      </c>
      <c r="L303" s="1"/>
      <c r="M303" s="1"/>
      <c r="N303" s="1" t="str">
        <f t="shared" si="49"/>
        <v>No</v>
      </c>
      <c r="O303" s="1">
        <f t="shared" si="55"/>
        <v>6</v>
      </c>
      <c r="P303" s="1">
        <f t="shared" si="50"/>
        <v>6</v>
      </c>
      <c r="Q303" s="1">
        <f t="shared" si="51"/>
        <v>1</v>
      </c>
      <c r="R303" s="1">
        <f t="shared" si="52"/>
        <v>0</v>
      </c>
      <c r="S303" s="29">
        <f t="shared" si="53"/>
        <v>100</v>
      </c>
      <c r="T303" s="1" t="str">
        <f t="shared" si="54"/>
        <v>caught</v>
      </c>
      <c r="U303" s="1" t="str">
        <f t="shared" si="56"/>
        <v>2</v>
      </c>
      <c r="V303" s="1" t="str">
        <f t="shared" si="57"/>
        <v xml:space="preserve"> England</v>
      </c>
      <c r="W303" s="1" t="str">
        <f t="shared" si="58"/>
        <v>Pune</v>
      </c>
      <c r="X303" s="1" t="str">
        <f t="shared" si="59"/>
        <v>Yes</v>
      </c>
      <c r="Y303" s="1"/>
      <c r="Z303" s="1"/>
    </row>
    <row r="304" spans="1:26" ht="14.25" customHeight="1">
      <c r="A304" s="1"/>
      <c r="B304" s="1">
        <v>285</v>
      </c>
      <c r="C304" s="1" t="s">
        <v>403</v>
      </c>
      <c r="D304" s="1" t="s">
        <v>353</v>
      </c>
      <c r="E304" s="1" t="s">
        <v>167</v>
      </c>
      <c r="F304" s="1" t="s">
        <v>136</v>
      </c>
      <c r="G304" s="1" t="s">
        <v>761</v>
      </c>
      <c r="H304" s="1" t="s">
        <v>24</v>
      </c>
      <c r="I304" s="1" t="s">
        <v>130</v>
      </c>
      <c r="J304" s="1" t="s">
        <v>234</v>
      </c>
      <c r="K304" s="1" t="s">
        <v>86</v>
      </c>
      <c r="L304" s="1"/>
      <c r="M304" s="1"/>
      <c r="N304" s="1" t="str">
        <f t="shared" si="49"/>
        <v>No</v>
      </c>
      <c r="O304" s="1">
        <f t="shared" si="55"/>
        <v>134</v>
      </c>
      <c r="P304" s="1">
        <f t="shared" si="50"/>
        <v>122</v>
      </c>
      <c r="Q304" s="1">
        <f t="shared" si="51"/>
        <v>10</v>
      </c>
      <c r="R304" s="1">
        <f t="shared" si="52"/>
        <v>6</v>
      </c>
      <c r="S304" s="29">
        <f t="shared" si="53"/>
        <v>109.83</v>
      </c>
      <c r="T304" s="1" t="str">
        <f t="shared" si="54"/>
        <v>caught</v>
      </c>
      <c r="U304" s="1" t="str">
        <f t="shared" si="56"/>
        <v>1</v>
      </c>
      <c r="V304" s="1" t="str">
        <f t="shared" si="57"/>
        <v xml:space="preserve"> England</v>
      </c>
      <c r="W304" s="1" t="str">
        <f t="shared" si="58"/>
        <v>Cuttack</v>
      </c>
      <c r="X304" s="1" t="str">
        <f t="shared" si="59"/>
        <v>Yes</v>
      </c>
      <c r="Y304" s="1"/>
      <c r="Z304" s="1"/>
    </row>
    <row r="305" spans="1:26" ht="14.25" customHeight="1">
      <c r="A305" s="1"/>
      <c r="B305" s="1">
        <v>286</v>
      </c>
      <c r="C305" s="1" t="s">
        <v>138</v>
      </c>
      <c r="D305" s="1" t="s">
        <v>258</v>
      </c>
      <c r="E305" s="1" t="s">
        <v>130</v>
      </c>
      <c r="F305" s="1" t="s">
        <v>130</v>
      </c>
      <c r="G305" s="1" t="s">
        <v>617</v>
      </c>
      <c r="H305" s="1" t="s">
        <v>24</v>
      </c>
      <c r="I305" s="1" t="s">
        <v>151</v>
      </c>
      <c r="J305" s="1" t="s">
        <v>234</v>
      </c>
      <c r="K305" s="1" t="s">
        <v>51</v>
      </c>
      <c r="L305" s="1"/>
      <c r="M305" s="1"/>
      <c r="N305" s="1" t="str">
        <f t="shared" si="49"/>
        <v>No</v>
      </c>
      <c r="O305" s="1">
        <f t="shared" si="55"/>
        <v>25</v>
      </c>
      <c r="P305" s="1">
        <f t="shared" si="50"/>
        <v>36</v>
      </c>
      <c r="Q305" s="1">
        <f t="shared" si="51"/>
        <v>1</v>
      </c>
      <c r="R305" s="1">
        <f t="shared" si="52"/>
        <v>1</v>
      </c>
      <c r="S305" s="29">
        <f t="shared" si="53"/>
        <v>69.44</v>
      </c>
      <c r="T305" s="1" t="str">
        <f t="shared" si="54"/>
        <v>caught</v>
      </c>
      <c r="U305" s="1" t="str">
        <f t="shared" si="56"/>
        <v>2</v>
      </c>
      <c r="V305" s="1" t="str">
        <f t="shared" si="57"/>
        <v xml:space="preserve"> England</v>
      </c>
      <c r="W305" s="1" t="str">
        <f t="shared" si="58"/>
        <v>Eden Gardens</v>
      </c>
      <c r="X305" s="1" t="str">
        <f t="shared" si="59"/>
        <v>Yes</v>
      </c>
      <c r="Y305" s="1"/>
      <c r="Z305" s="1"/>
    </row>
    <row r="306" spans="1:26" ht="14.25" customHeight="1">
      <c r="A306" s="1"/>
      <c r="B306" s="1">
        <v>287</v>
      </c>
      <c r="C306" s="1" t="s">
        <v>57</v>
      </c>
      <c r="D306" s="1" t="s">
        <v>157</v>
      </c>
      <c r="E306" s="1" t="s">
        <v>157</v>
      </c>
      <c r="F306" s="1" t="s">
        <v>157</v>
      </c>
      <c r="G306" s="1" t="s">
        <v>157</v>
      </c>
      <c r="H306" s="1" t="s">
        <v>157</v>
      </c>
      <c r="I306" s="1" t="s">
        <v>130</v>
      </c>
      <c r="J306" s="1" t="s">
        <v>156</v>
      </c>
      <c r="K306" s="1" t="s">
        <v>99</v>
      </c>
      <c r="L306" s="1"/>
      <c r="M306" s="1"/>
      <c r="N306" s="1" t="str">
        <f t="shared" si="49"/>
        <v>Yes</v>
      </c>
      <c r="O306" s="1" t="str">
        <f t="shared" si="55"/>
        <v>NA</v>
      </c>
      <c r="P306" s="1" t="str">
        <f t="shared" si="50"/>
        <v>NA</v>
      </c>
      <c r="Q306" s="1" t="str">
        <f t="shared" si="51"/>
        <v>NA</v>
      </c>
      <c r="R306" s="1" t="str">
        <f t="shared" si="52"/>
        <v>NA</v>
      </c>
      <c r="S306" s="29" t="str">
        <f t="shared" si="53"/>
        <v>NA</v>
      </c>
      <c r="T306" s="1" t="str">
        <f t="shared" si="54"/>
        <v>NA</v>
      </c>
      <c r="U306" s="1" t="str">
        <f t="shared" si="56"/>
        <v>1</v>
      </c>
      <c r="V306" s="1" t="str">
        <f t="shared" si="57"/>
        <v xml:space="preserve"> Pakistan</v>
      </c>
      <c r="W306" s="1" t="str">
        <f t="shared" si="58"/>
        <v>Birmingham</v>
      </c>
      <c r="X306" s="1" t="str">
        <f t="shared" si="59"/>
        <v>No</v>
      </c>
      <c r="Y306" s="1"/>
      <c r="Z306" s="1"/>
    </row>
    <row r="307" spans="1:26" ht="14.25" customHeight="1">
      <c r="A307" s="1"/>
      <c r="B307" s="1">
        <v>288</v>
      </c>
      <c r="C307" s="1" t="s">
        <v>262</v>
      </c>
      <c r="D307" s="1" t="s">
        <v>327</v>
      </c>
      <c r="E307" s="1" t="s">
        <v>144</v>
      </c>
      <c r="F307" s="1" t="s">
        <v>151</v>
      </c>
      <c r="G307" s="1" t="s">
        <v>762</v>
      </c>
      <c r="H307" s="1" t="s">
        <v>24</v>
      </c>
      <c r="I307" s="1" t="s">
        <v>130</v>
      </c>
      <c r="J307" s="1" t="s">
        <v>133</v>
      </c>
      <c r="K307" s="1" t="s">
        <v>81</v>
      </c>
      <c r="L307" s="1"/>
      <c r="M307" s="1"/>
      <c r="N307" s="1" t="str">
        <f t="shared" si="49"/>
        <v>No</v>
      </c>
      <c r="O307" s="1">
        <f t="shared" si="55"/>
        <v>63</v>
      </c>
      <c r="P307" s="1">
        <f t="shared" si="50"/>
        <v>52</v>
      </c>
      <c r="Q307" s="1">
        <f t="shared" si="51"/>
        <v>7</v>
      </c>
      <c r="R307" s="1">
        <f t="shared" si="52"/>
        <v>2</v>
      </c>
      <c r="S307" s="29">
        <f t="shared" si="53"/>
        <v>121.15</v>
      </c>
      <c r="T307" s="1" t="str">
        <f t="shared" si="54"/>
        <v>caught</v>
      </c>
      <c r="U307" s="1" t="str">
        <f t="shared" si="56"/>
        <v>1</v>
      </c>
      <c r="V307" s="1" t="str">
        <f t="shared" si="57"/>
        <v xml:space="preserve"> Sri Lanka</v>
      </c>
      <c r="W307" s="1" t="str">
        <f t="shared" si="58"/>
        <v>The Oval</v>
      </c>
      <c r="X307" s="1" t="str">
        <f t="shared" si="59"/>
        <v>Yes</v>
      </c>
      <c r="Y307" s="1"/>
      <c r="Z307" s="1"/>
    </row>
    <row r="308" spans="1:26" ht="14.25" customHeight="1">
      <c r="A308" s="1"/>
      <c r="B308" s="1">
        <v>289</v>
      </c>
      <c r="C308" s="1" t="s">
        <v>57</v>
      </c>
      <c r="D308" s="1" t="s">
        <v>157</v>
      </c>
      <c r="E308" s="1" t="s">
        <v>157</v>
      </c>
      <c r="F308" s="1" t="s">
        <v>157</v>
      </c>
      <c r="G308" s="1" t="s">
        <v>157</v>
      </c>
      <c r="H308" s="1" t="s">
        <v>157</v>
      </c>
      <c r="I308" s="1" t="s">
        <v>151</v>
      </c>
      <c r="J308" s="1" t="s">
        <v>191</v>
      </c>
      <c r="K308" s="1" t="s">
        <v>81</v>
      </c>
      <c r="L308" s="1"/>
      <c r="M308" s="1"/>
      <c r="N308" s="1" t="str">
        <f t="shared" si="49"/>
        <v>Yes</v>
      </c>
      <c r="O308" s="1" t="str">
        <f t="shared" si="55"/>
        <v>NA</v>
      </c>
      <c r="P308" s="1" t="str">
        <f t="shared" si="50"/>
        <v>NA</v>
      </c>
      <c r="Q308" s="1" t="str">
        <f t="shared" si="51"/>
        <v>NA</v>
      </c>
      <c r="R308" s="1" t="str">
        <f t="shared" si="52"/>
        <v>NA</v>
      </c>
      <c r="S308" s="29" t="str">
        <f t="shared" si="53"/>
        <v>NA</v>
      </c>
      <c r="T308" s="1" t="str">
        <f t="shared" si="54"/>
        <v>NA</v>
      </c>
      <c r="U308" s="1" t="str">
        <f t="shared" si="56"/>
        <v>2</v>
      </c>
      <c r="V308" s="1" t="str">
        <f t="shared" si="57"/>
        <v xml:space="preserve"> South Africa</v>
      </c>
      <c r="W308" s="1" t="str">
        <f t="shared" si="58"/>
        <v>The Oval</v>
      </c>
      <c r="X308" s="1" t="str">
        <f t="shared" si="59"/>
        <v>No</v>
      </c>
      <c r="Y308" s="1"/>
      <c r="Z308" s="1"/>
    </row>
    <row r="309" spans="1:26" ht="14.25" customHeight="1">
      <c r="A309" s="1"/>
      <c r="B309" s="1">
        <v>290</v>
      </c>
      <c r="C309" s="1" t="s">
        <v>57</v>
      </c>
      <c r="D309" s="1" t="s">
        <v>157</v>
      </c>
      <c r="E309" s="1" t="s">
        <v>157</v>
      </c>
      <c r="F309" s="1" t="s">
        <v>157</v>
      </c>
      <c r="G309" s="1" t="s">
        <v>157</v>
      </c>
      <c r="H309" s="1" t="s">
        <v>157</v>
      </c>
      <c r="I309" s="1" t="s">
        <v>151</v>
      </c>
      <c r="J309" s="1" t="s">
        <v>182</v>
      </c>
      <c r="K309" s="1" t="s">
        <v>99</v>
      </c>
      <c r="L309" s="1"/>
      <c r="M309" s="1"/>
      <c r="N309" s="1" t="str">
        <f t="shared" si="49"/>
        <v>Yes</v>
      </c>
      <c r="O309" s="1" t="str">
        <f t="shared" si="55"/>
        <v>NA</v>
      </c>
      <c r="P309" s="1" t="str">
        <f t="shared" si="50"/>
        <v>NA</v>
      </c>
      <c r="Q309" s="1" t="str">
        <f t="shared" si="51"/>
        <v>NA</v>
      </c>
      <c r="R309" s="1" t="str">
        <f t="shared" si="52"/>
        <v>NA</v>
      </c>
      <c r="S309" s="29" t="str">
        <f t="shared" si="53"/>
        <v>NA</v>
      </c>
      <c r="T309" s="1" t="str">
        <f t="shared" si="54"/>
        <v>NA</v>
      </c>
      <c r="U309" s="1" t="str">
        <f t="shared" si="56"/>
        <v>2</v>
      </c>
      <c r="V309" s="1" t="str">
        <f t="shared" si="57"/>
        <v xml:space="preserve"> Bangladesh</v>
      </c>
      <c r="W309" s="1" t="str">
        <f t="shared" si="58"/>
        <v>Birmingham</v>
      </c>
      <c r="X309" s="1" t="str">
        <f t="shared" si="59"/>
        <v>No</v>
      </c>
      <c r="Y309" s="1"/>
      <c r="Z309" s="1"/>
    </row>
    <row r="310" spans="1:26" ht="14.25" customHeight="1">
      <c r="A310" s="1"/>
      <c r="B310" s="1">
        <v>291</v>
      </c>
      <c r="C310" s="1" t="s">
        <v>140</v>
      </c>
      <c r="D310" s="1" t="s">
        <v>153</v>
      </c>
      <c r="E310" s="1" t="s">
        <v>131</v>
      </c>
      <c r="F310" s="1" t="s">
        <v>131</v>
      </c>
      <c r="G310" s="1" t="s">
        <v>190</v>
      </c>
      <c r="H310" s="1" t="s">
        <v>24</v>
      </c>
      <c r="I310" s="1" t="s">
        <v>151</v>
      </c>
      <c r="J310" s="1" t="s">
        <v>156</v>
      </c>
      <c r="K310" s="1" t="s">
        <v>81</v>
      </c>
      <c r="L310" s="1"/>
      <c r="M310" s="1"/>
      <c r="N310" s="1" t="str">
        <f t="shared" si="49"/>
        <v>No</v>
      </c>
      <c r="O310" s="1">
        <f t="shared" si="55"/>
        <v>4</v>
      </c>
      <c r="P310" s="1">
        <f t="shared" si="50"/>
        <v>16</v>
      </c>
      <c r="Q310" s="1">
        <f t="shared" si="51"/>
        <v>0</v>
      </c>
      <c r="R310" s="1">
        <f t="shared" si="52"/>
        <v>0</v>
      </c>
      <c r="S310" s="29">
        <f t="shared" si="53"/>
        <v>25</v>
      </c>
      <c r="T310" s="1" t="str">
        <f t="shared" si="54"/>
        <v>caught</v>
      </c>
      <c r="U310" s="1" t="str">
        <f t="shared" si="56"/>
        <v>2</v>
      </c>
      <c r="V310" s="1" t="str">
        <f t="shared" si="57"/>
        <v xml:space="preserve"> Pakistan</v>
      </c>
      <c r="W310" s="1" t="str">
        <f t="shared" si="58"/>
        <v>The Oval</v>
      </c>
      <c r="X310" s="1" t="str">
        <f t="shared" si="59"/>
        <v>Yes</v>
      </c>
      <c r="Y310" s="1"/>
      <c r="Z310" s="1"/>
    </row>
    <row r="311" spans="1:26" ht="14.25" customHeight="1">
      <c r="A311" s="1"/>
      <c r="B311" s="1">
        <v>292</v>
      </c>
      <c r="C311" s="1" t="s">
        <v>763</v>
      </c>
      <c r="D311" s="1" t="s">
        <v>161</v>
      </c>
      <c r="E311" s="1" t="s">
        <v>130</v>
      </c>
      <c r="F311" s="1" t="s">
        <v>131</v>
      </c>
      <c r="G311" s="1" t="s">
        <v>152</v>
      </c>
      <c r="H311" s="1" t="s">
        <v>32</v>
      </c>
      <c r="I311" s="1" t="s">
        <v>130</v>
      </c>
      <c r="J311" s="1" t="s">
        <v>163</v>
      </c>
      <c r="K311" s="1" t="s">
        <v>76</v>
      </c>
      <c r="L311" s="1"/>
      <c r="M311" s="1"/>
      <c r="N311" s="1" t="str">
        <f t="shared" si="49"/>
        <v>No</v>
      </c>
      <c r="O311" s="1">
        <f t="shared" si="55"/>
        <v>9</v>
      </c>
      <c r="P311" s="1">
        <f t="shared" si="50"/>
        <v>9</v>
      </c>
      <c r="Q311" s="1">
        <f t="shared" si="51"/>
        <v>1</v>
      </c>
      <c r="R311" s="1">
        <f t="shared" si="52"/>
        <v>0</v>
      </c>
      <c r="S311" s="29">
        <f t="shared" si="53"/>
        <v>100</v>
      </c>
      <c r="T311" s="1" t="str">
        <f t="shared" si="54"/>
        <v>not out</v>
      </c>
      <c r="U311" s="1" t="str">
        <f t="shared" si="56"/>
        <v>1</v>
      </c>
      <c r="V311" s="1" t="str">
        <f t="shared" si="57"/>
        <v xml:space="preserve"> West Indies</v>
      </c>
      <c r="W311" s="1" t="str">
        <f t="shared" si="58"/>
        <v>Port of Spain</v>
      </c>
      <c r="X311" s="1" t="str">
        <f t="shared" si="59"/>
        <v>No</v>
      </c>
      <c r="Y311" s="1"/>
      <c r="Z311" s="1"/>
    </row>
    <row r="312" spans="1:26" ht="14.25" customHeight="1">
      <c r="A312" s="1"/>
      <c r="B312" s="1">
        <v>293</v>
      </c>
      <c r="C312" s="1" t="s">
        <v>571</v>
      </c>
      <c r="D312" s="1" t="s">
        <v>325</v>
      </c>
      <c r="E312" s="1" t="s">
        <v>130</v>
      </c>
      <c r="F312" s="1" t="s">
        <v>131</v>
      </c>
      <c r="G312" s="1" t="s">
        <v>152</v>
      </c>
      <c r="H312" s="1" t="s">
        <v>32</v>
      </c>
      <c r="I312" s="1" t="s">
        <v>130</v>
      </c>
      <c r="J312" s="1" t="s">
        <v>163</v>
      </c>
      <c r="K312" s="1" t="s">
        <v>76</v>
      </c>
      <c r="L312" s="1"/>
      <c r="M312" s="1"/>
      <c r="N312" s="1" t="str">
        <f t="shared" si="49"/>
        <v>No</v>
      </c>
      <c r="O312" s="1">
        <f t="shared" si="55"/>
        <v>13</v>
      </c>
      <c r="P312" s="1">
        <f t="shared" si="50"/>
        <v>13</v>
      </c>
      <c r="Q312" s="1">
        <f t="shared" si="51"/>
        <v>1</v>
      </c>
      <c r="R312" s="1">
        <f t="shared" si="52"/>
        <v>0</v>
      </c>
      <c r="S312" s="29">
        <f t="shared" si="53"/>
        <v>100</v>
      </c>
      <c r="T312" s="1" t="str">
        <f t="shared" si="54"/>
        <v>not out</v>
      </c>
      <c r="U312" s="1" t="str">
        <f t="shared" si="56"/>
        <v>1</v>
      </c>
      <c r="V312" s="1" t="str">
        <f t="shared" si="57"/>
        <v xml:space="preserve"> West Indies</v>
      </c>
      <c r="W312" s="1" t="str">
        <f t="shared" si="58"/>
        <v>Port of Spain</v>
      </c>
      <c r="X312" s="1" t="str">
        <f t="shared" si="59"/>
        <v>No</v>
      </c>
      <c r="Y312" s="1"/>
      <c r="Z312" s="1"/>
    </row>
    <row r="313" spans="1:26" ht="14.25" customHeight="1">
      <c r="A313" s="1"/>
      <c r="B313" s="1">
        <v>294</v>
      </c>
      <c r="C313" s="1" t="s">
        <v>703</v>
      </c>
      <c r="D313" s="1" t="s">
        <v>311</v>
      </c>
      <c r="E313" s="1" t="s">
        <v>140</v>
      </c>
      <c r="F313" s="1" t="s">
        <v>151</v>
      </c>
      <c r="G313" s="1" t="s">
        <v>764</v>
      </c>
      <c r="H313" s="1" t="s">
        <v>32</v>
      </c>
      <c r="I313" s="1" t="s">
        <v>130</v>
      </c>
      <c r="J313" s="1" t="s">
        <v>163</v>
      </c>
      <c r="K313" s="1" t="s">
        <v>77</v>
      </c>
      <c r="L313" s="1"/>
      <c r="M313" s="1"/>
      <c r="N313" s="1" t="str">
        <f t="shared" si="49"/>
        <v>No</v>
      </c>
      <c r="O313" s="1">
        <f t="shared" si="55"/>
        <v>78</v>
      </c>
      <c r="P313" s="1">
        <f t="shared" si="50"/>
        <v>79</v>
      </c>
      <c r="Q313" s="1">
        <f t="shared" si="51"/>
        <v>4</v>
      </c>
      <c r="R313" s="1">
        <f t="shared" si="52"/>
        <v>2</v>
      </c>
      <c r="S313" s="29">
        <f t="shared" si="53"/>
        <v>98.73</v>
      </c>
      <c r="T313" s="1" t="str">
        <f t="shared" si="54"/>
        <v>not out</v>
      </c>
      <c r="U313" s="1" t="str">
        <f t="shared" si="56"/>
        <v>1</v>
      </c>
      <c r="V313" s="1" t="str">
        <f t="shared" si="57"/>
        <v xml:space="preserve"> West Indies</v>
      </c>
      <c r="W313" s="1" t="str">
        <f t="shared" si="58"/>
        <v>North Sound</v>
      </c>
      <c r="X313" s="1" t="str">
        <f t="shared" si="59"/>
        <v>No</v>
      </c>
      <c r="Y313" s="1"/>
      <c r="Z313" s="1"/>
    </row>
    <row r="314" spans="1:26" ht="14.25" customHeight="1">
      <c r="A314" s="1"/>
      <c r="B314" s="1">
        <v>295</v>
      </c>
      <c r="C314" s="1" t="s">
        <v>142</v>
      </c>
      <c r="D314" s="1" t="s">
        <v>175</v>
      </c>
      <c r="E314" s="1" t="s">
        <v>130</v>
      </c>
      <c r="F314" s="1" t="s">
        <v>131</v>
      </c>
      <c r="G314" s="1" t="s">
        <v>765</v>
      </c>
      <c r="H314" s="1" t="s">
        <v>24</v>
      </c>
      <c r="I314" s="1" t="s">
        <v>151</v>
      </c>
      <c r="J314" s="1" t="s">
        <v>163</v>
      </c>
      <c r="K314" s="1" t="s">
        <v>77</v>
      </c>
      <c r="L314" s="1"/>
      <c r="M314" s="1"/>
      <c r="N314" s="1" t="str">
        <f t="shared" si="49"/>
        <v>No</v>
      </c>
      <c r="O314" s="1">
        <f t="shared" si="55"/>
        <v>54</v>
      </c>
      <c r="P314" s="1">
        <f t="shared" si="50"/>
        <v>114</v>
      </c>
      <c r="Q314" s="1">
        <f t="shared" si="51"/>
        <v>1</v>
      </c>
      <c r="R314" s="1">
        <f t="shared" si="52"/>
        <v>0</v>
      </c>
      <c r="S314" s="29">
        <f t="shared" si="53"/>
        <v>47.36</v>
      </c>
      <c r="T314" s="1" t="str">
        <f t="shared" si="54"/>
        <v>caught</v>
      </c>
      <c r="U314" s="1" t="str">
        <f t="shared" si="56"/>
        <v>2</v>
      </c>
      <c r="V314" s="1" t="str">
        <f t="shared" si="57"/>
        <v xml:space="preserve"> West Indies</v>
      </c>
      <c r="W314" s="1" t="str">
        <f t="shared" si="58"/>
        <v>North Sound</v>
      </c>
      <c r="X314" s="1" t="str">
        <f t="shared" si="59"/>
        <v>Yes</v>
      </c>
      <c r="Y314" s="1"/>
      <c r="Z314" s="1"/>
    </row>
    <row r="315" spans="1:26" ht="14.25" customHeight="1">
      <c r="A315" s="1"/>
      <c r="B315" s="1">
        <v>296</v>
      </c>
      <c r="C315" s="1" t="s">
        <v>57</v>
      </c>
      <c r="D315" s="1" t="s">
        <v>157</v>
      </c>
      <c r="E315" s="1" t="s">
        <v>157</v>
      </c>
      <c r="F315" s="1" t="s">
        <v>157</v>
      </c>
      <c r="G315" s="1" t="s">
        <v>157</v>
      </c>
      <c r="H315" s="1" t="s">
        <v>157</v>
      </c>
      <c r="I315" s="1" t="s">
        <v>151</v>
      </c>
      <c r="J315" s="1" t="s">
        <v>163</v>
      </c>
      <c r="K315" s="1" t="s">
        <v>78</v>
      </c>
      <c r="L315" s="1"/>
      <c r="M315" s="1"/>
      <c r="N315" s="1" t="str">
        <f t="shared" si="49"/>
        <v>Yes</v>
      </c>
      <c r="O315" s="1" t="str">
        <f t="shared" si="55"/>
        <v>NA</v>
      </c>
      <c r="P315" s="1" t="str">
        <f t="shared" si="50"/>
        <v>NA</v>
      </c>
      <c r="Q315" s="1" t="str">
        <f t="shared" si="51"/>
        <v>NA</v>
      </c>
      <c r="R315" s="1" t="str">
        <f t="shared" si="52"/>
        <v>NA</v>
      </c>
      <c r="S315" s="29" t="str">
        <f t="shared" si="53"/>
        <v>NA</v>
      </c>
      <c r="T315" s="1" t="str">
        <f t="shared" si="54"/>
        <v>NA</v>
      </c>
      <c r="U315" s="1" t="str">
        <f t="shared" si="56"/>
        <v>2</v>
      </c>
      <c r="V315" s="1" t="str">
        <f t="shared" si="57"/>
        <v xml:space="preserve"> West Indies</v>
      </c>
      <c r="W315" s="1" t="str">
        <f t="shared" si="58"/>
        <v>Kingston</v>
      </c>
      <c r="X315" s="1" t="str">
        <f t="shared" si="59"/>
        <v>No</v>
      </c>
      <c r="Y315" s="1"/>
      <c r="Z315" s="1"/>
    </row>
    <row r="316" spans="1:26" ht="14.25" customHeight="1">
      <c r="A316" s="1"/>
      <c r="B316" s="1">
        <v>297</v>
      </c>
      <c r="C316" s="1" t="s">
        <v>57</v>
      </c>
      <c r="D316" s="1" t="s">
        <v>157</v>
      </c>
      <c r="E316" s="1" t="s">
        <v>157</v>
      </c>
      <c r="F316" s="1" t="s">
        <v>157</v>
      </c>
      <c r="G316" s="1" t="s">
        <v>157</v>
      </c>
      <c r="H316" s="1" t="s">
        <v>157</v>
      </c>
      <c r="I316" s="1" t="s">
        <v>151</v>
      </c>
      <c r="J316" s="1" t="s">
        <v>133</v>
      </c>
      <c r="K316" s="1" t="s">
        <v>21</v>
      </c>
      <c r="L316" s="1"/>
      <c r="M316" s="1"/>
      <c r="N316" s="1" t="str">
        <f t="shared" si="49"/>
        <v>Yes</v>
      </c>
      <c r="O316" s="1" t="str">
        <f t="shared" si="55"/>
        <v>NA</v>
      </c>
      <c r="P316" s="1" t="str">
        <f t="shared" si="50"/>
        <v>NA</v>
      </c>
      <c r="Q316" s="1" t="str">
        <f t="shared" si="51"/>
        <v>NA</v>
      </c>
      <c r="R316" s="1" t="str">
        <f t="shared" si="52"/>
        <v>NA</v>
      </c>
      <c r="S316" s="29" t="str">
        <f t="shared" si="53"/>
        <v>NA</v>
      </c>
      <c r="T316" s="1" t="str">
        <f t="shared" si="54"/>
        <v>NA</v>
      </c>
      <c r="U316" s="1" t="str">
        <f t="shared" si="56"/>
        <v>2</v>
      </c>
      <c r="V316" s="1" t="str">
        <f t="shared" si="57"/>
        <v xml:space="preserve"> Sri Lanka</v>
      </c>
      <c r="W316" s="1" t="str">
        <f t="shared" si="58"/>
        <v>Dambulla</v>
      </c>
      <c r="X316" s="1" t="str">
        <f t="shared" si="59"/>
        <v>No</v>
      </c>
      <c r="Y316" s="1"/>
      <c r="Z316" s="1"/>
    </row>
    <row r="317" spans="1:26" ht="14.25" customHeight="1">
      <c r="A317" s="1"/>
      <c r="B317" s="1">
        <v>298</v>
      </c>
      <c r="C317" s="1" t="s">
        <v>554</v>
      </c>
      <c r="D317" s="1" t="s">
        <v>184</v>
      </c>
      <c r="E317" s="1" t="s">
        <v>130</v>
      </c>
      <c r="F317" s="1" t="s">
        <v>131</v>
      </c>
      <c r="G317" s="1" t="s">
        <v>766</v>
      </c>
      <c r="H317" s="1" t="s">
        <v>32</v>
      </c>
      <c r="I317" s="1" t="s">
        <v>151</v>
      </c>
      <c r="J317" s="1" t="s">
        <v>133</v>
      </c>
      <c r="K317" s="1" t="s">
        <v>95</v>
      </c>
      <c r="L317" s="1"/>
      <c r="M317" s="1"/>
      <c r="N317" s="1" t="str">
        <f t="shared" si="49"/>
        <v>No</v>
      </c>
      <c r="O317" s="1">
        <f t="shared" si="55"/>
        <v>45</v>
      </c>
      <c r="P317" s="1">
        <f t="shared" si="50"/>
        <v>68</v>
      </c>
      <c r="Q317" s="1">
        <f t="shared" si="51"/>
        <v>1</v>
      </c>
      <c r="R317" s="1">
        <f t="shared" si="52"/>
        <v>0</v>
      </c>
      <c r="S317" s="29">
        <f t="shared" si="53"/>
        <v>66.17</v>
      </c>
      <c r="T317" s="1" t="str">
        <f t="shared" si="54"/>
        <v>not out</v>
      </c>
      <c r="U317" s="1" t="str">
        <f t="shared" si="56"/>
        <v>2</v>
      </c>
      <c r="V317" s="1" t="str">
        <f t="shared" si="57"/>
        <v xml:space="preserve"> Sri Lanka</v>
      </c>
      <c r="W317" s="1" t="str">
        <f t="shared" si="58"/>
        <v>Pallekele</v>
      </c>
      <c r="X317" s="1" t="str">
        <f t="shared" si="59"/>
        <v>No</v>
      </c>
      <c r="Y317" s="1"/>
      <c r="Z317" s="1"/>
    </row>
    <row r="318" spans="1:26" ht="14.25" customHeight="1">
      <c r="A318" s="1"/>
      <c r="B318" s="1">
        <v>299</v>
      </c>
      <c r="C318" s="1" t="s">
        <v>549</v>
      </c>
      <c r="D318" s="1" t="s">
        <v>288</v>
      </c>
      <c r="E318" s="1" t="s">
        <v>140</v>
      </c>
      <c r="F318" s="1" t="s">
        <v>130</v>
      </c>
      <c r="G318" s="1" t="s">
        <v>767</v>
      </c>
      <c r="H318" s="1" t="s">
        <v>32</v>
      </c>
      <c r="I318" s="1" t="s">
        <v>151</v>
      </c>
      <c r="J318" s="1" t="s">
        <v>133</v>
      </c>
      <c r="K318" s="1" t="s">
        <v>95</v>
      </c>
      <c r="L318" s="1"/>
      <c r="M318" s="1"/>
      <c r="N318" s="1" t="str">
        <f t="shared" si="49"/>
        <v>No</v>
      </c>
      <c r="O318" s="1">
        <f t="shared" si="55"/>
        <v>67</v>
      </c>
      <c r="P318" s="1">
        <f t="shared" si="50"/>
        <v>86</v>
      </c>
      <c r="Q318" s="1">
        <f t="shared" si="51"/>
        <v>4</v>
      </c>
      <c r="R318" s="1">
        <f t="shared" si="52"/>
        <v>1</v>
      </c>
      <c r="S318" s="29">
        <f t="shared" si="53"/>
        <v>77.900000000000006</v>
      </c>
      <c r="T318" s="1" t="str">
        <f t="shared" si="54"/>
        <v>not out</v>
      </c>
      <c r="U318" s="1" t="str">
        <f t="shared" si="56"/>
        <v>2</v>
      </c>
      <c r="V318" s="1" t="str">
        <f t="shared" si="57"/>
        <v xml:space="preserve"> Sri Lanka</v>
      </c>
      <c r="W318" s="1" t="str">
        <f t="shared" si="58"/>
        <v>Pallekele</v>
      </c>
      <c r="X318" s="1" t="str">
        <f t="shared" si="59"/>
        <v>No</v>
      </c>
      <c r="Y318" s="1"/>
      <c r="Z318" s="1"/>
    </row>
    <row r="319" spans="1:26" ht="14.25" customHeight="1">
      <c r="A319" s="1"/>
      <c r="B319" s="1">
        <v>300</v>
      </c>
      <c r="C319" s="1" t="s">
        <v>768</v>
      </c>
      <c r="D319" s="1" t="s">
        <v>386</v>
      </c>
      <c r="E319" s="1" t="s">
        <v>202</v>
      </c>
      <c r="F319" s="1" t="s">
        <v>130</v>
      </c>
      <c r="G319" s="1" t="s">
        <v>267</v>
      </c>
      <c r="H319" s="1" t="s">
        <v>32</v>
      </c>
      <c r="I319" s="1" t="s">
        <v>130</v>
      </c>
      <c r="J319" s="1" t="s">
        <v>133</v>
      </c>
      <c r="K319" s="1" t="s">
        <v>27</v>
      </c>
      <c r="L319" s="1"/>
      <c r="M319" s="1"/>
      <c r="N319" s="1" t="str">
        <f t="shared" si="49"/>
        <v>No</v>
      </c>
      <c r="O319" s="1">
        <f t="shared" si="55"/>
        <v>49</v>
      </c>
      <c r="P319" s="1">
        <f t="shared" si="50"/>
        <v>42</v>
      </c>
      <c r="Q319" s="1">
        <f t="shared" si="51"/>
        <v>5</v>
      </c>
      <c r="R319" s="1">
        <f t="shared" si="52"/>
        <v>1</v>
      </c>
      <c r="S319" s="29">
        <f t="shared" si="53"/>
        <v>116.66</v>
      </c>
      <c r="T319" s="1" t="str">
        <f t="shared" si="54"/>
        <v>not out</v>
      </c>
      <c r="U319" s="1" t="str">
        <f t="shared" si="56"/>
        <v>1</v>
      </c>
      <c r="V319" s="1" t="str">
        <f t="shared" si="57"/>
        <v xml:space="preserve"> Sri Lanka</v>
      </c>
      <c r="W319" s="1" t="str">
        <f t="shared" si="58"/>
        <v>Colombo (RPS)</v>
      </c>
      <c r="X319" s="1" t="str">
        <f t="shared" si="59"/>
        <v>No</v>
      </c>
      <c r="Y319" s="1"/>
      <c r="Z319" s="1"/>
    </row>
    <row r="320" spans="1:26" ht="14.25" customHeight="1">
      <c r="A320" s="1"/>
      <c r="B320" s="1">
        <v>301</v>
      </c>
      <c r="C320" s="1" t="s">
        <v>362</v>
      </c>
      <c r="D320" s="1" t="s">
        <v>130</v>
      </c>
      <c r="E320" s="1" t="s">
        <v>131</v>
      </c>
      <c r="F320" s="1" t="s">
        <v>131</v>
      </c>
      <c r="G320" s="1" t="s">
        <v>152</v>
      </c>
      <c r="H320" s="1" t="s">
        <v>32</v>
      </c>
      <c r="I320" s="1" t="s">
        <v>151</v>
      </c>
      <c r="J320" s="1" t="s">
        <v>133</v>
      </c>
      <c r="K320" s="1" t="s">
        <v>27</v>
      </c>
      <c r="L320" s="1"/>
      <c r="M320" s="1"/>
      <c r="N320" s="1" t="str">
        <f t="shared" si="49"/>
        <v>No</v>
      </c>
      <c r="O320" s="1">
        <f t="shared" si="55"/>
        <v>1</v>
      </c>
      <c r="P320" s="1">
        <f t="shared" si="50"/>
        <v>1</v>
      </c>
      <c r="Q320" s="1">
        <f t="shared" si="51"/>
        <v>0</v>
      </c>
      <c r="R320" s="1">
        <f t="shared" si="52"/>
        <v>0</v>
      </c>
      <c r="S320" s="29">
        <f t="shared" si="53"/>
        <v>100</v>
      </c>
      <c r="T320" s="1" t="str">
        <f t="shared" si="54"/>
        <v>not out</v>
      </c>
      <c r="U320" s="1" t="str">
        <f t="shared" si="56"/>
        <v>2</v>
      </c>
      <c r="V320" s="1" t="str">
        <f t="shared" si="57"/>
        <v xml:space="preserve"> Sri Lanka</v>
      </c>
      <c r="W320" s="1" t="str">
        <f t="shared" si="58"/>
        <v>Colombo (RPS)</v>
      </c>
      <c r="X320" s="1" t="str">
        <f t="shared" si="59"/>
        <v>No</v>
      </c>
      <c r="Y320" s="1"/>
      <c r="Z320" s="1"/>
    </row>
    <row r="321" spans="1:26" ht="14.25" customHeight="1">
      <c r="A321" s="1"/>
      <c r="B321" s="1">
        <v>302</v>
      </c>
      <c r="C321" s="1" t="s">
        <v>311</v>
      </c>
      <c r="D321" s="1" t="s">
        <v>332</v>
      </c>
      <c r="E321" s="1" t="s">
        <v>140</v>
      </c>
      <c r="F321" s="1" t="s">
        <v>151</v>
      </c>
      <c r="G321" s="1" t="s">
        <v>769</v>
      </c>
      <c r="H321" s="1" t="s">
        <v>24</v>
      </c>
      <c r="I321" s="1" t="s">
        <v>130</v>
      </c>
      <c r="J321" s="1" t="s">
        <v>158</v>
      </c>
      <c r="K321" s="1" t="s">
        <v>68</v>
      </c>
      <c r="L321" s="1"/>
      <c r="M321" s="1"/>
      <c r="N321" s="1" t="str">
        <f t="shared" si="49"/>
        <v>No</v>
      </c>
      <c r="O321" s="1">
        <f t="shared" si="55"/>
        <v>79</v>
      </c>
      <c r="P321" s="1">
        <f t="shared" si="50"/>
        <v>88</v>
      </c>
      <c r="Q321" s="1">
        <f t="shared" si="51"/>
        <v>4</v>
      </c>
      <c r="R321" s="1">
        <f t="shared" si="52"/>
        <v>2</v>
      </c>
      <c r="S321" s="29">
        <f t="shared" si="53"/>
        <v>89.77</v>
      </c>
      <c r="T321" s="1" t="str">
        <f t="shared" si="54"/>
        <v>caught</v>
      </c>
      <c r="U321" s="1" t="str">
        <f t="shared" si="56"/>
        <v>1</v>
      </c>
      <c r="V321" s="1" t="str">
        <f t="shared" si="57"/>
        <v xml:space="preserve"> Australia</v>
      </c>
      <c r="W321" s="1" t="str">
        <f t="shared" si="58"/>
        <v>Chennai</v>
      </c>
      <c r="X321" s="1" t="str">
        <f t="shared" si="59"/>
        <v>Yes</v>
      </c>
      <c r="Y321" s="1"/>
      <c r="Z321" s="1"/>
    </row>
    <row r="322" spans="1:26" ht="14.25" customHeight="1">
      <c r="A322" s="1"/>
      <c r="B322" s="1">
        <v>303</v>
      </c>
      <c r="C322" s="1" t="s">
        <v>202</v>
      </c>
      <c r="D322" s="1" t="s">
        <v>167</v>
      </c>
      <c r="E322" s="1" t="s">
        <v>130</v>
      </c>
      <c r="F322" s="1" t="s">
        <v>131</v>
      </c>
      <c r="G322" s="1" t="s">
        <v>204</v>
      </c>
      <c r="H322" s="1" t="s">
        <v>24</v>
      </c>
      <c r="I322" s="1" t="s">
        <v>130</v>
      </c>
      <c r="J322" s="1" t="s">
        <v>158</v>
      </c>
      <c r="K322" s="1" t="s">
        <v>51</v>
      </c>
      <c r="L322" s="1"/>
      <c r="M322" s="1"/>
      <c r="N322" s="1" t="str">
        <f t="shared" si="49"/>
        <v>No</v>
      </c>
      <c r="O322" s="1">
        <f t="shared" si="55"/>
        <v>5</v>
      </c>
      <c r="P322" s="1">
        <f t="shared" si="50"/>
        <v>10</v>
      </c>
      <c r="Q322" s="1">
        <f t="shared" si="51"/>
        <v>1</v>
      </c>
      <c r="R322" s="1">
        <f t="shared" si="52"/>
        <v>0</v>
      </c>
      <c r="S322" s="29">
        <f t="shared" si="53"/>
        <v>50</v>
      </c>
      <c r="T322" s="1" t="str">
        <f t="shared" si="54"/>
        <v>caught</v>
      </c>
      <c r="U322" s="1" t="str">
        <f t="shared" si="56"/>
        <v>1</v>
      </c>
      <c r="V322" s="1" t="str">
        <f t="shared" si="57"/>
        <v xml:space="preserve"> Australia</v>
      </c>
      <c r="W322" s="1" t="str">
        <f t="shared" si="58"/>
        <v>Eden Gardens</v>
      </c>
      <c r="X322" s="1" t="str">
        <f t="shared" si="59"/>
        <v>Yes</v>
      </c>
      <c r="Y322" s="1"/>
      <c r="Z322" s="1"/>
    </row>
    <row r="323" spans="1:26" ht="14.25" customHeight="1">
      <c r="A323" s="1"/>
      <c r="B323" s="1">
        <v>304</v>
      </c>
      <c r="C323" s="1" t="s">
        <v>377</v>
      </c>
      <c r="D323" s="1" t="s">
        <v>136</v>
      </c>
      <c r="E323" s="1" t="s">
        <v>131</v>
      </c>
      <c r="F323" s="1" t="s">
        <v>131</v>
      </c>
      <c r="G323" s="1" t="s">
        <v>204</v>
      </c>
      <c r="H323" s="1" t="s">
        <v>32</v>
      </c>
      <c r="I323" s="1" t="s">
        <v>151</v>
      </c>
      <c r="J323" s="1" t="s">
        <v>158</v>
      </c>
      <c r="K323" s="1" t="s">
        <v>87</v>
      </c>
      <c r="L323" s="1"/>
      <c r="M323" s="1"/>
      <c r="N323" s="1" t="str">
        <f t="shared" si="49"/>
        <v>No</v>
      </c>
      <c r="O323" s="1">
        <f t="shared" si="55"/>
        <v>3</v>
      </c>
      <c r="P323" s="1">
        <f t="shared" si="50"/>
        <v>6</v>
      </c>
      <c r="Q323" s="1">
        <f t="shared" si="51"/>
        <v>0</v>
      </c>
      <c r="R323" s="1">
        <f t="shared" si="52"/>
        <v>0</v>
      </c>
      <c r="S323" s="29">
        <f t="shared" si="53"/>
        <v>50</v>
      </c>
      <c r="T323" s="1" t="str">
        <f t="shared" si="54"/>
        <v>not out</v>
      </c>
      <c r="U323" s="1" t="str">
        <f t="shared" si="56"/>
        <v>2</v>
      </c>
      <c r="V323" s="1" t="str">
        <f t="shared" si="57"/>
        <v xml:space="preserve"> Australia</v>
      </c>
      <c r="W323" s="1" t="str">
        <f t="shared" si="58"/>
        <v>Indore</v>
      </c>
      <c r="X323" s="1" t="str">
        <f t="shared" si="59"/>
        <v>No</v>
      </c>
      <c r="Y323" s="1"/>
      <c r="Z323" s="1"/>
    </row>
    <row r="324" spans="1:26" ht="14.25" customHeight="1">
      <c r="A324" s="1"/>
      <c r="B324" s="1">
        <v>305</v>
      </c>
      <c r="C324" s="1" t="s">
        <v>325</v>
      </c>
      <c r="D324" s="1" t="s">
        <v>167</v>
      </c>
      <c r="E324" s="1" t="s">
        <v>130</v>
      </c>
      <c r="F324" s="1" t="s">
        <v>130</v>
      </c>
      <c r="G324" s="1" t="s">
        <v>770</v>
      </c>
      <c r="H324" s="1" t="s">
        <v>29</v>
      </c>
      <c r="I324" s="1" t="s">
        <v>151</v>
      </c>
      <c r="J324" s="1" t="s">
        <v>158</v>
      </c>
      <c r="K324" s="1" t="s">
        <v>67</v>
      </c>
      <c r="L324" s="1"/>
      <c r="M324" s="1"/>
      <c r="N324" s="1" t="str">
        <f t="shared" si="49"/>
        <v>No</v>
      </c>
      <c r="O324" s="1">
        <f t="shared" si="55"/>
        <v>13</v>
      </c>
      <c r="P324" s="1">
        <f t="shared" si="50"/>
        <v>10</v>
      </c>
      <c r="Q324" s="1">
        <f t="shared" si="51"/>
        <v>1</v>
      </c>
      <c r="R324" s="1">
        <f t="shared" si="52"/>
        <v>1</v>
      </c>
      <c r="S324" s="29">
        <f t="shared" si="53"/>
        <v>130</v>
      </c>
      <c r="T324" s="1" t="str">
        <f t="shared" si="54"/>
        <v>bowled</v>
      </c>
      <c r="U324" s="1" t="str">
        <f t="shared" si="56"/>
        <v>2</v>
      </c>
      <c r="V324" s="1" t="str">
        <f t="shared" si="57"/>
        <v xml:space="preserve"> Australia</v>
      </c>
      <c r="W324" s="1" t="str">
        <f t="shared" si="58"/>
        <v>Bengaluru</v>
      </c>
      <c r="X324" s="1" t="str">
        <f t="shared" si="59"/>
        <v>Yes</v>
      </c>
      <c r="Y324" s="1"/>
      <c r="Z324" s="1"/>
    </row>
    <row r="325" spans="1:26" ht="14.25" customHeight="1">
      <c r="A325" s="1"/>
      <c r="B325" s="1">
        <v>306</v>
      </c>
      <c r="C325" s="1" t="s">
        <v>57</v>
      </c>
      <c r="D325" s="1" t="s">
        <v>157</v>
      </c>
      <c r="E325" s="1" t="s">
        <v>157</v>
      </c>
      <c r="F325" s="1" t="s">
        <v>157</v>
      </c>
      <c r="G325" s="1" t="s">
        <v>157</v>
      </c>
      <c r="H325" s="1" t="s">
        <v>157</v>
      </c>
      <c r="I325" s="1" t="s">
        <v>151</v>
      </c>
      <c r="J325" s="1" t="s">
        <v>158</v>
      </c>
      <c r="K325" s="1" t="s">
        <v>50</v>
      </c>
      <c r="L325" s="1"/>
      <c r="M325" s="1"/>
      <c r="N325" s="1" t="str">
        <f t="shared" si="49"/>
        <v>Yes</v>
      </c>
      <c r="O325" s="1" t="str">
        <f t="shared" si="55"/>
        <v>NA</v>
      </c>
      <c r="P325" s="1" t="str">
        <f t="shared" si="50"/>
        <v>NA</v>
      </c>
      <c r="Q325" s="1" t="str">
        <f t="shared" si="51"/>
        <v>NA</v>
      </c>
      <c r="R325" s="1" t="str">
        <f t="shared" si="52"/>
        <v>NA</v>
      </c>
      <c r="S325" s="29" t="str">
        <f t="shared" si="53"/>
        <v>NA</v>
      </c>
      <c r="T325" s="1" t="str">
        <f t="shared" si="54"/>
        <v>NA</v>
      </c>
      <c r="U325" s="1" t="str">
        <f t="shared" si="56"/>
        <v>2</v>
      </c>
      <c r="V325" s="1" t="str">
        <f t="shared" si="57"/>
        <v xml:space="preserve"> Australia</v>
      </c>
      <c r="W325" s="1" t="str">
        <f t="shared" si="58"/>
        <v>Nagpur</v>
      </c>
      <c r="X325" s="1" t="str">
        <f t="shared" si="59"/>
        <v>No</v>
      </c>
      <c r="Y325" s="1"/>
      <c r="Z325" s="1"/>
    </row>
    <row r="326" spans="1:26" ht="14.25" customHeight="1">
      <c r="A326" s="1"/>
      <c r="B326" s="1">
        <v>307</v>
      </c>
      <c r="C326" s="1" t="s">
        <v>138</v>
      </c>
      <c r="D326" s="1" t="s">
        <v>386</v>
      </c>
      <c r="E326" s="1" t="s">
        <v>151</v>
      </c>
      <c r="F326" s="1" t="s">
        <v>131</v>
      </c>
      <c r="G326" s="1" t="s">
        <v>699</v>
      </c>
      <c r="H326" s="1" t="s">
        <v>24</v>
      </c>
      <c r="I326" s="1" t="s">
        <v>130</v>
      </c>
      <c r="J326" s="1" t="s">
        <v>211</v>
      </c>
      <c r="K326" s="1" t="s">
        <v>75</v>
      </c>
      <c r="L326" s="1"/>
      <c r="M326" s="1"/>
      <c r="N326" s="1" t="str">
        <f t="shared" si="49"/>
        <v>No</v>
      </c>
      <c r="O326" s="1">
        <f t="shared" si="55"/>
        <v>25</v>
      </c>
      <c r="P326" s="1">
        <f t="shared" si="50"/>
        <v>42</v>
      </c>
      <c r="Q326" s="1">
        <f t="shared" si="51"/>
        <v>2</v>
      </c>
      <c r="R326" s="1">
        <f t="shared" si="52"/>
        <v>0</v>
      </c>
      <c r="S326" s="29">
        <f t="shared" si="53"/>
        <v>59.52</v>
      </c>
      <c r="T326" s="1" t="str">
        <f t="shared" si="54"/>
        <v>caught</v>
      </c>
      <c r="U326" s="1" t="str">
        <f t="shared" si="56"/>
        <v>1</v>
      </c>
      <c r="V326" s="1" t="str">
        <f t="shared" si="57"/>
        <v xml:space="preserve"> New Zealand</v>
      </c>
      <c r="W326" s="1" t="str">
        <f t="shared" si="58"/>
        <v>Wankhede</v>
      </c>
      <c r="X326" s="1" t="str">
        <f t="shared" si="59"/>
        <v>Yes</v>
      </c>
      <c r="Y326" s="1"/>
      <c r="Z326" s="1"/>
    </row>
    <row r="327" spans="1:26" ht="14.25" customHeight="1">
      <c r="A327" s="1"/>
      <c r="B327" s="1">
        <v>308</v>
      </c>
      <c r="C327" s="1" t="s">
        <v>771</v>
      </c>
      <c r="D327" s="1" t="s">
        <v>246</v>
      </c>
      <c r="E327" s="1" t="s">
        <v>148</v>
      </c>
      <c r="F327" s="1" t="s">
        <v>131</v>
      </c>
      <c r="G327" s="1" t="s">
        <v>520</v>
      </c>
      <c r="H327" s="1" t="s">
        <v>32</v>
      </c>
      <c r="I327" s="1" t="s">
        <v>151</v>
      </c>
      <c r="J327" s="1" t="s">
        <v>211</v>
      </c>
      <c r="K327" s="1" t="s">
        <v>100</v>
      </c>
      <c r="L327" s="1"/>
      <c r="M327" s="1"/>
      <c r="N327" s="1" t="str">
        <f t="shared" si="49"/>
        <v>No</v>
      </c>
      <c r="O327" s="1">
        <f t="shared" si="55"/>
        <v>18</v>
      </c>
      <c r="P327" s="1">
        <f t="shared" si="50"/>
        <v>21</v>
      </c>
      <c r="Q327" s="1">
        <f t="shared" si="51"/>
        <v>3</v>
      </c>
      <c r="R327" s="1">
        <f t="shared" si="52"/>
        <v>0</v>
      </c>
      <c r="S327" s="29">
        <f t="shared" si="53"/>
        <v>85.71</v>
      </c>
      <c r="T327" s="1" t="str">
        <f t="shared" si="54"/>
        <v>not out</v>
      </c>
      <c r="U327" s="1" t="str">
        <f t="shared" si="56"/>
        <v>2</v>
      </c>
      <c r="V327" s="1" t="str">
        <f t="shared" si="57"/>
        <v xml:space="preserve"> New Zealand</v>
      </c>
      <c r="W327" s="1" t="str">
        <f t="shared" si="58"/>
        <v>Pune</v>
      </c>
      <c r="X327" s="1" t="str">
        <f t="shared" si="59"/>
        <v>No</v>
      </c>
      <c r="Y327" s="1"/>
      <c r="Z327" s="1"/>
    </row>
    <row r="328" spans="1:26" ht="14.25" customHeight="1">
      <c r="A328" s="1"/>
      <c r="B328" s="1">
        <v>309</v>
      </c>
      <c r="C328" s="1" t="s">
        <v>138</v>
      </c>
      <c r="D328" s="1" t="s">
        <v>306</v>
      </c>
      <c r="E328" s="1" t="s">
        <v>148</v>
      </c>
      <c r="F328" s="1" t="s">
        <v>131</v>
      </c>
      <c r="G328" s="1" t="s">
        <v>772</v>
      </c>
      <c r="H328" s="1" t="s">
        <v>24</v>
      </c>
      <c r="I328" s="1" t="s">
        <v>130</v>
      </c>
      <c r="J328" s="1" t="s">
        <v>211</v>
      </c>
      <c r="K328" s="1" t="s">
        <v>101</v>
      </c>
      <c r="L328" s="1"/>
      <c r="M328" s="1"/>
      <c r="N328" s="1" t="str">
        <f t="shared" si="49"/>
        <v>No</v>
      </c>
      <c r="O328" s="1">
        <f t="shared" si="55"/>
        <v>25</v>
      </c>
      <c r="P328" s="1">
        <f t="shared" si="50"/>
        <v>17</v>
      </c>
      <c r="Q328" s="1">
        <f t="shared" si="51"/>
        <v>3</v>
      </c>
      <c r="R328" s="1">
        <f t="shared" si="52"/>
        <v>0</v>
      </c>
      <c r="S328" s="29">
        <f t="shared" si="53"/>
        <v>147.05000000000001</v>
      </c>
      <c r="T328" s="1" t="str">
        <f t="shared" si="54"/>
        <v>caught</v>
      </c>
      <c r="U328" s="1" t="str">
        <f t="shared" si="56"/>
        <v>1</v>
      </c>
      <c r="V328" s="1" t="str">
        <f t="shared" si="57"/>
        <v xml:space="preserve"> New Zealand</v>
      </c>
      <c r="W328" s="1" t="str">
        <f t="shared" si="58"/>
        <v>Kanpur</v>
      </c>
      <c r="X328" s="1" t="str">
        <f t="shared" si="59"/>
        <v>Yes</v>
      </c>
      <c r="Y328" s="1"/>
      <c r="Z328" s="1"/>
    </row>
    <row r="329" spans="1:26" ht="14.25" customHeight="1">
      <c r="A329" s="1"/>
      <c r="B329" s="1">
        <v>310</v>
      </c>
      <c r="C329" s="1" t="s">
        <v>172</v>
      </c>
      <c r="D329" s="1" t="s">
        <v>421</v>
      </c>
      <c r="E329" s="1" t="s">
        <v>167</v>
      </c>
      <c r="F329" s="1" t="s">
        <v>151</v>
      </c>
      <c r="G329" s="1" t="s">
        <v>773</v>
      </c>
      <c r="H329" s="1" t="s">
        <v>24</v>
      </c>
      <c r="I329" s="1" t="s">
        <v>130</v>
      </c>
      <c r="J329" s="1" t="s">
        <v>133</v>
      </c>
      <c r="K329" s="1" t="s">
        <v>98</v>
      </c>
      <c r="L329" s="1"/>
      <c r="M329" s="1"/>
      <c r="N329" s="1" t="str">
        <f t="shared" si="49"/>
        <v>No</v>
      </c>
      <c r="O329" s="1">
        <f t="shared" si="55"/>
        <v>65</v>
      </c>
      <c r="P329" s="1">
        <f t="shared" si="50"/>
        <v>87</v>
      </c>
      <c r="Q329" s="1">
        <f t="shared" si="51"/>
        <v>10</v>
      </c>
      <c r="R329" s="1">
        <f t="shared" si="52"/>
        <v>2</v>
      </c>
      <c r="S329" s="29">
        <f t="shared" si="53"/>
        <v>74.709999999999994</v>
      </c>
      <c r="T329" s="1" t="str">
        <f t="shared" si="54"/>
        <v>caught</v>
      </c>
      <c r="U329" s="1" t="str">
        <f t="shared" si="56"/>
        <v>1</v>
      </c>
      <c r="V329" s="1" t="str">
        <f t="shared" si="57"/>
        <v xml:space="preserve"> Sri Lanka</v>
      </c>
      <c r="W329" s="1" t="str">
        <f t="shared" si="58"/>
        <v>Dharamsala</v>
      </c>
      <c r="X329" s="1" t="str">
        <f t="shared" si="59"/>
        <v>Yes</v>
      </c>
      <c r="Y329" s="1"/>
      <c r="Z329" s="1"/>
    </row>
    <row r="330" spans="1:26" ht="14.25" customHeight="1">
      <c r="A330" s="1"/>
      <c r="B330" s="1">
        <v>311</v>
      </c>
      <c r="C330" s="1" t="s">
        <v>144</v>
      </c>
      <c r="D330" s="1" t="s">
        <v>202</v>
      </c>
      <c r="E330" s="1" t="s">
        <v>131</v>
      </c>
      <c r="F330" s="1" t="s">
        <v>130</v>
      </c>
      <c r="G330" s="1" t="s">
        <v>774</v>
      </c>
      <c r="H330" s="1" t="s">
        <v>19</v>
      </c>
      <c r="I330" s="1" t="s">
        <v>130</v>
      </c>
      <c r="J330" s="1" t="s">
        <v>133</v>
      </c>
      <c r="K330" s="1" t="s">
        <v>46</v>
      </c>
      <c r="L330" s="1"/>
      <c r="M330" s="1"/>
      <c r="N330" s="1" t="str">
        <f t="shared" si="49"/>
        <v>No</v>
      </c>
      <c r="O330" s="1">
        <f t="shared" si="55"/>
        <v>7</v>
      </c>
      <c r="P330" s="1">
        <f t="shared" si="50"/>
        <v>5</v>
      </c>
      <c r="Q330" s="1">
        <f t="shared" si="51"/>
        <v>0</v>
      </c>
      <c r="R330" s="1">
        <f t="shared" si="52"/>
        <v>1</v>
      </c>
      <c r="S330" s="29">
        <f t="shared" si="53"/>
        <v>140</v>
      </c>
      <c r="T330" s="1" t="str">
        <f t="shared" si="54"/>
        <v>lbw</v>
      </c>
      <c r="U330" s="1" t="str">
        <f t="shared" si="56"/>
        <v>1</v>
      </c>
      <c r="V330" s="1" t="str">
        <f t="shared" si="57"/>
        <v xml:space="preserve"> Sri Lanka</v>
      </c>
      <c r="W330" s="1" t="str">
        <f t="shared" si="58"/>
        <v>Mohali</v>
      </c>
      <c r="X330" s="1" t="str">
        <f t="shared" si="59"/>
        <v>Yes</v>
      </c>
      <c r="Y330" s="1"/>
      <c r="Z330" s="1"/>
    </row>
    <row r="331" spans="1:26" ht="14.25" customHeight="1">
      <c r="A331" s="1"/>
      <c r="B331" s="1">
        <v>312</v>
      </c>
      <c r="C331" s="1" t="s">
        <v>57</v>
      </c>
      <c r="D331" s="1" t="s">
        <v>157</v>
      </c>
      <c r="E331" s="1" t="s">
        <v>157</v>
      </c>
      <c r="F331" s="1" t="s">
        <v>157</v>
      </c>
      <c r="G331" s="1" t="s">
        <v>157</v>
      </c>
      <c r="H331" s="1" t="s">
        <v>157</v>
      </c>
      <c r="I331" s="1" t="s">
        <v>151</v>
      </c>
      <c r="J331" s="1" t="s">
        <v>133</v>
      </c>
      <c r="K331" s="1" t="s">
        <v>65</v>
      </c>
      <c r="L331" s="1"/>
      <c r="M331" s="1"/>
      <c r="N331" s="1" t="str">
        <f t="shared" si="49"/>
        <v>Yes</v>
      </c>
      <c r="O331" s="1" t="str">
        <f t="shared" si="55"/>
        <v>NA</v>
      </c>
      <c r="P331" s="1" t="str">
        <f t="shared" si="50"/>
        <v>NA</v>
      </c>
      <c r="Q331" s="1" t="str">
        <f t="shared" si="51"/>
        <v>NA</v>
      </c>
      <c r="R331" s="1" t="str">
        <f t="shared" si="52"/>
        <v>NA</v>
      </c>
      <c r="S331" s="29" t="str">
        <f t="shared" si="53"/>
        <v>NA</v>
      </c>
      <c r="T331" s="1" t="str">
        <f t="shared" si="54"/>
        <v>NA</v>
      </c>
      <c r="U331" s="1" t="str">
        <f t="shared" si="56"/>
        <v>2</v>
      </c>
      <c r="V331" s="1" t="str">
        <f t="shared" si="57"/>
        <v xml:space="preserve"> Sri Lanka</v>
      </c>
      <c r="W331" s="1" t="str">
        <f t="shared" si="58"/>
        <v>Visakhapatnam</v>
      </c>
      <c r="X331" s="1" t="str">
        <f t="shared" si="59"/>
        <v>No</v>
      </c>
      <c r="Y331" s="1"/>
      <c r="Z331" s="1"/>
    </row>
    <row r="332" spans="1:26" ht="14.25" customHeight="1">
      <c r="A332" s="1"/>
      <c r="B332" s="1">
        <v>313</v>
      </c>
      <c r="C332" s="1" t="s">
        <v>715</v>
      </c>
      <c r="D332" s="1" t="s">
        <v>148</v>
      </c>
      <c r="E332" s="1" t="s">
        <v>130</v>
      </c>
      <c r="F332" s="1" t="s">
        <v>131</v>
      </c>
      <c r="G332" s="1" t="s">
        <v>502</v>
      </c>
      <c r="H332" s="1" t="s">
        <v>32</v>
      </c>
      <c r="I332" s="1" t="s">
        <v>151</v>
      </c>
      <c r="J332" s="1" t="s">
        <v>191</v>
      </c>
      <c r="K332" s="1" t="s">
        <v>69</v>
      </c>
      <c r="L332" s="1"/>
      <c r="M332" s="1"/>
      <c r="N332" s="1" t="str">
        <f t="shared" si="49"/>
        <v>No</v>
      </c>
      <c r="O332" s="1">
        <f t="shared" si="55"/>
        <v>4</v>
      </c>
      <c r="P332" s="1">
        <f t="shared" si="50"/>
        <v>3</v>
      </c>
      <c r="Q332" s="1">
        <f t="shared" si="51"/>
        <v>1</v>
      </c>
      <c r="R332" s="1">
        <f t="shared" si="52"/>
        <v>0</v>
      </c>
      <c r="S332" s="29">
        <f t="shared" si="53"/>
        <v>133.33000000000001</v>
      </c>
      <c r="T332" s="1" t="str">
        <f t="shared" si="54"/>
        <v>not out</v>
      </c>
      <c r="U332" s="1" t="str">
        <f t="shared" si="56"/>
        <v>2</v>
      </c>
      <c r="V332" s="1" t="str">
        <f t="shared" si="57"/>
        <v xml:space="preserve"> South Africa</v>
      </c>
      <c r="W332" s="1" t="str">
        <f t="shared" si="58"/>
        <v>Durban</v>
      </c>
      <c r="X332" s="1" t="str">
        <f t="shared" si="59"/>
        <v>No</v>
      </c>
      <c r="Y332" s="1"/>
      <c r="Z332" s="1"/>
    </row>
    <row r="333" spans="1:26" ht="14.25" customHeight="1">
      <c r="A333" s="1"/>
      <c r="B333" s="1">
        <v>314</v>
      </c>
      <c r="C333" s="1" t="s">
        <v>57</v>
      </c>
      <c r="D333" s="1" t="s">
        <v>157</v>
      </c>
      <c r="E333" s="1" t="s">
        <v>157</v>
      </c>
      <c r="F333" s="1" t="s">
        <v>157</v>
      </c>
      <c r="G333" s="1" t="s">
        <v>157</v>
      </c>
      <c r="H333" s="1" t="s">
        <v>157</v>
      </c>
      <c r="I333" s="1" t="s">
        <v>151</v>
      </c>
      <c r="J333" s="1" t="s">
        <v>191</v>
      </c>
      <c r="K333" s="1" t="s">
        <v>36</v>
      </c>
      <c r="L333" s="1"/>
      <c r="M333" s="1"/>
      <c r="N333" s="1" t="str">
        <f t="shared" si="49"/>
        <v>Yes</v>
      </c>
      <c r="O333" s="1" t="str">
        <f t="shared" si="55"/>
        <v>NA</v>
      </c>
      <c r="P333" s="1" t="str">
        <f t="shared" si="50"/>
        <v>NA</v>
      </c>
      <c r="Q333" s="1" t="str">
        <f t="shared" si="51"/>
        <v>NA</v>
      </c>
      <c r="R333" s="1" t="str">
        <f t="shared" si="52"/>
        <v>NA</v>
      </c>
      <c r="S333" s="29" t="str">
        <f t="shared" si="53"/>
        <v>NA</v>
      </c>
      <c r="T333" s="1" t="str">
        <f t="shared" si="54"/>
        <v>NA</v>
      </c>
      <c r="U333" s="1" t="str">
        <f t="shared" si="56"/>
        <v>2</v>
      </c>
      <c r="V333" s="1" t="str">
        <f t="shared" si="57"/>
        <v xml:space="preserve"> South Africa</v>
      </c>
      <c r="W333" s="1" t="str">
        <f t="shared" si="58"/>
        <v>Centurion</v>
      </c>
      <c r="X333" s="1" t="str">
        <f t="shared" si="59"/>
        <v>No</v>
      </c>
      <c r="Y333" s="1"/>
      <c r="Z333" s="1"/>
    </row>
    <row r="334" spans="1:26" ht="14.25" customHeight="1">
      <c r="A334" s="1"/>
      <c r="B334" s="1">
        <v>315</v>
      </c>
      <c r="C334" s="1" t="s">
        <v>167</v>
      </c>
      <c r="D334" s="1" t="s">
        <v>129</v>
      </c>
      <c r="E334" s="1" t="s">
        <v>131</v>
      </c>
      <c r="F334" s="1" t="s">
        <v>131</v>
      </c>
      <c r="G334" s="1" t="s">
        <v>357</v>
      </c>
      <c r="H334" s="1" t="s">
        <v>24</v>
      </c>
      <c r="I334" s="1" t="s">
        <v>130</v>
      </c>
      <c r="J334" s="1" t="s">
        <v>191</v>
      </c>
      <c r="K334" s="1" t="s">
        <v>70</v>
      </c>
      <c r="L334" s="1"/>
      <c r="M334" s="1"/>
      <c r="N334" s="1" t="str">
        <f t="shared" si="49"/>
        <v>No</v>
      </c>
      <c r="O334" s="1">
        <f t="shared" si="55"/>
        <v>10</v>
      </c>
      <c r="P334" s="1">
        <f t="shared" si="50"/>
        <v>22</v>
      </c>
      <c r="Q334" s="1">
        <f t="shared" si="51"/>
        <v>0</v>
      </c>
      <c r="R334" s="1">
        <f t="shared" si="52"/>
        <v>0</v>
      </c>
      <c r="S334" s="29">
        <f t="shared" si="53"/>
        <v>45.45</v>
      </c>
      <c r="T334" s="1" t="str">
        <f t="shared" si="54"/>
        <v>caught</v>
      </c>
      <c r="U334" s="1" t="str">
        <f t="shared" si="56"/>
        <v>1</v>
      </c>
      <c r="V334" s="1" t="str">
        <f t="shared" si="57"/>
        <v xml:space="preserve"> South Africa</v>
      </c>
      <c r="W334" s="1" t="str">
        <f t="shared" si="58"/>
        <v>Cape Town</v>
      </c>
      <c r="X334" s="1" t="str">
        <f t="shared" si="59"/>
        <v>Yes</v>
      </c>
      <c r="Y334" s="1"/>
      <c r="Z334" s="1"/>
    </row>
    <row r="335" spans="1:26" ht="14.25" customHeight="1">
      <c r="A335" s="1"/>
      <c r="B335" s="1">
        <v>316</v>
      </c>
      <c r="C335" s="1" t="s">
        <v>775</v>
      </c>
      <c r="D335" s="1" t="s">
        <v>321</v>
      </c>
      <c r="E335" s="1" t="s">
        <v>148</v>
      </c>
      <c r="F335" s="1" t="s">
        <v>130</v>
      </c>
      <c r="G335" s="1" t="s">
        <v>776</v>
      </c>
      <c r="H335" s="1" t="s">
        <v>32</v>
      </c>
      <c r="I335" s="1" t="s">
        <v>130</v>
      </c>
      <c r="J335" s="1" t="s">
        <v>191</v>
      </c>
      <c r="K335" s="1" t="s">
        <v>43</v>
      </c>
      <c r="L335" s="1"/>
      <c r="M335" s="1"/>
      <c r="N335" s="1" t="str">
        <f t="shared" si="49"/>
        <v>No</v>
      </c>
      <c r="O335" s="1">
        <f t="shared" si="55"/>
        <v>42</v>
      </c>
      <c r="P335" s="1">
        <f t="shared" si="50"/>
        <v>43</v>
      </c>
      <c r="Q335" s="1">
        <f t="shared" si="51"/>
        <v>3</v>
      </c>
      <c r="R335" s="1">
        <f t="shared" si="52"/>
        <v>1</v>
      </c>
      <c r="S335" s="29">
        <f t="shared" si="53"/>
        <v>97.67</v>
      </c>
      <c r="T335" s="1" t="str">
        <f t="shared" si="54"/>
        <v>not out</v>
      </c>
      <c r="U335" s="1" t="str">
        <f t="shared" si="56"/>
        <v>1</v>
      </c>
      <c r="V335" s="1" t="str">
        <f t="shared" si="57"/>
        <v xml:space="preserve"> South Africa</v>
      </c>
      <c r="W335" s="1" t="str">
        <f t="shared" si="58"/>
        <v>Johannesburg</v>
      </c>
      <c r="X335" s="1" t="str">
        <f t="shared" si="59"/>
        <v>No</v>
      </c>
      <c r="Y335" s="1"/>
      <c r="Z335" s="1"/>
    </row>
    <row r="336" spans="1:26" ht="14.25" customHeight="1">
      <c r="A336" s="1"/>
      <c r="B336" s="1">
        <v>317</v>
      </c>
      <c r="C336" s="1" t="s">
        <v>325</v>
      </c>
      <c r="D336" s="1" t="s">
        <v>306</v>
      </c>
      <c r="E336" s="1" t="s">
        <v>130</v>
      </c>
      <c r="F336" s="1" t="s">
        <v>131</v>
      </c>
      <c r="G336" s="1" t="s">
        <v>777</v>
      </c>
      <c r="H336" s="1" t="s">
        <v>24</v>
      </c>
      <c r="I336" s="1" t="s">
        <v>130</v>
      </c>
      <c r="J336" s="1" t="s">
        <v>191</v>
      </c>
      <c r="K336" s="1" t="s">
        <v>71</v>
      </c>
      <c r="L336" s="1"/>
      <c r="M336" s="1"/>
      <c r="N336" s="1" t="str">
        <f t="shared" si="49"/>
        <v>No</v>
      </c>
      <c r="O336" s="1">
        <f t="shared" si="55"/>
        <v>13</v>
      </c>
      <c r="P336" s="1">
        <f t="shared" si="50"/>
        <v>17</v>
      </c>
      <c r="Q336" s="1">
        <f t="shared" si="51"/>
        <v>1</v>
      </c>
      <c r="R336" s="1">
        <f t="shared" si="52"/>
        <v>0</v>
      </c>
      <c r="S336" s="29">
        <f t="shared" si="53"/>
        <v>76.47</v>
      </c>
      <c r="T336" s="1" t="str">
        <f t="shared" si="54"/>
        <v>caught</v>
      </c>
      <c r="U336" s="1" t="str">
        <f t="shared" si="56"/>
        <v>1</v>
      </c>
      <c r="V336" s="1" t="str">
        <f t="shared" si="57"/>
        <v xml:space="preserve"> South Africa</v>
      </c>
      <c r="W336" s="1" t="str">
        <f t="shared" si="58"/>
        <v>Gqeberha</v>
      </c>
      <c r="X336" s="1" t="str">
        <f t="shared" si="59"/>
        <v>Yes</v>
      </c>
      <c r="Y336" s="1"/>
      <c r="Z336" s="1"/>
    </row>
    <row r="337" spans="1:26" ht="14.25" customHeight="1">
      <c r="A337" s="1"/>
      <c r="B337" s="1">
        <v>318</v>
      </c>
      <c r="C337" s="1" t="s">
        <v>57</v>
      </c>
      <c r="D337" s="1" t="s">
        <v>157</v>
      </c>
      <c r="E337" s="1" t="s">
        <v>157</v>
      </c>
      <c r="F337" s="1" t="s">
        <v>157</v>
      </c>
      <c r="G337" s="1" t="s">
        <v>157</v>
      </c>
      <c r="H337" s="1" t="s">
        <v>157</v>
      </c>
      <c r="I337" s="1" t="s">
        <v>151</v>
      </c>
      <c r="J337" s="1" t="s">
        <v>191</v>
      </c>
      <c r="K337" s="1" t="s">
        <v>36</v>
      </c>
      <c r="L337" s="1"/>
      <c r="M337" s="1"/>
      <c r="N337" s="1" t="str">
        <f t="shared" si="49"/>
        <v>Yes</v>
      </c>
      <c r="O337" s="1" t="str">
        <f t="shared" si="55"/>
        <v>NA</v>
      </c>
      <c r="P337" s="1" t="str">
        <f t="shared" si="50"/>
        <v>NA</v>
      </c>
      <c r="Q337" s="1" t="str">
        <f t="shared" si="51"/>
        <v>NA</v>
      </c>
      <c r="R337" s="1" t="str">
        <f t="shared" si="52"/>
        <v>NA</v>
      </c>
      <c r="S337" s="29" t="str">
        <f t="shared" si="53"/>
        <v>NA</v>
      </c>
      <c r="T337" s="1" t="str">
        <f t="shared" si="54"/>
        <v>NA</v>
      </c>
      <c r="U337" s="1" t="str">
        <f t="shared" si="56"/>
        <v>2</v>
      </c>
      <c r="V337" s="1" t="str">
        <f t="shared" si="57"/>
        <v xml:space="preserve"> South Africa</v>
      </c>
      <c r="W337" s="1" t="str">
        <f t="shared" si="58"/>
        <v>Centurion</v>
      </c>
      <c r="X337" s="1" t="str">
        <f t="shared" si="59"/>
        <v>No</v>
      </c>
      <c r="Y337" s="1"/>
      <c r="Z337" s="1"/>
    </row>
    <row r="338" spans="1:26" ht="14.25" customHeight="1">
      <c r="A338" s="1"/>
      <c r="B338" s="1">
        <v>319</v>
      </c>
      <c r="C338" s="1" t="s">
        <v>57</v>
      </c>
      <c r="D338" s="1" t="s">
        <v>157</v>
      </c>
      <c r="E338" s="1" t="s">
        <v>157</v>
      </c>
      <c r="F338" s="1" t="s">
        <v>157</v>
      </c>
      <c r="G338" s="1" t="s">
        <v>157</v>
      </c>
      <c r="H338" s="1" t="s">
        <v>157</v>
      </c>
      <c r="I338" s="1" t="s">
        <v>151</v>
      </c>
      <c r="J338" s="1" t="s">
        <v>234</v>
      </c>
      <c r="K338" s="1" t="s">
        <v>108</v>
      </c>
      <c r="L338" s="1"/>
      <c r="M338" s="1"/>
      <c r="N338" s="1" t="str">
        <f t="shared" si="49"/>
        <v>Yes</v>
      </c>
      <c r="O338" s="1" t="str">
        <f t="shared" si="55"/>
        <v>NA</v>
      </c>
      <c r="P338" s="1" t="str">
        <f t="shared" si="50"/>
        <v>NA</v>
      </c>
      <c r="Q338" s="1" t="str">
        <f t="shared" si="51"/>
        <v>NA</v>
      </c>
      <c r="R338" s="1" t="str">
        <f t="shared" si="52"/>
        <v>NA</v>
      </c>
      <c r="S338" s="29" t="str">
        <f t="shared" si="53"/>
        <v>NA</v>
      </c>
      <c r="T338" s="1" t="str">
        <f t="shared" si="54"/>
        <v>NA</v>
      </c>
      <c r="U338" s="1" t="str">
        <f t="shared" si="56"/>
        <v>2</v>
      </c>
      <c r="V338" s="1" t="str">
        <f t="shared" si="57"/>
        <v xml:space="preserve"> England</v>
      </c>
      <c r="W338" s="1" t="str">
        <f t="shared" si="58"/>
        <v>Nottingham</v>
      </c>
      <c r="X338" s="1" t="str">
        <f t="shared" si="59"/>
        <v>No</v>
      </c>
      <c r="Y338" s="1"/>
      <c r="Z338" s="1"/>
    </row>
    <row r="339" spans="1:26" ht="14.25" customHeight="1">
      <c r="A339" s="1"/>
      <c r="B339" s="1">
        <v>320</v>
      </c>
      <c r="C339" s="1" t="s">
        <v>134</v>
      </c>
      <c r="D339" s="1" t="s">
        <v>241</v>
      </c>
      <c r="E339" s="1" t="s">
        <v>151</v>
      </c>
      <c r="F339" s="1" t="s">
        <v>131</v>
      </c>
      <c r="G339" s="1" t="s">
        <v>778</v>
      </c>
      <c r="H339" s="1" t="s">
        <v>24</v>
      </c>
      <c r="I339" s="1" t="s">
        <v>151</v>
      </c>
      <c r="J339" s="1" t="s">
        <v>234</v>
      </c>
      <c r="K339" s="1" t="s">
        <v>82</v>
      </c>
      <c r="L339" s="1"/>
      <c r="M339" s="1"/>
      <c r="N339" s="1" t="str">
        <f t="shared" si="49"/>
        <v>No</v>
      </c>
      <c r="O339" s="1">
        <f t="shared" si="55"/>
        <v>37</v>
      </c>
      <c r="P339" s="1">
        <f t="shared" si="50"/>
        <v>59</v>
      </c>
      <c r="Q339" s="1">
        <f t="shared" si="51"/>
        <v>2</v>
      </c>
      <c r="R339" s="1">
        <f t="shared" si="52"/>
        <v>0</v>
      </c>
      <c r="S339" s="29">
        <f t="shared" si="53"/>
        <v>62.71</v>
      </c>
      <c r="T339" s="1" t="str">
        <f t="shared" si="54"/>
        <v>caught</v>
      </c>
      <c r="U339" s="1" t="str">
        <f t="shared" si="56"/>
        <v>2</v>
      </c>
      <c r="V339" s="1" t="str">
        <f t="shared" si="57"/>
        <v xml:space="preserve"> England</v>
      </c>
      <c r="W339" s="1" t="str">
        <f t="shared" si="58"/>
        <v>Lord's</v>
      </c>
      <c r="X339" s="1" t="str">
        <f t="shared" si="59"/>
        <v>Yes</v>
      </c>
      <c r="Y339" s="1"/>
      <c r="Z339" s="1"/>
    </row>
    <row r="340" spans="1:26" ht="14.25" customHeight="1">
      <c r="A340" s="1"/>
      <c r="B340" s="1">
        <v>321</v>
      </c>
      <c r="C340" s="1" t="s">
        <v>386</v>
      </c>
      <c r="D340" s="1" t="s">
        <v>143</v>
      </c>
      <c r="E340" s="1" t="s">
        <v>140</v>
      </c>
      <c r="F340" s="1" t="s">
        <v>131</v>
      </c>
      <c r="G340" s="1" t="s">
        <v>545</v>
      </c>
      <c r="H340" s="1" t="s">
        <v>24</v>
      </c>
      <c r="I340" s="1" t="s">
        <v>130</v>
      </c>
      <c r="J340" s="1" t="s">
        <v>234</v>
      </c>
      <c r="K340" s="1" t="s">
        <v>109</v>
      </c>
      <c r="L340" s="1"/>
      <c r="M340" s="1"/>
      <c r="N340" s="1" t="str">
        <f t="shared" ref="N340:N369" si="60">IF(OR(C340="DNB",C340="TDNB"),"Yes","No")</f>
        <v>No</v>
      </c>
      <c r="O340" s="1">
        <f t="shared" si="55"/>
        <v>42</v>
      </c>
      <c r="P340" s="1">
        <f t="shared" ref="P340:P369" si="61">IF(D340="-","NA",D340*1)</f>
        <v>66</v>
      </c>
      <c r="Q340" s="1">
        <f t="shared" ref="Q340:Q369" si="62">IF(E340="-","NA",E340*1)</f>
        <v>4</v>
      </c>
      <c r="R340" s="1">
        <f t="shared" ref="R340:R369" si="63">IF(F340="-","NA",F340*1)</f>
        <v>0</v>
      </c>
      <c r="S340" s="29">
        <f t="shared" ref="S340:S369" si="64">IF(G340="-","NA",G340*1)</f>
        <v>63.63</v>
      </c>
      <c r="T340" s="1" t="str">
        <f t="shared" ref="T340:T369" si="65">IF(H340="-","NA",H340)</f>
        <v>caught</v>
      </c>
      <c r="U340" s="1" t="str">
        <f t="shared" si="56"/>
        <v>1</v>
      </c>
      <c r="V340" s="1" t="str">
        <f t="shared" si="57"/>
        <v xml:space="preserve"> England</v>
      </c>
      <c r="W340" s="1" t="str">
        <f t="shared" si="58"/>
        <v>Leeds</v>
      </c>
      <c r="X340" s="1" t="str">
        <f t="shared" si="59"/>
        <v>Yes</v>
      </c>
      <c r="Y340" s="1"/>
      <c r="Z340" s="1"/>
    </row>
    <row r="341" spans="1:26" ht="14.25" customHeight="1">
      <c r="A341" s="1"/>
      <c r="B341" s="1">
        <v>322</v>
      </c>
      <c r="C341" s="1" t="s">
        <v>131</v>
      </c>
      <c r="D341" s="1" t="s">
        <v>148</v>
      </c>
      <c r="E341" s="1" t="s">
        <v>131</v>
      </c>
      <c r="F341" s="1" t="s">
        <v>131</v>
      </c>
      <c r="G341" s="1" t="s">
        <v>210</v>
      </c>
      <c r="H341" s="1" t="s">
        <v>24</v>
      </c>
      <c r="I341" s="1" t="s">
        <v>130</v>
      </c>
      <c r="J341" s="1" t="s">
        <v>639</v>
      </c>
      <c r="K341" s="1" t="s">
        <v>123</v>
      </c>
      <c r="L341" s="1"/>
      <c r="M341" s="1"/>
      <c r="N341" s="1" t="str">
        <f t="shared" si="60"/>
        <v>No</v>
      </c>
      <c r="O341" s="1">
        <f t="shared" ref="O341:O369" si="66">IF(N341="Yes", "NA",SUBSTITUTE(C341,"*","")*1)</f>
        <v>0</v>
      </c>
      <c r="P341" s="1">
        <f t="shared" si="61"/>
        <v>3</v>
      </c>
      <c r="Q341" s="1">
        <f t="shared" si="62"/>
        <v>0</v>
      </c>
      <c r="R341" s="1">
        <f t="shared" si="63"/>
        <v>0</v>
      </c>
      <c r="S341" s="29">
        <f t="shared" si="64"/>
        <v>0</v>
      </c>
      <c r="T341" s="1" t="str">
        <f t="shared" si="65"/>
        <v>caught</v>
      </c>
      <c r="U341" s="1" t="str">
        <f t="shared" ref="U341:U369" si="67">I341</f>
        <v>1</v>
      </c>
      <c r="V341" s="1" t="str">
        <f t="shared" ref="V341:V369" si="68">SUBSTITUTE(J341,"v","")</f>
        <v xml:space="preserve"> Hong Kong</v>
      </c>
      <c r="W341" s="1" t="str">
        <f t="shared" ref="W341:W369" si="69">K341</f>
        <v>Dubai (DICS)</v>
      </c>
      <c r="X341" s="1" t="str">
        <f t="shared" ref="X341:X369" si="70">IF(N341="Yes","No",IF(T341="not out","No","Yes"))</f>
        <v>Yes</v>
      </c>
      <c r="Y341" s="1"/>
      <c r="Z341" s="1"/>
    </row>
    <row r="342" spans="1:26" ht="14.25" customHeight="1">
      <c r="A342" s="1"/>
      <c r="B342" s="1">
        <v>323</v>
      </c>
      <c r="C342" s="1" t="s">
        <v>57</v>
      </c>
      <c r="D342" s="1" t="s">
        <v>157</v>
      </c>
      <c r="E342" s="1" t="s">
        <v>157</v>
      </c>
      <c r="F342" s="1" t="s">
        <v>157</v>
      </c>
      <c r="G342" s="1" t="s">
        <v>157</v>
      </c>
      <c r="H342" s="1" t="s">
        <v>157</v>
      </c>
      <c r="I342" s="1" t="s">
        <v>151</v>
      </c>
      <c r="J342" s="1" t="s">
        <v>156</v>
      </c>
      <c r="K342" s="1" t="s">
        <v>123</v>
      </c>
      <c r="L342" s="1"/>
      <c r="M342" s="1"/>
      <c r="N342" s="1" t="str">
        <f t="shared" si="60"/>
        <v>Yes</v>
      </c>
      <c r="O342" s="1" t="str">
        <f t="shared" si="66"/>
        <v>NA</v>
      </c>
      <c r="P342" s="1" t="str">
        <f t="shared" si="61"/>
        <v>NA</v>
      </c>
      <c r="Q342" s="1" t="str">
        <f t="shared" si="62"/>
        <v>NA</v>
      </c>
      <c r="R342" s="1" t="str">
        <f t="shared" si="63"/>
        <v>NA</v>
      </c>
      <c r="S342" s="29" t="str">
        <f t="shared" si="64"/>
        <v>NA</v>
      </c>
      <c r="T342" s="1" t="str">
        <f t="shared" si="65"/>
        <v>NA</v>
      </c>
      <c r="U342" s="1" t="str">
        <f t="shared" si="67"/>
        <v>2</v>
      </c>
      <c r="V342" s="1" t="str">
        <f t="shared" si="68"/>
        <v xml:space="preserve"> Pakistan</v>
      </c>
      <c r="W342" s="1" t="str">
        <f t="shared" si="69"/>
        <v>Dubai (DICS)</v>
      </c>
      <c r="X342" s="1" t="str">
        <f t="shared" si="70"/>
        <v>No</v>
      </c>
      <c r="Y342" s="1"/>
      <c r="Z342" s="1"/>
    </row>
    <row r="343" spans="1:26" ht="14.25" customHeight="1">
      <c r="A343" s="1"/>
      <c r="B343" s="1">
        <v>324</v>
      </c>
      <c r="C343" s="1" t="s">
        <v>244</v>
      </c>
      <c r="D343" s="1" t="s">
        <v>134</v>
      </c>
      <c r="E343" s="1" t="s">
        <v>148</v>
      </c>
      <c r="F343" s="1" t="s">
        <v>131</v>
      </c>
      <c r="G343" s="1" t="s">
        <v>619</v>
      </c>
      <c r="H343" s="1" t="s">
        <v>24</v>
      </c>
      <c r="I343" s="1" t="s">
        <v>151</v>
      </c>
      <c r="J343" s="1" t="s">
        <v>182</v>
      </c>
      <c r="K343" s="1" t="s">
        <v>123</v>
      </c>
      <c r="L343" s="1"/>
      <c r="M343" s="1"/>
      <c r="N343" s="1" t="str">
        <f t="shared" si="60"/>
        <v>No</v>
      </c>
      <c r="O343" s="1">
        <f t="shared" si="66"/>
        <v>33</v>
      </c>
      <c r="P343" s="1">
        <f t="shared" si="61"/>
        <v>37</v>
      </c>
      <c r="Q343" s="1">
        <f t="shared" si="62"/>
        <v>3</v>
      </c>
      <c r="R343" s="1">
        <f t="shared" si="63"/>
        <v>0</v>
      </c>
      <c r="S343" s="29">
        <f t="shared" si="64"/>
        <v>89.18</v>
      </c>
      <c r="T343" s="1" t="str">
        <f t="shared" si="65"/>
        <v>caught</v>
      </c>
      <c r="U343" s="1" t="str">
        <f t="shared" si="67"/>
        <v>2</v>
      </c>
      <c r="V343" s="1" t="str">
        <f t="shared" si="68"/>
        <v xml:space="preserve"> Bangladesh</v>
      </c>
      <c r="W343" s="1" t="str">
        <f t="shared" si="69"/>
        <v>Dubai (DICS)</v>
      </c>
      <c r="X343" s="1" t="str">
        <f t="shared" si="70"/>
        <v>Yes</v>
      </c>
      <c r="Y343" s="1"/>
      <c r="Z343" s="1"/>
    </row>
    <row r="344" spans="1:26" ht="14.25" customHeight="1">
      <c r="A344" s="1"/>
      <c r="B344" s="1">
        <v>325</v>
      </c>
      <c r="C344" s="1" t="s">
        <v>57</v>
      </c>
      <c r="D344" s="1" t="s">
        <v>157</v>
      </c>
      <c r="E344" s="1" t="s">
        <v>157</v>
      </c>
      <c r="F344" s="1" t="s">
        <v>157</v>
      </c>
      <c r="G344" s="1" t="s">
        <v>157</v>
      </c>
      <c r="H344" s="1" t="s">
        <v>157</v>
      </c>
      <c r="I344" s="1" t="s">
        <v>151</v>
      </c>
      <c r="J344" s="1" t="s">
        <v>156</v>
      </c>
      <c r="K344" s="1" t="s">
        <v>123</v>
      </c>
      <c r="L344" s="1"/>
      <c r="M344" s="1"/>
      <c r="N344" s="1" t="str">
        <f t="shared" si="60"/>
        <v>Yes</v>
      </c>
      <c r="O344" s="1" t="str">
        <f t="shared" si="66"/>
        <v>NA</v>
      </c>
      <c r="P344" s="1" t="str">
        <f t="shared" si="61"/>
        <v>NA</v>
      </c>
      <c r="Q344" s="1" t="str">
        <f t="shared" si="62"/>
        <v>NA</v>
      </c>
      <c r="R344" s="1" t="str">
        <f t="shared" si="63"/>
        <v>NA</v>
      </c>
      <c r="S344" s="29" t="str">
        <f t="shared" si="64"/>
        <v>NA</v>
      </c>
      <c r="T344" s="1" t="str">
        <f t="shared" si="65"/>
        <v>NA</v>
      </c>
      <c r="U344" s="1" t="str">
        <f t="shared" si="67"/>
        <v>2</v>
      </c>
      <c r="V344" s="1" t="str">
        <f t="shared" si="68"/>
        <v xml:space="preserve"> Pakistan</v>
      </c>
      <c r="W344" s="1" t="str">
        <f t="shared" si="69"/>
        <v>Dubai (DICS)</v>
      </c>
      <c r="X344" s="1" t="str">
        <f t="shared" si="70"/>
        <v>No</v>
      </c>
      <c r="Y344" s="1"/>
      <c r="Z344" s="1"/>
    </row>
    <row r="345" spans="1:26" ht="14.25" customHeight="1">
      <c r="A345" s="1"/>
      <c r="B345" s="1">
        <v>326</v>
      </c>
      <c r="C345" s="1" t="s">
        <v>189</v>
      </c>
      <c r="D345" s="1" t="s">
        <v>306</v>
      </c>
      <c r="E345" s="1" t="s">
        <v>131</v>
      </c>
      <c r="F345" s="1" t="s">
        <v>131</v>
      </c>
      <c r="G345" s="1" t="s">
        <v>779</v>
      </c>
      <c r="H345" s="1" t="s">
        <v>19</v>
      </c>
      <c r="I345" s="1" t="s">
        <v>151</v>
      </c>
      <c r="J345" s="1" t="s">
        <v>358</v>
      </c>
      <c r="K345" s="1" t="s">
        <v>123</v>
      </c>
      <c r="L345" s="1"/>
      <c r="M345" s="1"/>
      <c r="N345" s="1" t="str">
        <f t="shared" si="60"/>
        <v>No</v>
      </c>
      <c r="O345" s="1">
        <f t="shared" si="66"/>
        <v>8</v>
      </c>
      <c r="P345" s="1">
        <f t="shared" si="61"/>
        <v>17</v>
      </c>
      <c r="Q345" s="1">
        <f t="shared" si="62"/>
        <v>0</v>
      </c>
      <c r="R345" s="1">
        <f t="shared" si="63"/>
        <v>0</v>
      </c>
      <c r="S345" s="29">
        <f t="shared" si="64"/>
        <v>47.05</v>
      </c>
      <c r="T345" s="1" t="str">
        <f t="shared" si="65"/>
        <v>lbw</v>
      </c>
      <c r="U345" s="1" t="str">
        <f t="shared" si="67"/>
        <v>2</v>
      </c>
      <c r="V345" s="1" t="str">
        <f t="shared" si="68"/>
        <v xml:space="preserve"> Afghanistan</v>
      </c>
      <c r="W345" s="1" t="str">
        <f t="shared" si="69"/>
        <v>Dubai (DICS)</v>
      </c>
      <c r="X345" s="1" t="str">
        <f t="shared" si="70"/>
        <v>Yes</v>
      </c>
      <c r="Y345" s="1"/>
      <c r="Z345" s="1"/>
    </row>
    <row r="346" spans="1:26" ht="14.25" customHeight="1">
      <c r="A346" s="1"/>
      <c r="B346" s="1">
        <v>327</v>
      </c>
      <c r="C346" s="1" t="s">
        <v>258</v>
      </c>
      <c r="D346" s="1" t="s">
        <v>135</v>
      </c>
      <c r="E346" s="1" t="s">
        <v>148</v>
      </c>
      <c r="F346" s="1" t="s">
        <v>131</v>
      </c>
      <c r="G346" s="1" t="s">
        <v>780</v>
      </c>
      <c r="H346" s="1" t="s">
        <v>24</v>
      </c>
      <c r="I346" s="1" t="s">
        <v>151</v>
      </c>
      <c r="J346" s="1" t="s">
        <v>182</v>
      </c>
      <c r="K346" s="1" t="s">
        <v>123</v>
      </c>
      <c r="L346" s="1"/>
      <c r="M346" s="1"/>
      <c r="N346" s="1" t="str">
        <f t="shared" si="60"/>
        <v>No</v>
      </c>
      <c r="O346" s="1">
        <f t="shared" si="66"/>
        <v>36</v>
      </c>
      <c r="P346" s="1">
        <f t="shared" si="61"/>
        <v>67</v>
      </c>
      <c r="Q346" s="1">
        <f t="shared" si="62"/>
        <v>3</v>
      </c>
      <c r="R346" s="1">
        <f t="shared" si="63"/>
        <v>0</v>
      </c>
      <c r="S346" s="29">
        <f t="shared" si="64"/>
        <v>53.73</v>
      </c>
      <c r="T346" s="1" t="str">
        <f t="shared" si="65"/>
        <v>caught</v>
      </c>
      <c r="U346" s="1" t="str">
        <f t="shared" si="67"/>
        <v>2</v>
      </c>
      <c r="V346" s="1" t="str">
        <f t="shared" si="68"/>
        <v xml:space="preserve"> Bangladesh</v>
      </c>
      <c r="W346" s="1" t="str">
        <f t="shared" si="69"/>
        <v>Dubai (DICS)</v>
      </c>
      <c r="X346" s="1" t="str">
        <f t="shared" si="70"/>
        <v>Yes</v>
      </c>
      <c r="Y346" s="1"/>
      <c r="Z346" s="1"/>
    </row>
    <row r="347" spans="1:26" ht="14.25" customHeight="1">
      <c r="A347" s="1"/>
      <c r="B347" s="1">
        <v>328</v>
      </c>
      <c r="C347" s="1" t="s">
        <v>57</v>
      </c>
      <c r="D347" s="1" t="s">
        <v>157</v>
      </c>
      <c r="E347" s="1" t="s">
        <v>157</v>
      </c>
      <c r="F347" s="1" t="s">
        <v>157</v>
      </c>
      <c r="G347" s="1" t="s">
        <v>157</v>
      </c>
      <c r="H347" s="1" t="s">
        <v>157</v>
      </c>
      <c r="I347" s="1" t="s">
        <v>151</v>
      </c>
      <c r="J347" s="1" t="s">
        <v>163</v>
      </c>
      <c r="K347" s="1" t="s">
        <v>66</v>
      </c>
      <c r="L347" s="1"/>
      <c r="M347" s="1"/>
      <c r="N347" s="1" t="str">
        <f t="shared" si="60"/>
        <v>Yes</v>
      </c>
      <c r="O347" s="1" t="str">
        <f t="shared" si="66"/>
        <v>NA</v>
      </c>
      <c r="P347" s="1" t="str">
        <f t="shared" si="61"/>
        <v>NA</v>
      </c>
      <c r="Q347" s="1" t="str">
        <f t="shared" si="62"/>
        <v>NA</v>
      </c>
      <c r="R347" s="1" t="str">
        <f t="shared" si="63"/>
        <v>NA</v>
      </c>
      <c r="S347" s="29" t="str">
        <f t="shared" si="64"/>
        <v>NA</v>
      </c>
      <c r="T347" s="1" t="str">
        <f t="shared" si="65"/>
        <v>NA</v>
      </c>
      <c r="U347" s="1" t="str">
        <f t="shared" si="67"/>
        <v>2</v>
      </c>
      <c r="V347" s="1" t="str">
        <f t="shared" si="68"/>
        <v xml:space="preserve"> West Indies</v>
      </c>
      <c r="W347" s="1" t="str">
        <f t="shared" si="69"/>
        <v>Guwahati</v>
      </c>
      <c r="X347" s="1" t="str">
        <f t="shared" si="70"/>
        <v>No</v>
      </c>
      <c r="Y347" s="1"/>
      <c r="Z347" s="1"/>
    </row>
    <row r="348" spans="1:26" ht="14.25" customHeight="1">
      <c r="A348" s="1"/>
      <c r="B348" s="1">
        <v>329</v>
      </c>
      <c r="C348" s="1" t="s">
        <v>238</v>
      </c>
      <c r="D348" s="1" t="s">
        <v>138</v>
      </c>
      <c r="E348" s="1" t="s">
        <v>131</v>
      </c>
      <c r="F348" s="1" t="s">
        <v>130</v>
      </c>
      <c r="G348" s="1" t="s">
        <v>361</v>
      </c>
      <c r="H348" s="1" t="s">
        <v>29</v>
      </c>
      <c r="I348" s="1" t="s">
        <v>130</v>
      </c>
      <c r="J348" s="1" t="s">
        <v>163</v>
      </c>
      <c r="K348" s="1" t="s">
        <v>65</v>
      </c>
      <c r="L348" s="1"/>
      <c r="M348" s="1"/>
      <c r="N348" s="1" t="str">
        <f t="shared" si="60"/>
        <v>No</v>
      </c>
      <c r="O348" s="1">
        <f t="shared" si="66"/>
        <v>20</v>
      </c>
      <c r="P348" s="1">
        <f t="shared" si="61"/>
        <v>25</v>
      </c>
      <c r="Q348" s="1">
        <f t="shared" si="62"/>
        <v>0</v>
      </c>
      <c r="R348" s="1">
        <f t="shared" si="63"/>
        <v>1</v>
      </c>
      <c r="S348" s="29">
        <f t="shared" si="64"/>
        <v>80</v>
      </c>
      <c r="T348" s="1" t="str">
        <f t="shared" si="65"/>
        <v>bowled</v>
      </c>
      <c r="U348" s="1" t="str">
        <f t="shared" si="67"/>
        <v>1</v>
      </c>
      <c r="V348" s="1" t="str">
        <f t="shared" si="68"/>
        <v xml:space="preserve"> West Indies</v>
      </c>
      <c r="W348" s="1" t="str">
        <f t="shared" si="69"/>
        <v>Visakhapatnam</v>
      </c>
      <c r="X348" s="1" t="str">
        <f t="shared" si="70"/>
        <v>Yes</v>
      </c>
      <c r="Y348" s="1"/>
      <c r="Z348" s="1"/>
    </row>
    <row r="349" spans="1:26" ht="14.25" customHeight="1">
      <c r="A349" s="1"/>
      <c r="B349" s="1">
        <v>330</v>
      </c>
      <c r="C349" s="1" t="s">
        <v>144</v>
      </c>
      <c r="D349" s="1" t="s">
        <v>176</v>
      </c>
      <c r="E349" s="1" t="s">
        <v>131</v>
      </c>
      <c r="F349" s="1" t="s">
        <v>131</v>
      </c>
      <c r="G349" s="1" t="s">
        <v>545</v>
      </c>
      <c r="H349" s="1" t="s">
        <v>24</v>
      </c>
      <c r="I349" s="1" t="s">
        <v>151</v>
      </c>
      <c r="J349" s="1" t="s">
        <v>163</v>
      </c>
      <c r="K349" s="1" t="s">
        <v>100</v>
      </c>
      <c r="L349" s="1"/>
      <c r="M349" s="1"/>
      <c r="N349" s="1" t="str">
        <f t="shared" si="60"/>
        <v>No</v>
      </c>
      <c r="O349" s="1">
        <f t="shared" si="66"/>
        <v>7</v>
      </c>
      <c r="P349" s="1">
        <f t="shared" si="61"/>
        <v>11</v>
      </c>
      <c r="Q349" s="1">
        <f t="shared" si="62"/>
        <v>0</v>
      </c>
      <c r="R349" s="1">
        <f t="shared" si="63"/>
        <v>0</v>
      </c>
      <c r="S349" s="29">
        <f t="shared" si="64"/>
        <v>63.63</v>
      </c>
      <c r="T349" s="1" t="str">
        <f t="shared" si="65"/>
        <v>caught</v>
      </c>
      <c r="U349" s="1" t="str">
        <f t="shared" si="67"/>
        <v>2</v>
      </c>
      <c r="V349" s="1" t="str">
        <f t="shared" si="68"/>
        <v xml:space="preserve"> West Indies</v>
      </c>
      <c r="W349" s="1" t="str">
        <f t="shared" si="69"/>
        <v>Pune</v>
      </c>
      <c r="X349" s="1" t="str">
        <f t="shared" si="70"/>
        <v>Yes</v>
      </c>
      <c r="Y349" s="1"/>
      <c r="Z349" s="1"/>
    </row>
    <row r="350" spans="1:26" ht="14.25" customHeight="1">
      <c r="A350" s="1"/>
      <c r="B350" s="1">
        <v>331</v>
      </c>
      <c r="C350" s="1" t="s">
        <v>304</v>
      </c>
      <c r="D350" s="1" t="s">
        <v>283</v>
      </c>
      <c r="E350" s="1" t="s">
        <v>151</v>
      </c>
      <c r="F350" s="1" t="s">
        <v>131</v>
      </c>
      <c r="G350" s="1" t="s">
        <v>781</v>
      </c>
      <c r="H350" s="1" t="s">
        <v>24</v>
      </c>
      <c r="I350" s="1" t="s">
        <v>130</v>
      </c>
      <c r="J350" s="1" t="s">
        <v>163</v>
      </c>
      <c r="K350" s="1" t="s">
        <v>112</v>
      </c>
      <c r="L350" s="1"/>
      <c r="M350" s="1"/>
      <c r="N350" s="1" t="str">
        <f t="shared" si="60"/>
        <v>No</v>
      </c>
      <c r="O350" s="1">
        <f t="shared" si="66"/>
        <v>23</v>
      </c>
      <c r="P350" s="1">
        <f t="shared" si="61"/>
        <v>15</v>
      </c>
      <c r="Q350" s="1">
        <f t="shared" si="62"/>
        <v>2</v>
      </c>
      <c r="R350" s="1">
        <f t="shared" si="63"/>
        <v>0</v>
      </c>
      <c r="S350" s="29">
        <f t="shared" si="64"/>
        <v>153.33000000000001</v>
      </c>
      <c r="T350" s="1" t="str">
        <f t="shared" si="65"/>
        <v>caught</v>
      </c>
      <c r="U350" s="1" t="str">
        <f t="shared" si="67"/>
        <v>1</v>
      </c>
      <c r="V350" s="1" t="str">
        <f t="shared" si="68"/>
        <v xml:space="preserve"> West Indies</v>
      </c>
      <c r="W350" s="1" t="str">
        <f t="shared" si="69"/>
        <v>Brabourne</v>
      </c>
      <c r="X350" s="1" t="str">
        <f t="shared" si="70"/>
        <v>Yes</v>
      </c>
      <c r="Y350" s="1"/>
      <c r="Z350" s="1"/>
    </row>
    <row r="351" spans="1:26" ht="14.25" customHeight="1">
      <c r="A351" s="1"/>
      <c r="B351" s="1">
        <v>332</v>
      </c>
      <c r="C351" s="1" t="s">
        <v>57</v>
      </c>
      <c r="D351" s="1" t="s">
        <v>157</v>
      </c>
      <c r="E351" s="1" t="s">
        <v>157</v>
      </c>
      <c r="F351" s="1" t="s">
        <v>157</v>
      </c>
      <c r="G351" s="1" t="s">
        <v>157</v>
      </c>
      <c r="H351" s="1" t="s">
        <v>157</v>
      </c>
      <c r="I351" s="1" t="s">
        <v>151</v>
      </c>
      <c r="J351" s="1" t="s">
        <v>163</v>
      </c>
      <c r="K351" s="1" t="s">
        <v>113</v>
      </c>
      <c r="L351" s="1"/>
      <c r="M351" s="1"/>
      <c r="N351" s="1" t="str">
        <f t="shared" si="60"/>
        <v>Yes</v>
      </c>
      <c r="O351" s="1" t="str">
        <f t="shared" si="66"/>
        <v>NA</v>
      </c>
      <c r="P351" s="1" t="str">
        <f t="shared" si="61"/>
        <v>NA</v>
      </c>
      <c r="Q351" s="1" t="str">
        <f t="shared" si="62"/>
        <v>NA</v>
      </c>
      <c r="R351" s="1" t="str">
        <f t="shared" si="63"/>
        <v>NA</v>
      </c>
      <c r="S351" s="29" t="str">
        <f t="shared" si="64"/>
        <v>NA</v>
      </c>
      <c r="T351" s="1" t="str">
        <f t="shared" si="65"/>
        <v>NA</v>
      </c>
      <c r="U351" s="1" t="str">
        <f t="shared" si="67"/>
        <v>2</v>
      </c>
      <c r="V351" s="1" t="str">
        <f t="shared" si="68"/>
        <v xml:space="preserve"> West Indies</v>
      </c>
      <c r="W351" s="1" t="str">
        <f t="shared" si="69"/>
        <v>Thiruvananthapuram</v>
      </c>
      <c r="X351" s="1" t="str">
        <f t="shared" si="70"/>
        <v>No</v>
      </c>
      <c r="Y351" s="1"/>
      <c r="Z351" s="1"/>
    </row>
    <row r="352" spans="1:26" ht="14.25" customHeight="1">
      <c r="A352" s="1"/>
      <c r="B352" s="1">
        <v>333</v>
      </c>
      <c r="C352" s="1" t="s">
        <v>356</v>
      </c>
      <c r="D352" s="1" t="s">
        <v>430</v>
      </c>
      <c r="E352" s="1" t="s">
        <v>148</v>
      </c>
      <c r="F352" s="1" t="s">
        <v>130</v>
      </c>
      <c r="G352" s="1" t="s">
        <v>746</v>
      </c>
      <c r="H352" s="1" t="s">
        <v>19</v>
      </c>
      <c r="I352" s="1" t="s">
        <v>151</v>
      </c>
      <c r="J352" s="1" t="s">
        <v>158</v>
      </c>
      <c r="K352" s="1" t="s">
        <v>92</v>
      </c>
      <c r="L352" s="1"/>
      <c r="M352" s="1"/>
      <c r="N352" s="1" t="str">
        <f t="shared" si="60"/>
        <v>No</v>
      </c>
      <c r="O352" s="1">
        <f t="shared" si="66"/>
        <v>51</v>
      </c>
      <c r="P352" s="1">
        <f t="shared" si="61"/>
        <v>96</v>
      </c>
      <c r="Q352" s="1">
        <f t="shared" si="62"/>
        <v>3</v>
      </c>
      <c r="R352" s="1">
        <f t="shared" si="63"/>
        <v>1</v>
      </c>
      <c r="S352" s="29">
        <f t="shared" si="64"/>
        <v>53.12</v>
      </c>
      <c r="T352" s="1" t="str">
        <f t="shared" si="65"/>
        <v>lbw</v>
      </c>
      <c r="U352" s="1" t="str">
        <f t="shared" si="67"/>
        <v>2</v>
      </c>
      <c r="V352" s="1" t="str">
        <f t="shared" si="68"/>
        <v xml:space="preserve"> Australia</v>
      </c>
      <c r="W352" s="1" t="str">
        <f t="shared" si="69"/>
        <v>Sydney</v>
      </c>
      <c r="X352" s="1" t="str">
        <f t="shared" si="70"/>
        <v>Yes</v>
      </c>
      <c r="Y352" s="1"/>
      <c r="Z352" s="1"/>
    </row>
    <row r="353" spans="1:26" ht="14.25" customHeight="1">
      <c r="A353" s="1"/>
      <c r="B353" s="1">
        <v>334</v>
      </c>
      <c r="C353" s="1" t="s">
        <v>509</v>
      </c>
      <c r="D353" s="1" t="s">
        <v>142</v>
      </c>
      <c r="E353" s="1" t="s">
        <v>131</v>
      </c>
      <c r="F353" s="1" t="s">
        <v>151</v>
      </c>
      <c r="G353" s="1" t="s">
        <v>782</v>
      </c>
      <c r="H353" s="1" t="s">
        <v>32</v>
      </c>
      <c r="I353" s="1" t="s">
        <v>151</v>
      </c>
      <c r="J353" s="1" t="s">
        <v>158</v>
      </c>
      <c r="K353" s="1" t="s">
        <v>90</v>
      </c>
      <c r="L353" s="1"/>
      <c r="M353" s="1"/>
      <c r="N353" s="1" t="str">
        <f t="shared" si="60"/>
        <v>No</v>
      </c>
      <c r="O353" s="1">
        <f t="shared" si="66"/>
        <v>55</v>
      </c>
      <c r="P353" s="1">
        <f t="shared" si="61"/>
        <v>54</v>
      </c>
      <c r="Q353" s="1">
        <f t="shared" si="62"/>
        <v>0</v>
      </c>
      <c r="R353" s="1">
        <f t="shared" si="63"/>
        <v>2</v>
      </c>
      <c r="S353" s="29">
        <f t="shared" si="64"/>
        <v>101.85</v>
      </c>
      <c r="T353" s="1" t="str">
        <f t="shared" si="65"/>
        <v>not out</v>
      </c>
      <c r="U353" s="1" t="str">
        <f t="shared" si="67"/>
        <v>2</v>
      </c>
      <c r="V353" s="1" t="str">
        <f t="shared" si="68"/>
        <v xml:space="preserve"> Australia</v>
      </c>
      <c r="W353" s="1" t="str">
        <f t="shared" si="69"/>
        <v>Adelaide</v>
      </c>
      <c r="X353" s="1" t="str">
        <f t="shared" si="70"/>
        <v>No</v>
      </c>
      <c r="Y353" s="1"/>
      <c r="Z353" s="1"/>
    </row>
    <row r="354" spans="1:26" ht="14.25" customHeight="1">
      <c r="A354" s="1"/>
      <c r="B354" s="1">
        <v>335</v>
      </c>
      <c r="C354" s="1" t="s">
        <v>227</v>
      </c>
      <c r="D354" s="1" t="s">
        <v>175</v>
      </c>
      <c r="E354" s="1" t="s">
        <v>136</v>
      </c>
      <c r="F354" s="1" t="s">
        <v>131</v>
      </c>
      <c r="G354" s="1" t="s">
        <v>709</v>
      </c>
      <c r="H354" s="1" t="s">
        <v>32</v>
      </c>
      <c r="I354" s="1" t="s">
        <v>151</v>
      </c>
      <c r="J354" s="1" t="s">
        <v>158</v>
      </c>
      <c r="K354" s="1" t="s">
        <v>88</v>
      </c>
      <c r="L354" s="1"/>
      <c r="M354" s="1"/>
      <c r="N354" s="1" t="str">
        <f t="shared" si="60"/>
        <v>No</v>
      </c>
      <c r="O354" s="1">
        <f t="shared" si="66"/>
        <v>87</v>
      </c>
      <c r="P354" s="1">
        <f t="shared" si="61"/>
        <v>114</v>
      </c>
      <c r="Q354" s="1">
        <f t="shared" si="62"/>
        <v>6</v>
      </c>
      <c r="R354" s="1">
        <f t="shared" si="63"/>
        <v>0</v>
      </c>
      <c r="S354" s="29">
        <f t="shared" si="64"/>
        <v>76.31</v>
      </c>
      <c r="T354" s="1" t="str">
        <f t="shared" si="65"/>
        <v>not out</v>
      </c>
      <c r="U354" s="1" t="str">
        <f t="shared" si="67"/>
        <v>2</v>
      </c>
      <c r="V354" s="1" t="str">
        <f t="shared" si="68"/>
        <v xml:space="preserve"> Australia</v>
      </c>
      <c r="W354" s="1" t="str">
        <f t="shared" si="69"/>
        <v>Melbourne</v>
      </c>
      <c r="X354" s="1" t="str">
        <f t="shared" si="70"/>
        <v>No</v>
      </c>
      <c r="Y354" s="1"/>
      <c r="Z354" s="1"/>
    </row>
    <row r="355" spans="1:26" ht="14.25" customHeight="1">
      <c r="A355" s="1"/>
      <c r="B355" s="1">
        <v>336</v>
      </c>
      <c r="C355" s="1" t="s">
        <v>57</v>
      </c>
      <c r="D355" s="1" t="s">
        <v>157</v>
      </c>
      <c r="E355" s="1" t="s">
        <v>157</v>
      </c>
      <c r="F355" s="1" t="s">
        <v>157</v>
      </c>
      <c r="G355" s="1" t="s">
        <v>157</v>
      </c>
      <c r="H355" s="1" t="s">
        <v>157</v>
      </c>
      <c r="I355" s="1" t="s">
        <v>151</v>
      </c>
      <c r="J355" s="1" t="s">
        <v>211</v>
      </c>
      <c r="K355" s="1" t="s">
        <v>102</v>
      </c>
      <c r="L355" s="1"/>
      <c r="M355" s="1"/>
      <c r="N355" s="1" t="str">
        <f t="shared" si="60"/>
        <v>Yes</v>
      </c>
      <c r="O355" s="1" t="str">
        <f t="shared" si="66"/>
        <v>NA</v>
      </c>
      <c r="P355" s="1" t="str">
        <f t="shared" si="61"/>
        <v>NA</v>
      </c>
      <c r="Q355" s="1" t="str">
        <f t="shared" si="62"/>
        <v>NA</v>
      </c>
      <c r="R355" s="1" t="str">
        <f t="shared" si="63"/>
        <v>NA</v>
      </c>
      <c r="S355" s="29" t="str">
        <f t="shared" si="64"/>
        <v>NA</v>
      </c>
      <c r="T355" s="1" t="str">
        <f t="shared" si="65"/>
        <v>NA</v>
      </c>
      <c r="U355" s="1" t="str">
        <f t="shared" si="67"/>
        <v>2</v>
      </c>
      <c r="V355" s="1" t="str">
        <f t="shared" si="68"/>
        <v xml:space="preserve"> New Zealand</v>
      </c>
      <c r="W355" s="1" t="str">
        <f t="shared" si="69"/>
        <v>Napier</v>
      </c>
      <c r="X355" s="1" t="str">
        <f t="shared" si="70"/>
        <v>No</v>
      </c>
      <c r="Y355" s="1"/>
      <c r="Z355" s="1"/>
    </row>
    <row r="356" spans="1:26" ht="14.25" customHeight="1">
      <c r="A356" s="1"/>
      <c r="B356" s="1">
        <v>337</v>
      </c>
      <c r="C356" s="1" t="s">
        <v>783</v>
      </c>
      <c r="D356" s="1" t="s">
        <v>244</v>
      </c>
      <c r="E356" s="1" t="s">
        <v>202</v>
      </c>
      <c r="F356" s="1" t="s">
        <v>130</v>
      </c>
      <c r="G356" s="1" t="s">
        <v>784</v>
      </c>
      <c r="H356" s="1" t="s">
        <v>32</v>
      </c>
      <c r="I356" s="1" t="s">
        <v>130</v>
      </c>
      <c r="J356" s="1" t="s">
        <v>211</v>
      </c>
      <c r="K356" s="1" t="s">
        <v>114</v>
      </c>
      <c r="L356" s="1"/>
      <c r="M356" s="1"/>
      <c r="N356" s="1" t="str">
        <f t="shared" si="60"/>
        <v>No</v>
      </c>
      <c r="O356" s="1">
        <f t="shared" si="66"/>
        <v>48</v>
      </c>
      <c r="P356" s="1">
        <f t="shared" si="61"/>
        <v>33</v>
      </c>
      <c r="Q356" s="1">
        <f t="shared" si="62"/>
        <v>5</v>
      </c>
      <c r="R356" s="1">
        <f t="shared" si="63"/>
        <v>1</v>
      </c>
      <c r="S356" s="29">
        <f t="shared" si="64"/>
        <v>145.44999999999999</v>
      </c>
      <c r="T356" s="1" t="str">
        <f t="shared" si="65"/>
        <v>not out</v>
      </c>
      <c r="U356" s="1" t="str">
        <f t="shared" si="67"/>
        <v>1</v>
      </c>
      <c r="V356" s="1" t="str">
        <f t="shared" si="68"/>
        <v xml:space="preserve"> New Zealand</v>
      </c>
      <c r="W356" s="1" t="str">
        <f t="shared" si="69"/>
        <v>Mount Maunganui</v>
      </c>
      <c r="X356" s="1" t="str">
        <f t="shared" si="70"/>
        <v>No</v>
      </c>
      <c r="Y356" s="1"/>
      <c r="Z356" s="1"/>
    </row>
    <row r="357" spans="1:26" ht="14.25" customHeight="1">
      <c r="A357" s="1"/>
      <c r="B357" s="1">
        <v>338</v>
      </c>
      <c r="C357" s="1" t="s">
        <v>130</v>
      </c>
      <c r="D357" s="1" t="s">
        <v>136</v>
      </c>
      <c r="E357" s="1" t="s">
        <v>131</v>
      </c>
      <c r="F357" s="1" t="s">
        <v>131</v>
      </c>
      <c r="G357" s="1" t="s">
        <v>481</v>
      </c>
      <c r="H357" s="1" t="s">
        <v>29</v>
      </c>
      <c r="I357" s="1" t="s">
        <v>130</v>
      </c>
      <c r="J357" s="1" t="s">
        <v>211</v>
      </c>
      <c r="K357" s="1" t="s">
        <v>105</v>
      </c>
      <c r="L357" s="1"/>
      <c r="M357" s="1"/>
      <c r="N357" s="1" t="str">
        <f t="shared" si="60"/>
        <v>No</v>
      </c>
      <c r="O357" s="1">
        <f t="shared" si="66"/>
        <v>1</v>
      </c>
      <c r="P357" s="1">
        <f t="shared" si="61"/>
        <v>6</v>
      </c>
      <c r="Q357" s="1">
        <f t="shared" si="62"/>
        <v>0</v>
      </c>
      <c r="R357" s="1">
        <f t="shared" si="63"/>
        <v>0</v>
      </c>
      <c r="S357" s="29">
        <f t="shared" si="64"/>
        <v>16.66</v>
      </c>
      <c r="T357" s="1" t="str">
        <f t="shared" si="65"/>
        <v>bowled</v>
      </c>
      <c r="U357" s="1" t="str">
        <f t="shared" si="67"/>
        <v>1</v>
      </c>
      <c r="V357" s="1" t="str">
        <f t="shared" si="68"/>
        <v xml:space="preserve"> New Zealand</v>
      </c>
      <c r="W357" s="1" t="str">
        <f t="shared" si="69"/>
        <v>Wellington</v>
      </c>
      <c r="X357" s="1" t="str">
        <f t="shared" si="70"/>
        <v>Yes</v>
      </c>
      <c r="Y357" s="1"/>
      <c r="Z357" s="1"/>
    </row>
    <row r="358" spans="1:26" ht="14.25" customHeight="1">
      <c r="A358" s="1"/>
      <c r="B358" s="1">
        <v>339</v>
      </c>
      <c r="C358" s="1" t="s">
        <v>785</v>
      </c>
      <c r="D358" s="1" t="s">
        <v>454</v>
      </c>
      <c r="E358" s="1" t="s">
        <v>136</v>
      </c>
      <c r="F358" s="1" t="s">
        <v>130</v>
      </c>
      <c r="G358" s="1" t="s">
        <v>578</v>
      </c>
      <c r="H358" s="1" t="s">
        <v>32</v>
      </c>
      <c r="I358" s="1" t="s">
        <v>151</v>
      </c>
      <c r="J358" s="1" t="s">
        <v>158</v>
      </c>
      <c r="K358" s="1" t="s">
        <v>85</v>
      </c>
      <c r="L358" s="1"/>
      <c r="M358" s="1"/>
      <c r="N358" s="1" t="str">
        <f t="shared" si="60"/>
        <v>No</v>
      </c>
      <c r="O358" s="1">
        <f t="shared" si="66"/>
        <v>59</v>
      </c>
      <c r="P358" s="1">
        <f t="shared" si="61"/>
        <v>72</v>
      </c>
      <c r="Q358" s="1">
        <f t="shared" si="62"/>
        <v>6</v>
      </c>
      <c r="R358" s="1">
        <f t="shared" si="63"/>
        <v>1</v>
      </c>
      <c r="S358" s="29">
        <f t="shared" si="64"/>
        <v>81.94</v>
      </c>
      <c r="T358" s="1" t="str">
        <f t="shared" si="65"/>
        <v>not out</v>
      </c>
      <c r="U358" s="1" t="str">
        <f t="shared" si="67"/>
        <v>2</v>
      </c>
      <c r="V358" s="1" t="str">
        <f t="shared" si="68"/>
        <v xml:space="preserve"> Australia</v>
      </c>
      <c r="W358" s="1" t="str">
        <f t="shared" si="69"/>
        <v>Hyderabad</v>
      </c>
      <c r="X358" s="1" t="str">
        <f t="shared" si="70"/>
        <v>No</v>
      </c>
      <c r="Y358" s="1"/>
      <c r="Z358" s="1"/>
    </row>
    <row r="359" spans="1:26" ht="14.25" customHeight="1">
      <c r="A359" s="1"/>
      <c r="B359" s="1">
        <v>340</v>
      </c>
      <c r="C359" s="1" t="s">
        <v>131</v>
      </c>
      <c r="D359" s="1" t="s">
        <v>130</v>
      </c>
      <c r="E359" s="1" t="s">
        <v>131</v>
      </c>
      <c r="F359" s="1" t="s">
        <v>131</v>
      </c>
      <c r="G359" s="1" t="s">
        <v>210</v>
      </c>
      <c r="H359" s="1" t="s">
        <v>24</v>
      </c>
      <c r="I359" s="1" t="s">
        <v>130</v>
      </c>
      <c r="J359" s="1" t="s">
        <v>158</v>
      </c>
      <c r="K359" s="1" t="s">
        <v>50</v>
      </c>
      <c r="L359" s="1"/>
      <c r="M359" s="1"/>
      <c r="N359" s="1" t="str">
        <f t="shared" si="60"/>
        <v>No</v>
      </c>
      <c r="O359" s="1">
        <f t="shared" si="66"/>
        <v>0</v>
      </c>
      <c r="P359" s="1">
        <f t="shared" si="61"/>
        <v>1</v>
      </c>
      <c r="Q359" s="1">
        <f t="shared" si="62"/>
        <v>0</v>
      </c>
      <c r="R359" s="1">
        <f t="shared" si="63"/>
        <v>0</v>
      </c>
      <c r="S359" s="29">
        <f t="shared" si="64"/>
        <v>0</v>
      </c>
      <c r="T359" s="1" t="str">
        <f t="shared" si="65"/>
        <v>caught</v>
      </c>
      <c r="U359" s="1" t="str">
        <f t="shared" si="67"/>
        <v>1</v>
      </c>
      <c r="V359" s="1" t="str">
        <f t="shared" si="68"/>
        <v xml:space="preserve"> Australia</v>
      </c>
      <c r="W359" s="1" t="str">
        <f t="shared" si="69"/>
        <v>Nagpur</v>
      </c>
      <c r="X359" s="1" t="str">
        <f t="shared" si="70"/>
        <v>Yes</v>
      </c>
      <c r="Y359" s="1"/>
      <c r="Z359" s="1"/>
    </row>
    <row r="360" spans="1:26" ht="14.25" customHeight="1">
      <c r="A360" s="1"/>
      <c r="B360" s="1">
        <v>341</v>
      </c>
      <c r="C360" s="1" t="s">
        <v>313</v>
      </c>
      <c r="D360" s="1" t="s">
        <v>386</v>
      </c>
      <c r="E360" s="1" t="s">
        <v>151</v>
      </c>
      <c r="F360" s="1" t="s">
        <v>130</v>
      </c>
      <c r="G360" s="1" t="s">
        <v>363</v>
      </c>
      <c r="H360" s="1" t="s">
        <v>29</v>
      </c>
      <c r="I360" s="1" t="s">
        <v>151</v>
      </c>
      <c r="J360" s="1" t="s">
        <v>158</v>
      </c>
      <c r="K360" s="1" t="s">
        <v>97</v>
      </c>
      <c r="L360" s="1"/>
      <c r="M360" s="1"/>
      <c r="N360" s="1" t="str">
        <f t="shared" si="60"/>
        <v>No</v>
      </c>
      <c r="O360" s="1">
        <f t="shared" si="66"/>
        <v>26</v>
      </c>
      <c r="P360" s="1">
        <f t="shared" si="61"/>
        <v>42</v>
      </c>
      <c r="Q360" s="1">
        <f t="shared" si="62"/>
        <v>2</v>
      </c>
      <c r="R360" s="1">
        <f t="shared" si="63"/>
        <v>1</v>
      </c>
      <c r="S360" s="29">
        <f t="shared" si="64"/>
        <v>61.9</v>
      </c>
      <c r="T360" s="1" t="str">
        <f t="shared" si="65"/>
        <v>bowled</v>
      </c>
      <c r="U360" s="1" t="str">
        <f t="shared" si="67"/>
        <v>2</v>
      </c>
      <c r="V360" s="1" t="str">
        <f t="shared" si="68"/>
        <v xml:space="preserve"> Australia</v>
      </c>
      <c r="W360" s="1" t="str">
        <f t="shared" si="69"/>
        <v>Ranchi</v>
      </c>
      <c r="X360" s="1" t="str">
        <f t="shared" si="70"/>
        <v>Yes</v>
      </c>
      <c r="Y360" s="1"/>
      <c r="Z360" s="1"/>
    </row>
    <row r="361" spans="1:26" ht="14.25" customHeight="1">
      <c r="A361" s="1"/>
      <c r="B361" s="1">
        <v>342</v>
      </c>
      <c r="C361" s="1" t="s">
        <v>208</v>
      </c>
      <c r="D361" s="1" t="s">
        <v>147</v>
      </c>
      <c r="E361" s="1" t="s">
        <v>151</v>
      </c>
      <c r="F361" s="1" t="s">
        <v>131</v>
      </c>
      <c r="G361" s="1" t="s">
        <v>668</v>
      </c>
      <c r="H361" s="1" t="s">
        <v>24</v>
      </c>
      <c r="I361" s="1" t="s">
        <v>151</v>
      </c>
      <c r="J361" s="1" t="s">
        <v>191</v>
      </c>
      <c r="K361" s="1" t="s">
        <v>80</v>
      </c>
      <c r="L361" s="1"/>
      <c r="M361" s="1"/>
      <c r="N361" s="1" t="str">
        <f t="shared" si="60"/>
        <v>No</v>
      </c>
      <c r="O361" s="1">
        <f t="shared" si="66"/>
        <v>34</v>
      </c>
      <c r="P361" s="1">
        <f t="shared" si="61"/>
        <v>46</v>
      </c>
      <c r="Q361" s="1">
        <f t="shared" si="62"/>
        <v>2</v>
      </c>
      <c r="R361" s="1">
        <f t="shared" si="63"/>
        <v>0</v>
      </c>
      <c r="S361" s="29">
        <f t="shared" si="64"/>
        <v>73.91</v>
      </c>
      <c r="T361" s="1" t="str">
        <f t="shared" si="65"/>
        <v>caught</v>
      </c>
      <c r="U361" s="1" t="str">
        <f t="shared" si="67"/>
        <v>2</v>
      </c>
      <c r="V361" s="1" t="str">
        <f t="shared" si="68"/>
        <v xml:space="preserve"> South Africa</v>
      </c>
      <c r="W361" s="1" t="str">
        <f t="shared" si="69"/>
        <v>Southampton</v>
      </c>
      <c r="X361" s="1" t="str">
        <f t="shared" si="70"/>
        <v>Yes</v>
      </c>
      <c r="Y361" s="1"/>
      <c r="Z361" s="1"/>
    </row>
    <row r="362" spans="1:26" ht="14.25" customHeight="1">
      <c r="A362" s="1"/>
      <c r="B362" s="1">
        <v>343</v>
      </c>
      <c r="C362" s="1" t="s">
        <v>169</v>
      </c>
      <c r="D362" s="1" t="s">
        <v>205</v>
      </c>
      <c r="E362" s="1" t="s">
        <v>148</v>
      </c>
      <c r="F362" s="1" t="s">
        <v>130</v>
      </c>
      <c r="G362" s="1" t="s">
        <v>786</v>
      </c>
      <c r="H362" s="1" t="s">
        <v>24</v>
      </c>
      <c r="I362" s="1" t="s">
        <v>130</v>
      </c>
      <c r="J362" s="1" t="s">
        <v>158</v>
      </c>
      <c r="K362" s="1" t="s">
        <v>81</v>
      </c>
      <c r="L362" s="1"/>
      <c r="M362" s="1"/>
      <c r="N362" s="1" t="str">
        <f t="shared" si="60"/>
        <v>No</v>
      </c>
      <c r="O362" s="1">
        <f t="shared" si="66"/>
        <v>27</v>
      </c>
      <c r="P362" s="1">
        <f t="shared" si="61"/>
        <v>14</v>
      </c>
      <c r="Q362" s="1">
        <f t="shared" si="62"/>
        <v>3</v>
      </c>
      <c r="R362" s="1">
        <f t="shared" si="63"/>
        <v>1</v>
      </c>
      <c r="S362" s="29">
        <f t="shared" si="64"/>
        <v>192.85</v>
      </c>
      <c r="T362" s="1" t="str">
        <f t="shared" si="65"/>
        <v>caught</v>
      </c>
      <c r="U362" s="1" t="str">
        <f t="shared" si="67"/>
        <v>1</v>
      </c>
      <c r="V362" s="1" t="str">
        <f t="shared" si="68"/>
        <v xml:space="preserve"> Australia</v>
      </c>
      <c r="W362" s="1" t="str">
        <f t="shared" si="69"/>
        <v>The Oval</v>
      </c>
      <c r="X362" s="1" t="str">
        <f t="shared" si="70"/>
        <v>Yes</v>
      </c>
      <c r="Y362" s="1"/>
      <c r="Z362" s="1"/>
    </row>
    <row r="363" spans="1:26" ht="14.25" customHeight="1">
      <c r="A363" s="1"/>
      <c r="B363" s="1">
        <v>344</v>
      </c>
      <c r="C363" s="1" t="s">
        <v>130</v>
      </c>
      <c r="D363" s="1" t="s">
        <v>151</v>
      </c>
      <c r="E363" s="1" t="s">
        <v>131</v>
      </c>
      <c r="F363" s="1" t="s">
        <v>131</v>
      </c>
      <c r="G363" s="1" t="s">
        <v>204</v>
      </c>
      <c r="H363" s="1" t="s">
        <v>24</v>
      </c>
      <c r="I363" s="1" t="s">
        <v>130</v>
      </c>
      <c r="J363" s="1" t="s">
        <v>156</v>
      </c>
      <c r="K363" s="1" t="s">
        <v>115</v>
      </c>
      <c r="L363" s="1"/>
      <c r="M363" s="1"/>
      <c r="N363" s="1" t="str">
        <f t="shared" si="60"/>
        <v>No</v>
      </c>
      <c r="O363" s="1">
        <f t="shared" si="66"/>
        <v>1</v>
      </c>
      <c r="P363" s="1">
        <f t="shared" si="61"/>
        <v>2</v>
      </c>
      <c r="Q363" s="1">
        <f t="shared" si="62"/>
        <v>0</v>
      </c>
      <c r="R363" s="1">
        <f t="shared" si="63"/>
        <v>0</v>
      </c>
      <c r="S363" s="29">
        <f t="shared" si="64"/>
        <v>50</v>
      </c>
      <c r="T363" s="1" t="str">
        <f t="shared" si="65"/>
        <v>caught</v>
      </c>
      <c r="U363" s="1" t="str">
        <f t="shared" si="67"/>
        <v>1</v>
      </c>
      <c r="V363" s="1" t="str">
        <f t="shared" si="68"/>
        <v xml:space="preserve"> Pakistan</v>
      </c>
      <c r="W363" s="1" t="str">
        <f t="shared" si="69"/>
        <v>Manchester</v>
      </c>
      <c r="X363" s="1" t="str">
        <f t="shared" si="70"/>
        <v>Yes</v>
      </c>
      <c r="Y363" s="1"/>
      <c r="Z363" s="1"/>
    </row>
    <row r="364" spans="1:26" ht="14.25" customHeight="1">
      <c r="A364" s="1"/>
      <c r="B364" s="1">
        <v>345</v>
      </c>
      <c r="C364" s="1" t="s">
        <v>207</v>
      </c>
      <c r="D364" s="1" t="s">
        <v>327</v>
      </c>
      <c r="E364" s="1" t="s">
        <v>148</v>
      </c>
      <c r="F364" s="1" t="s">
        <v>131</v>
      </c>
      <c r="G364" s="1" t="s">
        <v>558</v>
      </c>
      <c r="H364" s="1" t="s">
        <v>63</v>
      </c>
      <c r="I364" s="1" t="s">
        <v>130</v>
      </c>
      <c r="J364" s="1" t="s">
        <v>358</v>
      </c>
      <c r="K364" s="1" t="s">
        <v>80</v>
      </c>
      <c r="L364" s="1"/>
      <c r="M364" s="1"/>
      <c r="N364" s="1" t="str">
        <f t="shared" si="60"/>
        <v>No</v>
      </c>
      <c r="O364" s="1">
        <f t="shared" si="66"/>
        <v>28</v>
      </c>
      <c r="P364" s="1">
        <f t="shared" si="61"/>
        <v>52</v>
      </c>
      <c r="Q364" s="1">
        <f t="shared" si="62"/>
        <v>3</v>
      </c>
      <c r="R364" s="1">
        <f t="shared" si="63"/>
        <v>0</v>
      </c>
      <c r="S364" s="29">
        <f t="shared" si="64"/>
        <v>53.84</v>
      </c>
      <c r="T364" s="1" t="str">
        <f t="shared" si="65"/>
        <v>stumped</v>
      </c>
      <c r="U364" s="1" t="str">
        <f t="shared" si="67"/>
        <v>1</v>
      </c>
      <c r="V364" s="1" t="str">
        <f t="shared" si="68"/>
        <v xml:space="preserve"> Afghanistan</v>
      </c>
      <c r="W364" s="1" t="str">
        <f t="shared" si="69"/>
        <v>Southampton</v>
      </c>
      <c r="X364" s="1" t="str">
        <f t="shared" si="70"/>
        <v>Yes</v>
      </c>
      <c r="Y364" s="1"/>
      <c r="Z364" s="1"/>
    </row>
    <row r="365" spans="1:26" ht="14.25" customHeight="1">
      <c r="A365" s="1"/>
      <c r="B365" s="1">
        <v>346</v>
      </c>
      <c r="C365" s="1" t="s">
        <v>787</v>
      </c>
      <c r="D365" s="1" t="s">
        <v>334</v>
      </c>
      <c r="E365" s="1" t="s">
        <v>148</v>
      </c>
      <c r="F365" s="1" t="s">
        <v>151</v>
      </c>
      <c r="G365" s="1" t="s">
        <v>507</v>
      </c>
      <c r="H365" s="1" t="s">
        <v>32</v>
      </c>
      <c r="I365" s="1" t="s">
        <v>130</v>
      </c>
      <c r="J365" s="1" t="s">
        <v>163</v>
      </c>
      <c r="K365" s="1" t="s">
        <v>115</v>
      </c>
      <c r="L365" s="1"/>
      <c r="M365" s="1"/>
      <c r="N365" s="1" t="str">
        <f t="shared" si="60"/>
        <v>No</v>
      </c>
      <c r="O365" s="1">
        <f t="shared" si="66"/>
        <v>56</v>
      </c>
      <c r="P365" s="1">
        <f t="shared" si="61"/>
        <v>61</v>
      </c>
      <c r="Q365" s="1">
        <f t="shared" si="62"/>
        <v>3</v>
      </c>
      <c r="R365" s="1">
        <f t="shared" si="63"/>
        <v>2</v>
      </c>
      <c r="S365" s="29">
        <f t="shared" si="64"/>
        <v>91.8</v>
      </c>
      <c r="T365" s="1" t="str">
        <f t="shared" si="65"/>
        <v>not out</v>
      </c>
      <c r="U365" s="1" t="str">
        <f t="shared" si="67"/>
        <v>1</v>
      </c>
      <c r="V365" s="1" t="str">
        <f t="shared" si="68"/>
        <v xml:space="preserve"> West Indies</v>
      </c>
      <c r="W365" s="1" t="str">
        <f t="shared" si="69"/>
        <v>Manchester</v>
      </c>
      <c r="X365" s="1" t="str">
        <f t="shared" si="70"/>
        <v>No</v>
      </c>
      <c r="Y365" s="1"/>
      <c r="Z365" s="1"/>
    </row>
    <row r="366" spans="1:26" ht="14.25" customHeight="1">
      <c r="A366" s="1"/>
      <c r="B366" s="1">
        <v>347</v>
      </c>
      <c r="C366" s="1" t="s">
        <v>775</v>
      </c>
      <c r="D366" s="1" t="s">
        <v>146</v>
      </c>
      <c r="E366" s="1" t="s">
        <v>140</v>
      </c>
      <c r="F366" s="1" t="s">
        <v>130</v>
      </c>
      <c r="G366" s="1" t="s">
        <v>788</v>
      </c>
      <c r="H366" s="1" t="s">
        <v>32</v>
      </c>
      <c r="I366" s="1" t="s">
        <v>151</v>
      </c>
      <c r="J366" s="1" t="s">
        <v>234</v>
      </c>
      <c r="K366" s="1" t="s">
        <v>99</v>
      </c>
      <c r="L366" s="1"/>
      <c r="M366" s="1"/>
      <c r="N366" s="1" t="str">
        <f t="shared" si="60"/>
        <v>No</v>
      </c>
      <c r="O366" s="1">
        <f t="shared" si="66"/>
        <v>42</v>
      </c>
      <c r="P366" s="1">
        <f t="shared" si="61"/>
        <v>31</v>
      </c>
      <c r="Q366" s="1">
        <f t="shared" si="62"/>
        <v>4</v>
      </c>
      <c r="R366" s="1">
        <f t="shared" si="63"/>
        <v>1</v>
      </c>
      <c r="S366" s="29">
        <f t="shared" si="64"/>
        <v>135.47999999999999</v>
      </c>
      <c r="T366" s="1" t="str">
        <f t="shared" si="65"/>
        <v>not out</v>
      </c>
      <c r="U366" s="1" t="str">
        <f t="shared" si="67"/>
        <v>2</v>
      </c>
      <c r="V366" s="1" t="str">
        <f t="shared" si="68"/>
        <v xml:space="preserve"> England</v>
      </c>
      <c r="W366" s="1" t="str">
        <f t="shared" si="69"/>
        <v>Birmingham</v>
      </c>
      <c r="X366" s="1" t="str">
        <f t="shared" si="70"/>
        <v>No</v>
      </c>
      <c r="Y366" s="1"/>
      <c r="Z366" s="1"/>
    </row>
    <row r="367" spans="1:26" ht="14.25" customHeight="1">
      <c r="A367" s="1"/>
      <c r="B367" s="1">
        <v>348</v>
      </c>
      <c r="C367" s="1" t="s">
        <v>248</v>
      </c>
      <c r="D367" s="1" t="s">
        <v>244</v>
      </c>
      <c r="E367" s="1" t="s">
        <v>140</v>
      </c>
      <c r="F367" s="1" t="s">
        <v>131</v>
      </c>
      <c r="G367" s="1" t="s">
        <v>789</v>
      </c>
      <c r="H367" s="1" t="s">
        <v>24</v>
      </c>
      <c r="I367" s="1" t="s">
        <v>130</v>
      </c>
      <c r="J367" s="1" t="s">
        <v>182</v>
      </c>
      <c r="K367" s="1" t="s">
        <v>99</v>
      </c>
      <c r="L367" s="1"/>
      <c r="M367" s="1"/>
      <c r="N367" s="1" t="str">
        <f t="shared" si="60"/>
        <v>No</v>
      </c>
      <c r="O367" s="1">
        <f t="shared" si="66"/>
        <v>35</v>
      </c>
      <c r="P367" s="1">
        <f t="shared" si="61"/>
        <v>33</v>
      </c>
      <c r="Q367" s="1">
        <f t="shared" si="62"/>
        <v>4</v>
      </c>
      <c r="R367" s="1">
        <f t="shared" si="63"/>
        <v>0</v>
      </c>
      <c r="S367" s="29">
        <f t="shared" si="64"/>
        <v>106.06</v>
      </c>
      <c r="T367" s="1" t="str">
        <f t="shared" si="65"/>
        <v>caught</v>
      </c>
      <c r="U367" s="1" t="str">
        <f t="shared" si="67"/>
        <v>1</v>
      </c>
      <c r="V367" s="1" t="str">
        <f t="shared" si="68"/>
        <v xml:space="preserve"> Bangladesh</v>
      </c>
      <c r="W367" s="1" t="str">
        <f t="shared" si="69"/>
        <v>Birmingham</v>
      </c>
      <c r="X367" s="1" t="str">
        <f t="shared" si="70"/>
        <v>Yes</v>
      </c>
      <c r="Y367" s="1"/>
      <c r="Z367" s="1"/>
    </row>
    <row r="368" spans="1:26" ht="14.25" customHeight="1">
      <c r="A368" s="1"/>
      <c r="B368" s="1">
        <v>349</v>
      </c>
      <c r="C368" s="1" t="s">
        <v>57</v>
      </c>
      <c r="D368" s="1" t="s">
        <v>157</v>
      </c>
      <c r="E368" s="1" t="s">
        <v>157</v>
      </c>
      <c r="F368" s="1" t="s">
        <v>157</v>
      </c>
      <c r="G368" s="1" t="s">
        <v>157</v>
      </c>
      <c r="H368" s="1" t="s">
        <v>157</v>
      </c>
      <c r="I368" s="1" t="s">
        <v>151</v>
      </c>
      <c r="J368" s="1" t="s">
        <v>133</v>
      </c>
      <c r="K368" s="1" t="s">
        <v>109</v>
      </c>
      <c r="L368" s="1"/>
      <c r="M368" s="1"/>
      <c r="N368" s="1" t="str">
        <f t="shared" si="60"/>
        <v>Yes</v>
      </c>
      <c r="O368" s="1" t="str">
        <f t="shared" si="66"/>
        <v>NA</v>
      </c>
      <c r="P368" s="1" t="str">
        <f t="shared" si="61"/>
        <v>NA</v>
      </c>
      <c r="Q368" s="1" t="str">
        <f t="shared" si="62"/>
        <v>NA</v>
      </c>
      <c r="R368" s="1" t="str">
        <f t="shared" si="63"/>
        <v>NA</v>
      </c>
      <c r="S368" s="29" t="str">
        <f t="shared" si="64"/>
        <v>NA</v>
      </c>
      <c r="T368" s="1" t="str">
        <f t="shared" si="65"/>
        <v>NA</v>
      </c>
      <c r="U368" s="1" t="str">
        <f t="shared" si="67"/>
        <v>2</v>
      </c>
      <c r="V368" s="1" t="str">
        <f t="shared" si="68"/>
        <v xml:space="preserve"> Sri Lanka</v>
      </c>
      <c r="W368" s="1" t="str">
        <f t="shared" si="69"/>
        <v>Leeds</v>
      </c>
      <c r="X368" s="1" t="str">
        <f t="shared" si="70"/>
        <v>No</v>
      </c>
      <c r="Y368" s="1"/>
      <c r="Z368" s="1"/>
    </row>
    <row r="369" spans="1:26" ht="14.25" customHeight="1">
      <c r="A369" s="1"/>
      <c r="B369" s="1">
        <v>350</v>
      </c>
      <c r="C369" s="1" t="s">
        <v>360</v>
      </c>
      <c r="D369" s="1" t="s">
        <v>454</v>
      </c>
      <c r="E369" s="1" t="s">
        <v>130</v>
      </c>
      <c r="F369" s="1" t="s">
        <v>130</v>
      </c>
      <c r="G369" s="1" t="s">
        <v>617</v>
      </c>
      <c r="H369" s="1" t="s">
        <v>26</v>
      </c>
      <c r="I369" s="1" t="s">
        <v>151</v>
      </c>
      <c r="J369" s="1" t="s">
        <v>211</v>
      </c>
      <c r="K369" s="1" t="s">
        <v>115</v>
      </c>
      <c r="L369" s="1"/>
      <c r="M369" s="1"/>
      <c r="N369" s="1" t="str">
        <f t="shared" si="60"/>
        <v>No</v>
      </c>
      <c r="O369" s="1">
        <f t="shared" si="66"/>
        <v>50</v>
      </c>
      <c r="P369" s="1">
        <f t="shared" si="61"/>
        <v>72</v>
      </c>
      <c r="Q369" s="1">
        <f t="shared" si="62"/>
        <v>1</v>
      </c>
      <c r="R369" s="1">
        <f t="shared" si="63"/>
        <v>1</v>
      </c>
      <c r="S369" s="29">
        <f t="shared" si="64"/>
        <v>69.44</v>
      </c>
      <c r="T369" s="1" t="str">
        <f t="shared" si="65"/>
        <v>run out</v>
      </c>
      <c r="U369" s="1" t="str">
        <f t="shared" si="67"/>
        <v>2</v>
      </c>
      <c r="V369" s="1" t="str">
        <f t="shared" si="68"/>
        <v xml:space="preserve"> New Zealand</v>
      </c>
      <c r="W369" s="1" t="str">
        <f t="shared" si="69"/>
        <v>Manchester</v>
      </c>
      <c r="X369" s="1" t="str">
        <f t="shared" si="70"/>
        <v>Yes</v>
      </c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autoFilter ref="N19:X19" xr:uid="{00000000-0001-0000-0200-000000000000}"/>
  <mergeCells count="5">
    <mergeCell ref="B1:B3"/>
    <mergeCell ref="D2:G2"/>
    <mergeCell ref="B17:K17"/>
    <mergeCell ref="N17:X17"/>
    <mergeCell ref="Q3:V3"/>
  </mergeCells>
  <pageMargins left="0.7" right="0.7" top="0.75" bottom="0.75" header="0" footer="0"/>
  <pageSetup orientation="landscape"/>
  <ignoredErrors>
    <ignoredError sqref="V20:V369" formula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6"/>
  <sheetViews>
    <sheetView showGridLines="0" workbookViewId="0">
      <selection activeCell="B1" sqref="B1:B3"/>
    </sheetView>
  </sheetViews>
  <sheetFormatPr defaultColWidth="14.44140625" defaultRowHeight="15" customHeight="1"/>
  <cols>
    <col min="1" max="1" width="4" customWidth="1"/>
    <col min="2" max="2" width="14.88671875" customWidth="1"/>
    <col min="3" max="3" width="8.6640625" customWidth="1"/>
    <col min="4" max="4" width="12.5546875" customWidth="1"/>
    <col min="5" max="8" width="8.6640625" customWidth="1"/>
    <col min="9" max="9" width="9.33203125" customWidth="1"/>
    <col min="10" max="10" width="14.33203125" customWidth="1"/>
    <col min="11" max="11" width="15.21875" customWidth="1"/>
    <col min="12" max="12" width="8.5546875" customWidth="1"/>
    <col min="13" max="13" width="8.6640625" customWidth="1"/>
    <col min="14" max="14" width="24.6640625" customWidth="1"/>
    <col min="15" max="15" width="16.88671875" customWidth="1"/>
    <col min="16" max="16" width="10.6640625" customWidth="1"/>
    <col min="17" max="19" width="8.6640625" customWidth="1"/>
    <col min="20" max="20" width="13.21875" customWidth="1"/>
    <col min="21" max="21" width="12.88671875" customWidth="1"/>
    <col min="22" max="22" width="13.88671875" customWidth="1"/>
    <col min="23" max="23" width="13" customWidth="1"/>
    <col min="24" max="25" width="8.6640625" customWidth="1"/>
  </cols>
  <sheetData>
    <row r="1" spans="1:25" ht="14.25" customHeight="1">
      <c r="A1" s="1"/>
      <c r="B1" s="4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951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1"/>
      <c r="B2" s="45"/>
      <c r="C2" s="1" t="s">
        <v>0</v>
      </c>
      <c r="D2" s="46" t="s">
        <v>951</v>
      </c>
      <c r="E2" s="47"/>
      <c r="F2" s="47"/>
      <c r="G2" s="48"/>
      <c r="H2" s="1"/>
      <c r="K2" s="1"/>
      <c r="L2" s="1"/>
      <c r="M2" s="1"/>
      <c r="N2" s="25" t="s">
        <v>18</v>
      </c>
      <c r="O2" s="24" t="s">
        <v>1325</v>
      </c>
      <c r="P2" s="1"/>
      <c r="Q2" s="49" t="s">
        <v>1331</v>
      </c>
      <c r="R2" s="49"/>
      <c r="S2" s="49"/>
      <c r="T2" s="49"/>
      <c r="U2" s="49"/>
      <c r="V2" s="49"/>
      <c r="W2" s="1"/>
      <c r="X2" s="1"/>
      <c r="Y2" s="1"/>
    </row>
    <row r="3" spans="1:25" ht="14.25" customHeight="1">
      <c r="A3" s="1"/>
      <c r="B3" s="45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2" t="s">
        <v>23</v>
      </c>
      <c r="O3" s="10">
        <f>COUNT(B20:B369)</f>
        <v>350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1"/>
      <c r="B4" s="4" t="s">
        <v>2</v>
      </c>
      <c r="C4" s="5">
        <f t="array" ref="C4">SUM(O18:O480)/ COUNTIF(X18:X480,"Yes")</f>
        <v>45.126213592233007</v>
      </c>
      <c r="D4" s="5">
        <f>AVERAGE(O18:O480)</f>
        <v>41.13274336283186</v>
      </c>
      <c r="E4" s="5">
        <f t="shared" ref="E4:F4" si="0">AVERAGE(P18:P480)</f>
        <v>47.274336283185839</v>
      </c>
      <c r="F4" s="5">
        <f t="shared" si="0"/>
        <v>4.4601769911504423</v>
      </c>
      <c r="G4" s="21">
        <f>SUM(O18:O480)/SUM(P18:P480)</f>
        <v>0.87008611007113446</v>
      </c>
      <c r="H4" s="6"/>
      <c r="I4" s="6"/>
      <c r="J4" s="6"/>
      <c r="K4" s="7"/>
      <c r="L4" s="3"/>
      <c r="M4" s="1"/>
      <c r="N4" s="2" t="s">
        <v>25</v>
      </c>
      <c r="O4" s="10">
        <f>MAX(O20:O369)</f>
        <v>186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25" customHeight="1">
      <c r="A5" s="1"/>
      <c r="B5" s="8" t="s">
        <v>3</v>
      </c>
      <c r="C5" s="9">
        <f>MEDIAN(O18:O480)</f>
        <v>29</v>
      </c>
      <c r="D5" s="9">
        <f t="shared" ref="D5:G5" si="1">MEDIAN(P18:P480)</f>
        <v>33</v>
      </c>
      <c r="E5" s="9">
        <f t="shared" si="1"/>
        <v>3</v>
      </c>
      <c r="F5" s="9">
        <f t="shared" si="1"/>
        <v>0</v>
      </c>
      <c r="G5" s="9">
        <f t="shared" si="1"/>
        <v>75.86</v>
      </c>
      <c r="H5" s="10"/>
      <c r="I5" s="10"/>
      <c r="J5" s="10"/>
      <c r="K5" s="11"/>
      <c r="L5" s="3"/>
      <c r="M5" s="3"/>
      <c r="N5" s="2" t="s">
        <v>28</v>
      </c>
      <c r="O5" s="10">
        <f>COUNTIF(O20:O369,0)</f>
        <v>13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25" customHeight="1">
      <c r="A6" s="1"/>
      <c r="B6" s="8" t="s">
        <v>4</v>
      </c>
      <c r="C6" s="9"/>
      <c r="D6" s="9"/>
      <c r="E6" s="9"/>
      <c r="F6" s="9"/>
      <c r="G6" s="9"/>
      <c r="H6" s="10"/>
      <c r="I6" s="10"/>
      <c r="J6" s="10"/>
      <c r="K6" s="20"/>
      <c r="L6" s="1"/>
      <c r="M6" s="1"/>
      <c r="N6" s="2" t="s">
        <v>30</v>
      </c>
      <c r="O6" s="10">
        <f>COUNTIF(O20:O369, "&gt;=100")</f>
        <v>38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>
      <c r="A7" s="1"/>
      <c r="B7" s="8" t="s">
        <v>5</v>
      </c>
      <c r="C7" s="9">
        <f>_xlfn.STDEV.S(O18:O480)</f>
        <v>40.097719754196717</v>
      </c>
      <c r="D7" s="9">
        <f t="shared" ref="D7:G7" si="2">_xlfn.STDEV.S(P18:P480)</f>
        <v>40.016127078813753</v>
      </c>
      <c r="E7" s="9">
        <f t="shared" si="2"/>
        <v>4.5440156268861092</v>
      </c>
      <c r="F7" s="9">
        <f t="shared" si="2"/>
        <v>0.99541509219859636</v>
      </c>
      <c r="G7" s="9">
        <f t="shared" si="2"/>
        <v>35.900692217051457</v>
      </c>
      <c r="H7" s="10"/>
      <c r="I7" s="10"/>
      <c r="J7" s="10"/>
      <c r="K7" s="11"/>
      <c r="L7" s="1"/>
      <c r="M7" s="1"/>
      <c r="N7" s="2" t="s">
        <v>31</v>
      </c>
      <c r="O7" s="10">
        <f>COUNTIFS(O20:O369, "&gt;=50", O20:O369, "&lt;=100")</f>
        <v>75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1"/>
      <c r="B8" s="8" t="s">
        <v>6</v>
      </c>
      <c r="C8" s="9">
        <f>SKEW(O18:O480)</f>
        <v>1.1462475278394313</v>
      </c>
      <c r="D8" s="9">
        <f t="shared" ref="D8:G8" si="3">SKEW(P18:P480)</f>
        <v>0.92900218134809265</v>
      </c>
      <c r="E8" s="9">
        <f t="shared" si="3"/>
        <v>1.1693919850271692</v>
      </c>
      <c r="F8" s="9">
        <f t="shared" si="3"/>
        <v>3.2117407225408909</v>
      </c>
      <c r="G8" s="9">
        <f t="shared" si="3"/>
        <v>-6.1906345614402634E-2</v>
      </c>
      <c r="H8" s="10"/>
      <c r="I8" s="10"/>
      <c r="J8" s="10"/>
      <c r="K8" s="11"/>
      <c r="L8" s="1"/>
      <c r="M8" s="1"/>
      <c r="N8" s="2" t="s">
        <v>34</v>
      </c>
      <c r="O8" s="10">
        <f>SUM(Q20:Q369)*4+SUM(R20:R369)*6</f>
        <v>6732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25" customHeight="1">
      <c r="A9" s="1"/>
      <c r="B9" s="12" t="s">
        <v>7</v>
      </c>
      <c r="C9" s="13">
        <f>KURT(O18:O480)</f>
        <v>0.74783083293123864</v>
      </c>
      <c r="D9" s="13">
        <f t="shared" ref="D9:G9" si="4">KURT(P18:P480)</f>
        <v>-0.20065270135998103</v>
      </c>
      <c r="E9" s="13">
        <f t="shared" si="4"/>
        <v>1.0658927959374007</v>
      </c>
      <c r="F9" s="13">
        <f t="shared" si="4"/>
        <v>12.025303936406399</v>
      </c>
      <c r="G9" s="13">
        <f t="shared" si="4"/>
        <v>2.724111978665178E-2</v>
      </c>
      <c r="H9" s="14"/>
      <c r="I9" s="14"/>
      <c r="J9" s="14"/>
      <c r="K9" s="15"/>
      <c r="L9" s="1"/>
      <c r="M9" s="1"/>
      <c r="N9" s="2" t="s">
        <v>37</v>
      </c>
      <c r="O9" s="18">
        <f>O8/SUM(O20:O369)</f>
        <v>0.48687350835322196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 t="s">
        <v>41</v>
      </c>
      <c r="O10" s="18">
        <f>C7/C4</f>
        <v>0.88856823035332666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 t="s">
        <v>47</v>
      </c>
      <c r="O12" s="18">
        <f>COUNTIF(T20:T369, "run out")/COUNTIF(X20:X369, "Yes")</f>
        <v>8.7662337662337664E-2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 t="s">
        <v>49</v>
      </c>
      <c r="O13" s="10">
        <f>SUMIFS(R18:R480,V18:V480, "*Sri Lanka")</f>
        <v>30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>
      <c r="A15" s="1"/>
      <c r="B15" s="49" t="s">
        <v>125</v>
      </c>
      <c r="C15" s="49"/>
      <c r="D15" s="49"/>
      <c r="E15" s="49"/>
      <c r="F15" s="49"/>
      <c r="G15" s="49"/>
      <c r="H15" s="49"/>
      <c r="I15" s="49"/>
      <c r="J15" s="49"/>
      <c r="K15" s="49"/>
      <c r="L15" s="1"/>
      <c r="M15" s="1"/>
      <c r="N15" s="49" t="s">
        <v>126</v>
      </c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1"/>
    </row>
    <row r="16" spans="1:25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1"/>
      <c r="B17" s="16" t="s">
        <v>127</v>
      </c>
      <c r="C17" s="16" t="s">
        <v>9</v>
      </c>
      <c r="D17" s="16" t="s">
        <v>10</v>
      </c>
      <c r="E17" s="16" t="s">
        <v>11</v>
      </c>
      <c r="F17" s="16" t="s">
        <v>12</v>
      </c>
      <c r="G17" s="16" t="s">
        <v>13</v>
      </c>
      <c r="H17" s="16" t="s">
        <v>14</v>
      </c>
      <c r="I17" s="16" t="s">
        <v>529</v>
      </c>
      <c r="J17" s="16" t="s">
        <v>15</v>
      </c>
      <c r="K17" s="16" t="s">
        <v>16</v>
      </c>
      <c r="L17" s="19"/>
      <c r="M17" s="1"/>
      <c r="N17" s="23" t="s">
        <v>57</v>
      </c>
      <c r="O17" s="23" t="s">
        <v>9</v>
      </c>
      <c r="P17" s="23" t="s">
        <v>10</v>
      </c>
      <c r="Q17" s="23" t="s">
        <v>11</v>
      </c>
      <c r="R17" s="16" t="s">
        <v>12</v>
      </c>
      <c r="S17" s="16" t="s">
        <v>13</v>
      </c>
      <c r="T17" s="16" t="s">
        <v>14</v>
      </c>
      <c r="U17" s="16" t="s">
        <v>529</v>
      </c>
      <c r="V17" s="16" t="s">
        <v>15</v>
      </c>
      <c r="W17" s="16" t="s">
        <v>16</v>
      </c>
      <c r="X17" s="16" t="s">
        <v>17</v>
      </c>
      <c r="Y17" s="1"/>
    </row>
    <row r="18" spans="1:25" ht="14.25" customHeight="1">
      <c r="A18" s="1"/>
      <c r="B18" s="1">
        <v>1</v>
      </c>
      <c r="C18" s="1" t="s">
        <v>131</v>
      </c>
      <c r="D18" s="1" t="s">
        <v>151</v>
      </c>
      <c r="E18" s="1" t="s">
        <v>131</v>
      </c>
      <c r="F18" s="1" t="s">
        <v>131</v>
      </c>
      <c r="G18" s="1" t="s">
        <v>210</v>
      </c>
      <c r="H18" s="1" t="s">
        <v>24</v>
      </c>
      <c r="I18" s="1" t="s">
        <v>151</v>
      </c>
      <c r="J18" s="1" t="s">
        <v>156</v>
      </c>
      <c r="K18" s="1" t="s">
        <v>952</v>
      </c>
      <c r="L18" s="1"/>
      <c r="M18" s="1"/>
      <c r="N18" s="1" t="str">
        <f t="shared" ref="N18:N81" si="5">IF(OR(C18="DNB",C18="TDNB"),"Yes","No")</f>
        <v>No</v>
      </c>
      <c r="O18" s="1">
        <f t="shared" ref="O18:O81" si="6">IF(N20="Yes", "NA",SUBSTITUTE(C20,"*","")*1)</f>
        <v>36</v>
      </c>
      <c r="P18" s="1">
        <f>IF(D18="-","NA",D18*1)</f>
        <v>2</v>
      </c>
      <c r="Q18" s="1">
        <f t="shared" ref="Q18:S33" si="7">IF(E18="-","NA",E18*1)</f>
        <v>0</v>
      </c>
      <c r="R18" s="1">
        <f t="shared" si="7"/>
        <v>0</v>
      </c>
      <c r="S18" s="34">
        <f t="shared" si="7"/>
        <v>0</v>
      </c>
      <c r="T18" s="1" t="str">
        <f>IF(H18="-","NA",H18)</f>
        <v>caught</v>
      </c>
      <c r="U18" s="1" t="str">
        <f>I18</f>
        <v>2</v>
      </c>
      <c r="V18" s="1" t="str">
        <f t="shared" ref="V18:V82" si="8">SUBSTITUTE(J18,"v","")</f>
        <v xml:space="preserve"> Pakistan</v>
      </c>
      <c r="W18" s="1" t="str">
        <f>K18</f>
        <v>Gujranwala</v>
      </c>
      <c r="X18" s="1" t="str">
        <f>IF(N18="Yes","No",IF(T18="not out","No","Yes"))</f>
        <v>Yes</v>
      </c>
      <c r="Y18" s="1"/>
    </row>
    <row r="19" spans="1:25" ht="14.25" customHeight="1">
      <c r="A19" s="1"/>
      <c r="B19" s="1">
        <v>2</v>
      </c>
      <c r="C19" s="1" t="s">
        <v>131</v>
      </c>
      <c r="D19" s="1" t="s">
        <v>151</v>
      </c>
      <c r="E19" s="1" t="s">
        <v>131</v>
      </c>
      <c r="F19" s="1" t="s">
        <v>131</v>
      </c>
      <c r="G19" s="1" t="s">
        <v>210</v>
      </c>
      <c r="H19" s="1" t="s">
        <v>24</v>
      </c>
      <c r="I19" s="1" t="s">
        <v>151</v>
      </c>
      <c r="J19" s="1" t="s">
        <v>211</v>
      </c>
      <c r="K19" s="1" t="s">
        <v>953</v>
      </c>
      <c r="L19" s="1"/>
      <c r="M19" s="1"/>
      <c r="N19" s="1" t="str">
        <f t="shared" si="5"/>
        <v>No</v>
      </c>
      <c r="O19" s="1">
        <f t="shared" si="6"/>
        <v>10</v>
      </c>
      <c r="P19" s="1">
        <f t="shared" ref="P19:Q82" si="9">IF(D19="-","NA",D19*1)</f>
        <v>2</v>
      </c>
      <c r="Q19" s="1">
        <f t="shared" si="7"/>
        <v>0</v>
      </c>
      <c r="R19" s="1">
        <f t="shared" si="7"/>
        <v>0</v>
      </c>
      <c r="S19" s="34">
        <f t="shared" si="7"/>
        <v>0</v>
      </c>
      <c r="T19" s="1" t="str">
        <f t="shared" ref="T19:T82" si="10">IF(H19="-","NA",H19)</f>
        <v>caught</v>
      </c>
      <c r="U19" s="1" t="str">
        <f t="shared" ref="U19:U82" si="11">I19</f>
        <v>2</v>
      </c>
      <c r="V19" s="1" t="str">
        <f t="shared" si="8"/>
        <v xml:space="preserve"> New Zealand</v>
      </c>
      <c r="W19" s="1" t="str">
        <f t="shared" ref="W19:W82" si="12">K19</f>
        <v>Dunedin</v>
      </c>
      <c r="X19" s="1" t="str">
        <f t="shared" ref="X19:X82" si="13">IF(N19="Yes","No",IF(T19="not out","No","Yes"))</f>
        <v>Yes</v>
      </c>
      <c r="Y19" s="1"/>
    </row>
    <row r="20" spans="1:25" ht="14.25" customHeight="1">
      <c r="A20" s="1"/>
      <c r="B20" s="1">
        <v>3</v>
      </c>
      <c r="C20" s="1" t="s">
        <v>258</v>
      </c>
      <c r="D20" s="1" t="s">
        <v>436</v>
      </c>
      <c r="E20" s="1" t="s">
        <v>202</v>
      </c>
      <c r="F20" s="1" t="s">
        <v>131</v>
      </c>
      <c r="G20" s="1" t="s">
        <v>954</v>
      </c>
      <c r="H20" s="1" t="s">
        <v>24</v>
      </c>
      <c r="I20" s="1" t="s">
        <v>130</v>
      </c>
      <c r="J20" s="1" t="s">
        <v>211</v>
      </c>
      <c r="K20" s="1" t="s">
        <v>105</v>
      </c>
      <c r="L20" s="1"/>
      <c r="M20" s="1"/>
      <c r="N20" s="1" t="str">
        <f t="shared" si="5"/>
        <v>No</v>
      </c>
      <c r="O20" s="1">
        <f t="shared" si="6"/>
        <v>20</v>
      </c>
      <c r="P20" s="1">
        <f t="shared" si="9"/>
        <v>39</v>
      </c>
      <c r="Q20" s="1">
        <f t="shared" si="7"/>
        <v>5</v>
      </c>
      <c r="R20" s="1">
        <f t="shared" si="7"/>
        <v>0</v>
      </c>
      <c r="S20" s="34">
        <f t="shared" si="7"/>
        <v>92.3</v>
      </c>
      <c r="T20" s="1" t="str">
        <f t="shared" si="10"/>
        <v>caught</v>
      </c>
      <c r="U20" s="1" t="str">
        <f t="shared" si="11"/>
        <v>1</v>
      </c>
      <c r="V20" s="1" t="str">
        <f t="shared" si="8"/>
        <v xml:space="preserve"> New Zealand</v>
      </c>
      <c r="W20" s="1" t="str">
        <f t="shared" si="12"/>
        <v>Wellington</v>
      </c>
      <c r="X20" s="1" t="str">
        <f t="shared" si="13"/>
        <v>Yes</v>
      </c>
      <c r="Y20" s="1"/>
    </row>
    <row r="21" spans="1:25" ht="14.25" customHeight="1">
      <c r="A21" s="1"/>
      <c r="B21" s="1">
        <v>4</v>
      </c>
      <c r="C21" s="1" t="s">
        <v>167</v>
      </c>
      <c r="D21" s="1" t="s">
        <v>128</v>
      </c>
      <c r="E21" s="1" t="s">
        <v>131</v>
      </c>
      <c r="F21" s="1" t="s">
        <v>131</v>
      </c>
      <c r="G21" s="1" t="s">
        <v>496</v>
      </c>
      <c r="H21" s="1" t="s">
        <v>26</v>
      </c>
      <c r="I21" s="1" t="s">
        <v>130</v>
      </c>
      <c r="J21" s="1" t="s">
        <v>133</v>
      </c>
      <c r="K21" s="1" t="s">
        <v>955</v>
      </c>
      <c r="L21" s="1"/>
      <c r="M21" s="1"/>
      <c r="N21" s="1" t="str">
        <f t="shared" si="5"/>
        <v>No</v>
      </c>
      <c r="O21" s="1">
        <f t="shared" si="6"/>
        <v>19</v>
      </c>
      <c r="P21" s="1">
        <f t="shared" si="9"/>
        <v>12</v>
      </c>
      <c r="Q21" s="1">
        <f t="shared" si="7"/>
        <v>0</v>
      </c>
      <c r="R21" s="1">
        <f t="shared" si="7"/>
        <v>0</v>
      </c>
      <c r="S21" s="34">
        <f t="shared" si="7"/>
        <v>83.33</v>
      </c>
      <c r="T21" s="1" t="str">
        <f t="shared" si="10"/>
        <v>run out</v>
      </c>
      <c r="U21" s="1" t="str">
        <f t="shared" si="11"/>
        <v>1</v>
      </c>
      <c r="V21" s="1" t="str">
        <f t="shared" si="8"/>
        <v xml:space="preserve"> Sri Lanka</v>
      </c>
      <c r="W21" s="1" t="str">
        <f t="shared" si="12"/>
        <v>Sharjah</v>
      </c>
      <c r="X21" s="1" t="str">
        <f t="shared" si="13"/>
        <v>Yes</v>
      </c>
      <c r="Y21" s="1"/>
    </row>
    <row r="22" spans="1:25" ht="14.25" customHeight="1">
      <c r="A22" s="1"/>
      <c r="B22" s="1">
        <v>5</v>
      </c>
      <c r="C22" s="1" t="s">
        <v>238</v>
      </c>
      <c r="D22" s="1" t="s">
        <v>138</v>
      </c>
      <c r="E22" s="1" t="s">
        <v>130</v>
      </c>
      <c r="F22" s="1" t="s">
        <v>131</v>
      </c>
      <c r="G22" s="1" t="s">
        <v>361</v>
      </c>
      <c r="H22" s="1" t="s">
        <v>24</v>
      </c>
      <c r="I22" s="1" t="s">
        <v>151</v>
      </c>
      <c r="J22" s="1" t="s">
        <v>156</v>
      </c>
      <c r="K22" s="1" t="s">
        <v>955</v>
      </c>
      <c r="L22" s="1"/>
      <c r="M22" s="1"/>
      <c r="N22" s="1" t="str">
        <f t="shared" si="5"/>
        <v>No</v>
      </c>
      <c r="O22" s="1">
        <f t="shared" si="6"/>
        <v>31</v>
      </c>
      <c r="P22" s="1">
        <f t="shared" si="9"/>
        <v>25</v>
      </c>
      <c r="Q22" s="1">
        <f t="shared" si="7"/>
        <v>1</v>
      </c>
      <c r="R22" s="1">
        <f t="shared" si="7"/>
        <v>0</v>
      </c>
      <c r="S22" s="34">
        <f t="shared" si="7"/>
        <v>80</v>
      </c>
      <c r="T22" s="1" t="str">
        <f t="shared" si="10"/>
        <v>caught</v>
      </c>
      <c r="U22" s="1" t="str">
        <f t="shared" si="11"/>
        <v>2</v>
      </c>
      <c r="V22" s="1" t="str">
        <f t="shared" si="8"/>
        <v xml:space="preserve"> Pakistan</v>
      </c>
      <c r="W22" s="1" t="str">
        <f t="shared" si="12"/>
        <v>Sharjah</v>
      </c>
      <c r="X22" s="1" t="str">
        <f t="shared" si="13"/>
        <v>Yes</v>
      </c>
      <c r="Y22" s="1"/>
    </row>
    <row r="23" spans="1:25" ht="14.25" customHeight="1">
      <c r="A23" s="1"/>
      <c r="B23" s="1">
        <v>6</v>
      </c>
      <c r="C23" s="1" t="s">
        <v>170</v>
      </c>
      <c r="D23" s="1" t="s">
        <v>248</v>
      </c>
      <c r="E23" s="1" t="s">
        <v>130</v>
      </c>
      <c r="F23" s="1" t="s">
        <v>130</v>
      </c>
      <c r="G23" s="1" t="s">
        <v>956</v>
      </c>
      <c r="H23" s="1" t="s">
        <v>29</v>
      </c>
      <c r="I23" s="1" t="s">
        <v>151</v>
      </c>
      <c r="J23" s="1" t="s">
        <v>234</v>
      </c>
      <c r="K23" s="1" t="s">
        <v>109</v>
      </c>
      <c r="L23" s="1"/>
      <c r="M23" s="1"/>
      <c r="N23" s="1" t="str">
        <f t="shared" si="5"/>
        <v>No</v>
      </c>
      <c r="O23" s="1">
        <f t="shared" si="6"/>
        <v>36</v>
      </c>
      <c r="P23" s="1">
        <f t="shared" si="9"/>
        <v>35</v>
      </c>
      <c r="Q23" s="1">
        <f t="shared" si="7"/>
        <v>1</v>
      </c>
      <c r="R23" s="1">
        <f t="shared" si="7"/>
        <v>1</v>
      </c>
      <c r="S23" s="34">
        <f t="shared" si="7"/>
        <v>54.28</v>
      </c>
      <c r="T23" s="1" t="str">
        <f t="shared" si="10"/>
        <v>bowled</v>
      </c>
      <c r="U23" s="1" t="str">
        <f t="shared" si="11"/>
        <v>2</v>
      </c>
      <c r="V23" s="1" t="str">
        <f t="shared" si="8"/>
        <v xml:space="preserve"> England</v>
      </c>
      <c r="W23" s="1" t="str">
        <f t="shared" si="12"/>
        <v>Leeds</v>
      </c>
      <c r="X23" s="1" t="str">
        <f t="shared" si="13"/>
        <v>Yes</v>
      </c>
      <c r="Y23" s="1"/>
    </row>
    <row r="24" spans="1:25" ht="14.25" customHeight="1">
      <c r="A24" s="1"/>
      <c r="B24" s="1">
        <v>7</v>
      </c>
      <c r="C24" s="1" t="s">
        <v>146</v>
      </c>
      <c r="D24" s="1" t="s">
        <v>313</v>
      </c>
      <c r="E24" s="1" t="s">
        <v>148</v>
      </c>
      <c r="F24" s="1" t="s">
        <v>131</v>
      </c>
      <c r="G24" s="1" t="s">
        <v>630</v>
      </c>
      <c r="H24" s="1" t="s">
        <v>29</v>
      </c>
      <c r="I24" s="1" t="s">
        <v>151</v>
      </c>
      <c r="J24" s="1" t="s">
        <v>234</v>
      </c>
      <c r="K24" s="1" t="s">
        <v>108</v>
      </c>
      <c r="L24" s="1"/>
      <c r="M24" s="1"/>
      <c r="N24" s="1" t="str">
        <f t="shared" si="5"/>
        <v>No</v>
      </c>
      <c r="O24" s="1">
        <f t="shared" si="6"/>
        <v>53</v>
      </c>
      <c r="P24" s="1">
        <f t="shared" si="9"/>
        <v>26</v>
      </c>
      <c r="Q24" s="1">
        <f t="shared" si="7"/>
        <v>3</v>
      </c>
      <c r="R24" s="1">
        <f t="shared" si="7"/>
        <v>0</v>
      </c>
      <c r="S24" s="34">
        <f t="shared" si="7"/>
        <v>119.23</v>
      </c>
      <c r="T24" s="1" t="str">
        <f t="shared" si="10"/>
        <v>bowled</v>
      </c>
      <c r="U24" s="1" t="str">
        <f t="shared" si="11"/>
        <v>2</v>
      </c>
      <c r="V24" s="1" t="str">
        <f t="shared" si="8"/>
        <v xml:space="preserve"> England</v>
      </c>
      <c r="W24" s="1" t="str">
        <f t="shared" si="12"/>
        <v>Nottingham</v>
      </c>
      <c r="X24" s="1" t="str">
        <f t="shared" si="13"/>
        <v>Yes</v>
      </c>
      <c r="Y24" s="1"/>
    </row>
    <row r="25" spans="1:25" ht="14.25" customHeight="1">
      <c r="A25" s="1"/>
      <c r="B25" s="1">
        <v>8</v>
      </c>
      <c r="C25" s="1" t="s">
        <v>258</v>
      </c>
      <c r="D25" s="1" t="s">
        <v>129</v>
      </c>
      <c r="E25" s="1" t="s">
        <v>148</v>
      </c>
      <c r="F25" s="1" t="s">
        <v>151</v>
      </c>
      <c r="G25" s="1" t="s">
        <v>579</v>
      </c>
      <c r="H25" s="1" t="s">
        <v>29</v>
      </c>
      <c r="I25" s="1" t="s">
        <v>130</v>
      </c>
      <c r="J25" s="1" t="s">
        <v>133</v>
      </c>
      <c r="K25" s="1" t="s">
        <v>50</v>
      </c>
      <c r="L25" s="1"/>
      <c r="M25" s="1"/>
      <c r="N25" s="1" t="str">
        <f t="shared" si="5"/>
        <v>No</v>
      </c>
      <c r="O25" s="1">
        <f t="shared" si="6"/>
        <v>30</v>
      </c>
      <c r="P25" s="1">
        <f t="shared" si="9"/>
        <v>22</v>
      </c>
      <c r="Q25" s="1">
        <f t="shared" si="7"/>
        <v>3</v>
      </c>
      <c r="R25" s="1">
        <f t="shared" si="7"/>
        <v>2</v>
      </c>
      <c r="S25" s="34">
        <f t="shared" si="7"/>
        <v>163.63</v>
      </c>
      <c r="T25" s="1" t="str">
        <f t="shared" si="10"/>
        <v>bowled</v>
      </c>
      <c r="U25" s="1" t="str">
        <f t="shared" si="11"/>
        <v>1</v>
      </c>
      <c r="V25" s="1" t="str">
        <f t="shared" si="8"/>
        <v xml:space="preserve"> Sri Lanka</v>
      </c>
      <c r="W25" s="1" t="str">
        <f t="shared" si="12"/>
        <v>Nagpur</v>
      </c>
      <c r="X25" s="1" t="str">
        <f t="shared" si="13"/>
        <v>Yes</v>
      </c>
      <c r="Y25" s="1"/>
    </row>
    <row r="26" spans="1:25" ht="14.25" customHeight="1">
      <c r="A26" s="1"/>
      <c r="B26" s="1">
        <v>9</v>
      </c>
      <c r="C26" s="1" t="s">
        <v>235</v>
      </c>
      <c r="D26" s="1" t="s">
        <v>165</v>
      </c>
      <c r="E26" s="1" t="s">
        <v>144</v>
      </c>
      <c r="F26" s="1" t="s">
        <v>130</v>
      </c>
      <c r="G26" s="1" t="s">
        <v>957</v>
      </c>
      <c r="H26" s="1" t="s">
        <v>29</v>
      </c>
      <c r="I26" s="1" t="s">
        <v>151</v>
      </c>
      <c r="J26" s="1" t="s">
        <v>133</v>
      </c>
      <c r="K26" s="1" t="s">
        <v>100</v>
      </c>
      <c r="L26" s="1"/>
      <c r="M26" s="1"/>
      <c r="N26" s="1" t="str">
        <f t="shared" si="5"/>
        <v>No</v>
      </c>
      <c r="O26" s="1" t="str">
        <f t="shared" si="6"/>
        <v>NA</v>
      </c>
      <c r="P26" s="1">
        <f t="shared" si="9"/>
        <v>41</v>
      </c>
      <c r="Q26" s="1">
        <f t="shared" si="7"/>
        <v>7</v>
      </c>
      <c r="R26" s="1">
        <f t="shared" si="7"/>
        <v>1</v>
      </c>
      <c r="S26" s="34">
        <f t="shared" si="7"/>
        <v>129.26</v>
      </c>
      <c r="T26" s="1" t="str">
        <f t="shared" si="10"/>
        <v>bowled</v>
      </c>
      <c r="U26" s="1" t="str">
        <f t="shared" si="11"/>
        <v>2</v>
      </c>
      <c r="V26" s="1" t="str">
        <f t="shared" si="8"/>
        <v xml:space="preserve"> Sri Lanka</v>
      </c>
      <c r="W26" s="1" t="str">
        <f t="shared" si="12"/>
        <v>Pune</v>
      </c>
      <c r="X26" s="1" t="str">
        <f t="shared" si="13"/>
        <v>Yes</v>
      </c>
      <c r="Y26" s="1"/>
    </row>
    <row r="27" spans="1:25" ht="14.25" customHeight="1">
      <c r="A27" s="1"/>
      <c r="B27" s="1">
        <v>10</v>
      </c>
      <c r="C27" s="1" t="s">
        <v>164</v>
      </c>
      <c r="D27" s="1" t="s">
        <v>200</v>
      </c>
      <c r="E27" s="1" t="s">
        <v>130</v>
      </c>
      <c r="F27" s="1" t="s">
        <v>151</v>
      </c>
      <c r="G27" s="1" t="s">
        <v>958</v>
      </c>
      <c r="H27" s="1" t="s">
        <v>24</v>
      </c>
      <c r="I27" s="1" t="s">
        <v>130</v>
      </c>
      <c r="J27" s="1" t="s">
        <v>133</v>
      </c>
      <c r="K27" s="1" t="s">
        <v>573</v>
      </c>
      <c r="L27" s="1"/>
      <c r="M27" s="1"/>
      <c r="N27" s="1" t="str">
        <f t="shared" si="5"/>
        <v>No</v>
      </c>
      <c r="O27" s="1">
        <f t="shared" si="6"/>
        <v>4</v>
      </c>
      <c r="P27" s="1">
        <f t="shared" si="9"/>
        <v>29</v>
      </c>
      <c r="Q27" s="1">
        <f t="shared" si="7"/>
        <v>1</v>
      </c>
      <c r="R27" s="1">
        <f t="shared" si="7"/>
        <v>2</v>
      </c>
      <c r="S27" s="34">
        <f t="shared" si="7"/>
        <v>103.44</v>
      </c>
      <c r="T27" s="1" t="str">
        <f t="shared" si="10"/>
        <v>caught</v>
      </c>
      <c r="U27" s="1" t="str">
        <f t="shared" si="11"/>
        <v>1</v>
      </c>
      <c r="V27" s="1" t="str">
        <f t="shared" si="8"/>
        <v xml:space="preserve"> Sri Lanka</v>
      </c>
      <c r="W27" s="1" t="str">
        <f t="shared" si="12"/>
        <v>Margao</v>
      </c>
      <c r="X27" s="1" t="str">
        <f t="shared" si="13"/>
        <v>Yes</v>
      </c>
      <c r="Y27" s="1"/>
    </row>
    <row r="28" spans="1:25" ht="14.25" customHeight="1">
      <c r="A28" s="1"/>
      <c r="B28" s="1">
        <v>11</v>
      </c>
      <c r="C28" s="1" t="s">
        <v>57</v>
      </c>
      <c r="D28" s="1" t="s">
        <v>157</v>
      </c>
      <c r="E28" s="1" t="s">
        <v>157</v>
      </c>
      <c r="F28" s="1" t="s">
        <v>157</v>
      </c>
      <c r="G28" s="1" t="s">
        <v>157</v>
      </c>
      <c r="H28" s="1" t="s">
        <v>157</v>
      </c>
      <c r="I28" s="1" t="s">
        <v>151</v>
      </c>
      <c r="J28" s="1" t="s">
        <v>182</v>
      </c>
      <c r="K28" s="1" t="s">
        <v>622</v>
      </c>
      <c r="L28" s="1"/>
      <c r="M28" s="1"/>
      <c r="N28" s="1" t="str">
        <f t="shared" si="5"/>
        <v>Yes</v>
      </c>
      <c r="O28" s="1">
        <f t="shared" si="6"/>
        <v>53</v>
      </c>
      <c r="P28" s="1" t="str">
        <f t="shared" si="9"/>
        <v>NA</v>
      </c>
      <c r="Q28" s="1" t="str">
        <f t="shared" si="7"/>
        <v>NA</v>
      </c>
      <c r="R28" s="1" t="str">
        <f t="shared" si="7"/>
        <v>NA</v>
      </c>
      <c r="S28" s="34" t="str">
        <f t="shared" si="7"/>
        <v>NA</v>
      </c>
      <c r="T28" s="1" t="str">
        <f t="shared" si="10"/>
        <v>NA</v>
      </c>
      <c r="U28" s="1" t="str">
        <f t="shared" si="11"/>
        <v>2</v>
      </c>
      <c r="V28" s="1" t="str">
        <f t="shared" si="8"/>
        <v xml:space="preserve"> Bangladesh</v>
      </c>
      <c r="W28" s="1" t="str">
        <f t="shared" si="12"/>
        <v>Chandigarh</v>
      </c>
      <c r="X28" s="1" t="str">
        <f t="shared" si="13"/>
        <v>No</v>
      </c>
      <c r="Y28" s="1"/>
    </row>
    <row r="29" spans="1:25" ht="14.25" customHeight="1">
      <c r="A29" s="1"/>
      <c r="B29" s="1">
        <v>12</v>
      </c>
      <c r="C29" s="1" t="s">
        <v>140</v>
      </c>
      <c r="D29" s="1" t="s">
        <v>176</v>
      </c>
      <c r="E29" s="1" t="s">
        <v>131</v>
      </c>
      <c r="F29" s="1" t="s">
        <v>131</v>
      </c>
      <c r="G29" s="1" t="s">
        <v>814</v>
      </c>
      <c r="H29" s="1" t="s">
        <v>19</v>
      </c>
      <c r="I29" s="1" t="s">
        <v>151</v>
      </c>
      <c r="J29" s="1" t="s">
        <v>133</v>
      </c>
      <c r="K29" s="1" t="s">
        <v>86</v>
      </c>
      <c r="L29" s="1"/>
      <c r="M29" s="1"/>
      <c r="N29" s="1" t="str">
        <f t="shared" si="5"/>
        <v>No</v>
      </c>
      <c r="O29" s="1">
        <f t="shared" si="6"/>
        <v>52</v>
      </c>
      <c r="P29" s="1">
        <f t="shared" si="9"/>
        <v>11</v>
      </c>
      <c r="Q29" s="1">
        <f t="shared" si="7"/>
        <v>0</v>
      </c>
      <c r="R29" s="1">
        <f t="shared" si="7"/>
        <v>0</v>
      </c>
      <c r="S29" s="34">
        <f t="shared" si="7"/>
        <v>36.36</v>
      </c>
      <c r="T29" s="1" t="str">
        <f t="shared" si="10"/>
        <v>lbw</v>
      </c>
      <c r="U29" s="1" t="str">
        <f t="shared" si="11"/>
        <v>2</v>
      </c>
      <c r="V29" s="1" t="str">
        <f t="shared" si="8"/>
        <v xml:space="preserve"> Sri Lanka</v>
      </c>
      <c r="W29" s="1" t="str">
        <f t="shared" si="12"/>
        <v>Cuttack</v>
      </c>
      <c r="X29" s="1" t="str">
        <f t="shared" si="13"/>
        <v>Yes</v>
      </c>
      <c r="Y29" s="1"/>
    </row>
    <row r="30" spans="1:25" ht="14.25" customHeight="1">
      <c r="A30" s="1"/>
      <c r="B30" s="1">
        <v>13</v>
      </c>
      <c r="C30" s="1" t="s">
        <v>235</v>
      </c>
      <c r="D30" s="1" t="s">
        <v>222</v>
      </c>
      <c r="E30" s="1" t="s">
        <v>151</v>
      </c>
      <c r="F30" s="1" t="s">
        <v>131</v>
      </c>
      <c r="G30" s="1" t="s">
        <v>959</v>
      </c>
      <c r="H30" s="1" t="s">
        <v>19</v>
      </c>
      <c r="I30" s="1" t="s">
        <v>151</v>
      </c>
      <c r="J30" s="1" t="s">
        <v>133</v>
      </c>
      <c r="K30" s="1" t="s">
        <v>51</v>
      </c>
      <c r="L30" s="1"/>
      <c r="M30" s="1"/>
      <c r="N30" s="1" t="str">
        <f t="shared" si="5"/>
        <v>No</v>
      </c>
      <c r="O30" s="1">
        <f t="shared" si="6"/>
        <v>22</v>
      </c>
      <c r="P30" s="1">
        <f t="shared" si="9"/>
        <v>70</v>
      </c>
      <c r="Q30" s="1">
        <f t="shared" si="7"/>
        <v>2</v>
      </c>
      <c r="R30" s="1">
        <f t="shared" si="7"/>
        <v>0</v>
      </c>
      <c r="S30" s="34">
        <f t="shared" si="7"/>
        <v>75.709999999999994</v>
      </c>
      <c r="T30" s="1" t="str">
        <f t="shared" si="10"/>
        <v>lbw</v>
      </c>
      <c r="U30" s="1" t="str">
        <f t="shared" si="11"/>
        <v>2</v>
      </c>
      <c r="V30" s="1" t="str">
        <f t="shared" si="8"/>
        <v xml:space="preserve"> Sri Lanka</v>
      </c>
      <c r="W30" s="1" t="str">
        <f t="shared" si="12"/>
        <v>Eden Gardens</v>
      </c>
      <c r="X30" s="1" t="str">
        <f t="shared" si="13"/>
        <v>Yes</v>
      </c>
      <c r="Y30" s="1"/>
    </row>
    <row r="31" spans="1:25" ht="14.25" customHeight="1">
      <c r="A31" s="1"/>
      <c r="B31" s="1">
        <v>14</v>
      </c>
      <c r="C31" s="1" t="s">
        <v>960</v>
      </c>
      <c r="D31" s="1" t="s">
        <v>359</v>
      </c>
      <c r="E31" s="1" t="s">
        <v>202</v>
      </c>
      <c r="F31" s="1" t="s">
        <v>131</v>
      </c>
      <c r="G31" s="1" t="s">
        <v>770</v>
      </c>
      <c r="H31" s="1" t="s">
        <v>32</v>
      </c>
      <c r="I31" s="1" t="s">
        <v>130</v>
      </c>
      <c r="J31" s="1" t="s">
        <v>156</v>
      </c>
      <c r="K31" s="1" t="s">
        <v>955</v>
      </c>
      <c r="L31" s="1"/>
      <c r="M31" s="1"/>
      <c r="N31" s="1" t="str">
        <f t="shared" si="5"/>
        <v>No</v>
      </c>
      <c r="O31" s="1">
        <f t="shared" si="6"/>
        <v>11</v>
      </c>
      <c r="P31" s="1">
        <f t="shared" si="9"/>
        <v>40</v>
      </c>
      <c r="Q31" s="1">
        <f t="shared" si="7"/>
        <v>5</v>
      </c>
      <c r="R31" s="1">
        <f t="shared" si="7"/>
        <v>0</v>
      </c>
      <c r="S31" s="34">
        <f t="shared" si="7"/>
        <v>130</v>
      </c>
      <c r="T31" s="1" t="str">
        <f t="shared" si="10"/>
        <v>not out</v>
      </c>
      <c r="U31" s="1" t="str">
        <f t="shared" si="11"/>
        <v>1</v>
      </c>
      <c r="V31" s="1" t="str">
        <f t="shared" si="8"/>
        <v xml:space="preserve"> Pakistan</v>
      </c>
      <c r="W31" s="1" t="str">
        <f t="shared" si="12"/>
        <v>Sharjah</v>
      </c>
      <c r="X31" s="1" t="str">
        <f t="shared" si="13"/>
        <v>No</v>
      </c>
      <c r="Y31" s="1"/>
    </row>
    <row r="32" spans="1:25" ht="14.25" customHeight="1">
      <c r="A32" s="1"/>
      <c r="B32" s="1">
        <v>15</v>
      </c>
      <c r="C32" s="1" t="s">
        <v>129</v>
      </c>
      <c r="D32" s="1" t="s">
        <v>169</v>
      </c>
      <c r="E32" s="1" t="s">
        <v>148</v>
      </c>
      <c r="F32" s="1" t="s">
        <v>131</v>
      </c>
      <c r="G32" s="1" t="s">
        <v>318</v>
      </c>
      <c r="H32" s="1" t="s">
        <v>26</v>
      </c>
      <c r="I32" s="1" t="s">
        <v>130</v>
      </c>
      <c r="J32" s="1" t="s">
        <v>163</v>
      </c>
      <c r="K32" s="1" t="s">
        <v>955</v>
      </c>
      <c r="L32" s="1"/>
      <c r="M32" s="1"/>
      <c r="N32" s="1" t="str">
        <f t="shared" si="5"/>
        <v>No</v>
      </c>
      <c r="O32" s="1">
        <f t="shared" si="6"/>
        <v>49</v>
      </c>
      <c r="P32" s="1">
        <f t="shared" si="9"/>
        <v>27</v>
      </c>
      <c r="Q32" s="1">
        <f t="shared" si="7"/>
        <v>3</v>
      </c>
      <c r="R32" s="1">
        <f t="shared" si="7"/>
        <v>0</v>
      </c>
      <c r="S32" s="34">
        <f t="shared" si="7"/>
        <v>81.48</v>
      </c>
      <c r="T32" s="1" t="str">
        <f t="shared" si="10"/>
        <v>run out</v>
      </c>
      <c r="U32" s="1" t="str">
        <f t="shared" si="11"/>
        <v>1</v>
      </c>
      <c r="V32" s="1" t="str">
        <f t="shared" si="8"/>
        <v xml:space="preserve"> West Indies</v>
      </c>
      <c r="W32" s="1" t="str">
        <f t="shared" si="12"/>
        <v>Sharjah</v>
      </c>
      <c r="X32" s="1" t="str">
        <f t="shared" si="13"/>
        <v>Yes</v>
      </c>
      <c r="Y32" s="1"/>
    </row>
    <row r="33" spans="1:25" ht="14.25" customHeight="1">
      <c r="A33" s="1"/>
      <c r="B33" s="1">
        <v>16</v>
      </c>
      <c r="C33" s="1" t="s">
        <v>803</v>
      </c>
      <c r="D33" s="1" t="s">
        <v>169</v>
      </c>
      <c r="E33" s="1" t="s">
        <v>130</v>
      </c>
      <c r="F33" s="1" t="s">
        <v>131</v>
      </c>
      <c r="G33" s="1" t="s">
        <v>815</v>
      </c>
      <c r="H33" s="1" t="s">
        <v>32</v>
      </c>
      <c r="I33" s="1" t="s">
        <v>151</v>
      </c>
      <c r="J33" s="1" t="s">
        <v>163</v>
      </c>
      <c r="K33" s="1" t="s">
        <v>955</v>
      </c>
      <c r="L33" s="1"/>
      <c r="M33" s="1"/>
      <c r="N33" s="1" t="str">
        <f t="shared" si="5"/>
        <v>No</v>
      </c>
      <c r="O33" s="1">
        <f t="shared" si="6"/>
        <v>0</v>
      </c>
      <c r="P33" s="1">
        <f t="shared" si="9"/>
        <v>27</v>
      </c>
      <c r="Q33" s="1">
        <f t="shared" si="7"/>
        <v>1</v>
      </c>
      <c r="R33" s="1">
        <f t="shared" si="7"/>
        <v>0</v>
      </c>
      <c r="S33" s="34">
        <f t="shared" si="7"/>
        <v>40.74</v>
      </c>
      <c r="T33" s="1" t="str">
        <f t="shared" si="10"/>
        <v>not out</v>
      </c>
      <c r="U33" s="1" t="str">
        <f t="shared" si="11"/>
        <v>2</v>
      </c>
      <c r="V33" s="1" t="str">
        <f t="shared" si="8"/>
        <v xml:space="preserve"> West Indies</v>
      </c>
      <c r="W33" s="1" t="str">
        <f t="shared" si="12"/>
        <v>Sharjah</v>
      </c>
      <c r="X33" s="1" t="str">
        <f t="shared" si="13"/>
        <v>No</v>
      </c>
      <c r="Y33" s="1"/>
    </row>
    <row r="34" spans="1:25" ht="14.25" customHeight="1">
      <c r="A34" s="1"/>
      <c r="B34" s="1">
        <v>17</v>
      </c>
      <c r="C34" s="1" t="s">
        <v>249</v>
      </c>
      <c r="D34" s="1" t="s">
        <v>139</v>
      </c>
      <c r="E34" s="1" t="s">
        <v>148</v>
      </c>
      <c r="F34" s="1" t="s">
        <v>151</v>
      </c>
      <c r="G34" s="1" t="s">
        <v>961</v>
      </c>
      <c r="H34" s="1" t="s">
        <v>24</v>
      </c>
      <c r="I34" s="1" t="s">
        <v>151</v>
      </c>
      <c r="J34" s="1" t="s">
        <v>156</v>
      </c>
      <c r="K34" s="1" t="s">
        <v>955</v>
      </c>
      <c r="L34" s="1"/>
      <c r="M34" s="1"/>
      <c r="N34" s="1" t="str">
        <f t="shared" si="5"/>
        <v>No</v>
      </c>
      <c r="O34" s="1">
        <f t="shared" si="6"/>
        <v>62</v>
      </c>
      <c r="P34" s="1">
        <f t="shared" si="9"/>
        <v>38</v>
      </c>
      <c r="Q34" s="1">
        <f t="shared" si="9"/>
        <v>3</v>
      </c>
      <c r="R34" s="1">
        <f t="shared" ref="R34:S97" si="14">IF(F34="-","NA",F34*1)</f>
        <v>2</v>
      </c>
      <c r="S34" s="34">
        <f t="shared" si="14"/>
        <v>128.94</v>
      </c>
      <c r="T34" s="1" t="str">
        <f t="shared" si="10"/>
        <v>caught</v>
      </c>
      <c r="U34" s="1" t="str">
        <f t="shared" si="11"/>
        <v>2</v>
      </c>
      <c r="V34" s="1" t="str">
        <f t="shared" si="8"/>
        <v xml:space="preserve"> Pakistan</v>
      </c>
      <c r="W34" s="1" t="str">
        <f t="shared" si="12"/>
        <v>Sharjah</v>
      </c>
      <c r="X34" s="1" t="str">
        <f t="shared" si="13"/>
        <v>Yes</v>
      </c>
      <c r="Y34" s="1"/>
    </row>
    <row r="35" spans="1:25" ht="14.25" customHeight="1">
      <c r="A35" s="1"/>
      <c r="B35" s="1">
        <v>18</v>
      </c>
      <c r="C35" s="1" t="s">
        <v>131</v>
      </c>
      <c r="D35" s="1" t="s">
        <v>130</v>
      </c>
      <c r="E35" s="1" t="s">
        <v>131</v>
      </c>
      <c r="F35" s="1" t="s">
        <v>131</v>
      </c>
      <c r="G35" s="1" t="s">
        <v>210</v>
      </c>
      <c r="H35" s="1" t="s">
        <v>19</v>
      </c>
      <c r="I35" s="1" t="s">
        <v>151</v>
      </c>
      <c r="J35" s="1" t="s">
        <v>156</v>
      </c>
      <c r="K35" s="1" t="s">
        <v>955</v>
      </c>
      <c r="L35" s="1"/>
      <c r="M35" s="1"/>
      <c r="N35" s="1" t="str">
        <f t="shared" si="5"/>
        <v>No</v>
      </c>
      <c r="O35" s="1">
        <f t="shared" si="6"/>
        <v>4</v>
      </c>
      <c r="P35" s="1">
        <f t="shared" si="9"/>
        <v>1</v>
      </c>
      <c r="Q35" s="1">
        <f t="shared" si="9"/>
        <v>0</v>
      </c>
      <c r="R35" s="1">
        <f t="shared" si="14"/>
        <v>0</v>
      </c>
      <c r="S35" s="34">
        <f t="shared" si="14"/>
        <v>0</v>
      </c>
      <c r="T35" s="1" t="str">
        <f t="shared" si="10"/>
        <v>lbw</v>
      </c>
      <c r="U35" s="1" t="str">
        <f t="shared" si="11"/>
        <v>2</v>
      </c>
      <c r="V35" s="1" t="str">
        <f t="shared" si="8"/>
        <v xml:space="preserve"> Pakistan</v>
      </c>
      <c r="W35" s="1" t="str">
        <f t="shared" si="12"/>
        <v>Sharjah</v>
      </c>
      <c r="X35" s="1" t="str">
        <f t="shared" si="13"/>
        <v>Yes</v>
      </c>
      <c r="Y35" s="1"/>
    </row>
    <row r="36" spans="1:25" ht="14.25" customHeight="1">
      <c r="A36" s="1"/>
      <c r="B36" s="1">
        <v>19</v>
      </c>
      <c r="C36" s="1" t="s">
        <v>364</v>
      </c>
      <c r="D36" s="1" t="s">
        <v>219</v>
      </c>
      <c r="E36" s="1" t="s">
        <v>189</v>
      </c>
      <c r="F36" s="1" t="s">
        <v>130</v>
      </c>
      <c r="G36" s="1" t="s">
        <v>962</v>
      </c>
      <c r="H36" s="1" t="s">
        <v>24</v>
      </c>
      <c r="I36" s="1" t="s">
        <v>151</v>
      </c>
      <c r="J36" s="1" t="s">
        <v>191</v>
      </c>
      <c r="K36" s="1" t="s">
        <v>51</v>
      </c>
      <c r="L36" s="1"/>
      <c r="M36" s="1"/>
      <c r="N36" s="1" t="str">
        <f t="shared" si="5"/>
        <v>No</v>
      </c>
      <c r="O36" s="1">
        <f t="shared" si="6"/>
        <v>1</v>
      </c>
      <c r="P36" s="1">
        <f t="shared" si="9"/>
        <v>73</v>
      </c>
      <c r="Q36" s="1">
        <f t="shared" si="9"/>
        <v>8</v>
      </c>
      <c r="R36" s="1">
        <f t="shared" si="14"/>
        <v>1</v>
      </c>
      <c r="S36" s="34">
        <f t="shared" si="14"/>
        <v>84.93</v>
      </c>
      <c r="T36" s="1" t="str">
        <f t="shared" si="10"/>
        <v>caught</v>
      </c>
      <c r="U36" s="1" t="str">
        <f t="shared" si="11"/>
        <v>2</v>
      </c>
      <c r="V36" s="1" t="str">
        <f t="shared" si="8"/>
        <v xml:space="preserve"> South Africa</v>
      </c>
      <c r="W36" s="1" t="str">
        <f t="shared" si="12"/>
        <v>Eden Gardens</v>
      </c>
      <c r="X36" s="1" t="str">
        <f t="shared" si="13"/>
        <v>Yes</v>
      </c>
      <c r="Y36" s="1"/>
    </row>
    <row r="37" spans="1:25" ht="14.25" customHeight="1">
      <c r="A37" s="1"/>
      <c r="B37" s="1">
        <v>20</v>
      </c>
      <c r="C37" s="1" t="s">
        <v>140</v>
      </c>
      <c r="D37" s="1" t="s">
        <v>189</v>
      </c>
      <c r="E37" s="1" t="s">
        <v>131</v>
      </c>
      <c r="F37" s="1" t="s">
        <v>131</v>
      </c>
      <c r="G37" s="1" t="s">
        <v>204</v>
      </c>
      <c r="H37" s="1" t="s">
        <v>24</v>
      </c>
      <c r="I37" s="1" t="s">
        <v>130</v>
      </c>
      <c r="J37" s="1" t="s">
        <v>191</v>
      </c>
      <c r="K37" s="1" t="s">
        <v>58</v>
      </c>
      <c r="L37" s="1"/>
      <c r="M37" s="1"/>
      <c r="N37" s="1" t="str">
        <f t="shared" si="5"/>
        <v>No</v>
      </c>
      <c r="O37" s="1">
        <f t="shared" si="6"/>
        <v>1</v>
      </c>
      <c r="P37" s="1">
        <f t="shared" si="9"/>
        <v>8</v>
      </c>
      <c r="Q37" s="1">
        <f t="shared" si="9"/>
        <v>0</v>
      </c>
      <c r="R37" s="1">
        <f t="shared" si="14"/>
        <v>0</v>
      </c>
      <c r="S37" s="34">
        <f t="shared" si="14"/>
        <v>50</v>
      </c>
      <c r="T37" s="1" t="str">
        <f t="shared" si="10"/>
        <v>caught</v>
      </c>
      <c r="U37" s="1" t="str">
        <f t="shared" si="11"/>
        <v>1</v>
      </c>
      <c r="V37" s="1" t="str">
        <f t="shared" si="8"/>
        <v xml:space="preserve"> South Africa</v>
      </c>
      <c r="W37" s="1" t="str">
        <f t="shared" si="12"/>
        <v>Gwalior</v>
      </c>
      <c r="X37" s="1" t="str">
        <f t="shared" si="13"/>
        <v>Yes</v>
      </c>
      <c r="Y37" s="1"/>
    </row>
    <row r="38" spans="1:25" ht="14.25" customHeight="1">
      <c r="A38" s="1"/>
      <c r="B38" s="1">
        <v>21</v>
      </c>
      <c r="C38" s="1" t="s">
        <v>130</v>
      </c>
      <c r="D38" s="1" t="s">
        <v>148</v>
      </c>
      <c r="E38" s="1" t="s">
        <v>131</v>
      </c>
      <c r="F38" s="1" t="s">
        <v>131</v>
      </c>
      <c r="G38" s="1" t="s">
        <v>229</v>
      </c>
      <c r="H38" s="1" t="s">
        <v>24</v>
      </c>
      <c r="I38" s="1" t="s">
        <v>130</v>
      </c>
      <c r="J38" s="1" t="s">
        <v>191</v>
      </c>
      <c r="K38" s="1" t="s">
        <v>963</v>
      </c>
      <c r="L38" s="1"/>
      <c r="M38" s="1"/>
      <c r="N38" s="1" t="str">
        <f t="shared" si="5"/>
        <v>No</v>
      </c>
      <c r="O38" s="1">
        <f t="shared" si="6"/>
        <v>36</v>
      </c>
      <c r="P38" s="1">
        <f t="shared" si="9"/>
        <v>3</v>
      </c>
      <c r="Q38" s="1">
        <f t="shared" si="9"/>
        <v>0</v>
      </c>
      <c r="R38" s="1">
        <f t="shared" si="14"/>
        <v>0</v>
      </c>
      <c r="S38" s="34">
        <f t="shared" si="14"/>
        <v>33.33</v>
      </c>
      <c r="T38" s="1" t="str">
        <f t="shared" si="10"/>
        <v>caught</v>
      </c>
      <c r="U38" s="1" t="str">
        <f t="shared" si="11"/>
        <v>1</v>
      </c>
      <c r="V38" s="1" t="str">
        <f t="shared" si="8"/>
        <v xml:space="preserve"> South Africa</v>
      </c>
      <c r="W38" s="1" t="str">
        <f t="shared" si="12"/>
        <v>New Delhi</v>
      </c>
      <c r="X38" s="1" t="str">
        <f t="shared" si="13"/>
        <v>Yes</v>
      </c>
      <c r="Y38" s="1"/>
    </row>
    <row r="39" spans="1:25" ht="14.25" customHeight="1">
      <c r="A39" s="1"/>
      <c r="B39" s="1">
        <v>22</v>
      </c>
      <c r="C39" s="1" t="s">
        <v>130</v>
      </c>
      <c r="D39" s="1" t="s">
        <v>161</v>
      </c>
      <c r="E39" s="1" t="s">
        <v>131</v>
      </c>
      <c r="F39" s="1" t="s">
        <v>131</v>
      </c>
      <c r="G39" s="1" t="s">
        <v>895</v>
      </c>
      <c r="H39" s="1" t="s">
        <v>24</v>
      </c>
      <c r="I39" s="1" t="s">
        <v>130</v>
      </c>
      <c r="J39" s="1" t="s">
        <v>163</v>
      </c>
      <c r="K39" s="1" t="s">
        <v>89</v>
      </c>
      <c r="L39" s="1"/>
      <c r="M39" s="1"/>
      <c r="N39" s="1" t="str">
        <f t="shared" si="5"/>
        <v>No</v>
      </c>
      <c r="O39" s="1">
        <f t="shared" si="6"/>
        <v>57</v>
      </c>
      <c r="P39" s="1">
        <f t="shared" si="9"/>
        <v>9</v>
      </c>
      <c r="Q39" s="1">
        <f t="shared" si="9"/>
        <v>0</v>
      </c>
      <c r="R39" s="1">
        <f t="shared" si="14"/>
        <v>0</v>
      </c>
      <c r="S39" s="34">
        <f t="shared" si="14"/>
        <v>11.11</v>
      </c>
      <c r="T39" s="1" t="str">
        <f t="shared" si="10"/>
        <v>caught</v>
      </c>
      <c r="U39" s="1" t="str">
        <f t="shared" si="11"/>
        <v>1</v>
      </c>
      <c r="V39" s="1" t="str">
        <f t="shared" si="8"/>
        <v xml:space="preserve"> West Indies</v>
      </c>
      <c r="W39" s="1" t="str">
        <f t="shared" si="12"/>
        <v>W.A.C.A</v>
      </c>
      <c r="X39" s="1" t="str">
        <f t="shared" si="13"/>
        <v>Yes</v>
      </c>
      <c r="Y39" s="1"/>
    </row>
    <row r="40" spans="1:25" ht="14.25" customHeight="1">
      <c r="A40" s="1"/>
      <c r="B40" s="1">
        <v>23</v>
      </c>
      <c r="C40" s="1" t="s">
        <v>258</v>
      </c>
      <c r="D40" s="1" t="s">
        <v>172</v>
      </c>
      <c r="E40" s="1" t="s">
        <v>148</v>
      </c>
      <c r="F40" s="1" t="s">
        <v>131</v>
      </c>
      <c r="G40" s="1" t="s">
        <v>964</v>
      </c>
      <c r="H40" s="1" t="s">
        <v>24</v>
      </c>
      <c r="I40" s="1" t="s">
        <v>130</v>
      </c>
      <c r="J40" s="1" t="s">
        <v>158</v>
      </c>
      <c r="K40" s="1" t="s">
        <v>89</v>
      </c>
      <c r="L40" s="1"/>
      <c r="M40" s="1"/>
      <c r="N40" s="1" t="str">
        <f t="shared" si="5"/>
        <v>No</v>
      </c>
      <c r="O40" s="1">
        <f t="shared" si="6"/>
        <v>48</v>
      </c>
      <c r="P40" s="1">
        <f t="shared" si="9"/>
        <v>65</v>
      </c>
      <c r="Q40" s="1">
        <f t="shared" si="9"/>
        <v>3</v>
      </c>
      <c r="R40" s="1">
        <f t="shared" si="14"/>
        <v>0</v>
      </c>
      <c r="S40" s="34">
        <f t="shared" si="14"/>
        <v>55.38</v>
      </c>
      <c r="T40" s="1" t="str">
        <f t="shared" si="10"/>
        <v>caught</v>
      </c>
      <c r="U40" s="1" t="str">
        <f t="shared" si="11"/>
        <v>1</v>
      </c>
      <c r="V40" s="1" t="str">
        <f t="shared" si="8"/>
        <v xml:space="preserve"> Australia</v>
      </c>
      <c r="W40" s="1" t="str">
        <f t="shared" si="12"/>
        <v>W.A.C.A</v>
      </c>
      <c r="X40" s="1" t="str">
        <f t="shared" si="13"/>
        <v>Yes</v>
      </c>
      <c r="Y40" s="1"/>
    </row>
    <row r="41" spans="1:25" ht="14.25" customHeight="1">
      <c r="A41" s="1"/>
      <c r="B41" s="1">
        <v>24</v>
      </c>
      <c r="C41" s="1" t="s">
        <v>192</v>
      </c>
      <c r="D41" s="1" t="s">
        <v>174</v>
      </c>
      <c r="E41" s="1" t="s">
        <v>148</v>
      </c>
      <c r="F41" s="1" t="s">
        <v>131</v>
      </c>
      <c r="G41" s="1" t="s">
        <v>965</v>
      </c>
      <c r="H41" s="1" t="s">
        <v>24</v>
      </c>
      <c r="I41" s="1" t="s">
        <v>130</v>
      </c>
      <c r="J41" s="1" t="s">
        <v>158</v>
      </c>
      <c r="K41" s="1" t="s">
        <v>93</v>
      </c>
      <c r="L41" s="1"/>
      <c r="M41" s="1"/>
      <c r="N41" s="1" t="str">
        <f t="shared" si="5"/>
        <v>No</v>
      </c>
      <c r="O41" s="1">
        <f t="shared" si="6"/>
        <v>21</v>
      </c>
      <c r="P41" s="1">
        <f t="shared" si="9"/>
        <v>107</v>
      </c>
      <c r="Q41" s="1">
        <f t="shared" si="9"/>
        <v>3</v>
      </c>
      <c r="R41" s="1">
        <f t="shared" si="14"/>
        <v>0</v>
      </c>
      <c r="S41" s="34">
        <f t="shared" si="14"/>
        <v>53.27</v>
      </c>
      <c r="T41" s="1" t="str">
        <f t="shared" si="10"/>
        <v>caught</v>
      </c>
      <c r="U41" s="1" t="str">
        <f t="shared" si="11"/>
        <v>1</v>
      </c>
      <c r="V41" s="1" t="str">
        <f t="shared" si="8"/>
        <v xml:space="preserve"> Australia</v>
      </c>
      <c r="W41" s="1" t="str">
        <f t="shared" si="12"/>
        <v>Hobart</v>
      </c>
      <c r="X41" s="1" t="str">
        <f t="shared" si="13"/>
        <v>Yes</v>
      </c>
      <c r="Y41" s="1"/>
    </row>
    <row r="42" spans="1:25" ht="14.25" customHeight="1">
      <c r="A42" s="1"/>
      <c r="B42" s="1">
        <v>25</v>
      </c>
      <c r="C42" s="1" t="s">
        <v>355</v>
      </c>
      <c r="D42" s="1" t="s">
        <v>192</v>
      </c>
      <c r="E42" s="1" t="s">
        <v>151</v>
      </c>
      <c r="F42" s="1" t="s">
        <v>131</v>
      </c>
      <c r="G42" s="1" t="s">
        <v>966</v>
      </c>
      <c r="H42" s="1" t="s">
        <v>24</v>
      </c>
      <c r="I42" s="1" t="s">
        <v>130</v>
      </c>
      <c r="J42" s="1" t="s">
        <v>163</v>
      </c>
      <c r="K42" s="1" t="s">
        <v>90</v>
      </c>
      <c r="L42" s="1"/>
      <c r="M42" s="1"/>
      <c r="N42" s="1" t="str">
        <f t="shared" si="5"/>
        <v>No</v>
      </c>
      <c r="O42" s="1">
        <f t="shared" si="6"/>
        <v>77</v>
      </c>
      <c r="P42" s="1">
        <f t="shared" si="9"/>
        <v>57</v>
      </c>
      <c r="Q42" s="1">
        <f t="shared" si="9"/>
        <v>2</v>
      </c>
      <c r="R42" s="1">
        <f t="shared" si="14"/>
        <v>0</v>
      </c>
      <c r="S42" s="34">
        <f t="shared" si="14"/>
        <v>84.21</v>
      </c>
      <c r="T42" s="1" t="str">
        <f t="shared" si="10"/>
        <v>caught</v>
      </c>
      <c r="U42" s="1" t="str">
        <f t="shared" si="11"/>
        <v>1</v>
      </c>
      <c r="V42" s="1" t="str">
        <f t="shared" si="8"/>
        <v xml:space="preserve"> West Indies</v>
      </c>
      <c r="W42" s="1" t="str">
        <f t="shared" si="12"/>
        <v>Adelaide</v>
      </c>
      <c r="X42" s="1" t="str">
        <f t="shared" si="13"/>
        <v>Yes</v>
      </c>
      <c r="Y42" s="1"/>
    </row>
    <row r="43" spans="1:25" ht="14.25" customHeight="1">
      <c r="A43" s="1"/>
      <c r="B43" s="1">
        <v>26</v>
      </c>
      <c r="C43" s="1" t="s">
        <v>246</v>
      </c>
      <c r="D43" s="1" t="s">
        <v>248</v>
      </c>
      <c r="E43" s="1" t="s">
        <v>148</v>
      </c>
      <c r="F43" s="1" t="s">
        <v>131</v>
      </c>
      <c r="G43" s="1" t="s">
        <v>239</v>
      </c>
      <c r="H43" s="1" t="s">
        <v>24</v>
      </c>
      <c r="I43" s="1" t="s">
        <v>130</v>
      </c>
      <c r="J43" s="1" t="s">
        <v>158</v>
      </c>
      <c r="K43" s="1" t="s">
        <v>90</v>
      </c>
      <c r="L43" s="1"/>
      <c r="M43" s="1"/>
      <c r="N43" s="1" t="str">
        <f t="shared" si="5"/>
        <v>No</v>
      </c>
      <c r="O43" s="1">
        <f t="shared" si="6"/>
        <v>31</v>
      </c>
      <c r="P43" s="1">
        <f t="shared" si="9"/>
        <v>35</v>
      </c>
      <c r="Q43" s="1">
        <f t="shared" si="9"/>
        <v>3</v>
      </c>
      <c r="R43" s="1">
        <f t="shared" si="14"/>
        <v>0</v>
      </c>
      <c r="S43" s="34">
        <f t="shared" si="14"/>
        <v>60</v>
      </c>
      <c r="T43" s="1" t="str">
        <f t="shared" si="10"/>
        <v>caught</v>
      </c>
      <c r="U43" s="1" t="str">
        <f t="shared" si="11"/>
        <v>1</v>
      </c>
      <c r="V43" s="1" t="str">
        <f t="shared" si="8"/>
        <v xml:space="preserve"> Australia</v>
      </c>
      <c r="W43" s="1" t="str">
        <f t="shared" si="12"/>
        <v>Adelaide</v>
      </c>
      <c r="X43" s="1" t="str">
        <f t="shared" si="13"/>
        <v>Yes</v>
      </c>
      <c r="Y43" s="1"/>
    </row>
    <row r="44" spans="1:25" ht="14.25" customHeight="1">
      <c r="A44" s="1"/>
      <c r="B44" s="1">
        <v>27</v>
      </c>
      <c r="C44" s="1" t="s">
        <v>280</v>
      </c>
      <c r="D44" s="1" t="s">
        <v>366</v>
      </c>
      <c r="E44" s="1" t="s">
        <v>202</v>
      </c>
      <c r="F44" s="1" t="s">
        <v>131</v>
      </c>
      <c r="G44" s="1" t="s">
        <v>967</v>
      </c>
      <c r="H44" s="1" t="s">
        <v>24</v>
      </c>
      <c r="I44" s="1" t="s">
        <v>130</v>
      </c>
      <c r="J44" s="1" t="s">
        <v>163</v>
      </c>
      <c r="K44" s="1" t="s">
        <v>91</v>
      </c>
      <c r="L44" s="1"/>
      <c r="M44" s="1"/>
      <c r="N44" s="1" t="str">
        <f t="shared" si="5"/>
        <v>No</v>
      </c>
      <c r="O44" s="1">
        <f t="shared" si="6"/>
        <v>57</v>
      </c>
      <c r="P44" s="1">
        <f t="shared" si="9"/>
        <v>127</v>
      </c>
      <c r="Q44" s="1">
        <f t="shared" si="9"/>
        <v>5</v>
      </c>
      <c r="R44" s="1">
        <f t="shared" si="14"/>
        <v>0</v>
      </c>
      <c r="S44" s="34">
        <f t="shared" si="14"/>
        <v>60.62</v>
      </c>
      <c r="T44" s="1" t="str">
        <f t="shared" si="10"/>
        <v>caught</v>
      </c>
      <c r="U44" s="1" t="str">
        <f t="shared" si="11"/>
        <v>1</v>
      </c>
      <c r="V44" s="1" t="str">
        <f t="shared" si="8"/>
        <v xml:space="preserve"> West Indies</v>
      </c>
      <c r="W44" s="1" t="str">
        <f t="shared" si="12"/>
        <v>Brisbane</v>
      </c>
      <c r="X44" s="1" t="str">
        <f t="shared" si="13"/>
        <v>Yes</v>
      </c>
      <c r="Y44" s="1"/>
    </row>
    <row r="45" spans="1:25" ht="14.25" customHeight="1">
      <c r="A45" s="1"/>
      <c r="B45" s="1">
        <v>28</v>
      </c>
      <c r="C45" s="1" t="s">
        <v>146</v>
      </c>
      <c r="D45" s="1" t="s">
        <v>369</v>
      </c>
      <c r="E45" s="1" t="s">
        <v>130</v>
      </c>
      <c r="F45" s="1" t="s">
        <v>131</v>
      </c>
      <c r="G45" s="1" t="s">
        <v>968</v>
      </c>
      <c r="H45" s="1" t="s">
        <v>26</v>
      </c>
      <c r="I45" s="1" t="s">
        <v>130</v>
      </c>
      <c r="J45" s="1" t="s">
        <v>158</v>
      </c>
      <c r="K45" s="1" t="s">
        <v>92</v>
      </c>
      <c r="L45" s="1"/>
      <c r="M45" s="1"/>
      <c r="N45" s="1" t="str">
        <f t="shared" si="5"/>
        <v>No</v>
      </c>
      <c r="O45" s="1">
        <f t="shared" si="6"/>
        <v>4</v>
      </c>
      <c r="P45" s="1">
        <f t="shared" si="9"/>
        <v>44</v>
      </c>
      <c r="Q45" s="1">
        <f t="shared" si="9"/>
        <v>1</v>
      </c>
      <c r="R45" s="1">
        <f t="shared" si="14"/>
        <v>0</v>
      </c>
      <c r="S45" s="34">
        <f t="shared" si="14"/>
        <v>70.45</v>
      </c>
      <c r="T45" s="1" t="str">
        <f t="shared" si="10"/>
        <v>run out</v>
      </c>
      <c r="U45" s="1" t="str">
        <f t="shared" si="11"/>
        <v>1</v>
      </c>
      <c r="V45" s="1" t="str">
        <f t="shared" si="8"/>
        <v xml:space="preserve"> Australia</v>
      </c>
      <c r="W45" s="1" t="str">
        <f t="shared" si="12"/>
        <v>Sydney</v>
      </c>
      <c r="X45" s="1" t="str">
        <f t="shared" si="13"/>
        <v>Yes</v>
      </c>
      <c r="Y45" s="1"/>
    </row>
    <row r="46" spans="1:25" ht="14.25" customHeight="1">
      <c r="A46" s="1"/>
      <c r="B46" s="1">
        <v>29</v>
      </c>
      <c r="C46" s="1" t="s">
        <v>857</v>
      </c>
      <c r="D46" s="1" t="s">
        <v>332</v>
      </c>
      <c r="E46" s="1" t="s">
        <v>151</v>
      </c>
      <c r="F46" s="1" t="s">
        <v>131</v>
      </c>
      <c r="G46" s="1" t="s">
        <v>969</v>
      </c>
      <c r="H46" s="1" t="s">
        <v>32</v>
      </c>
      <c r="I46" s="1" t="s">
        <v>151</v>
      </c>
      <c r="J46" s="1" t="s">
        <v>163</v>
      </c>
      <c r="K46" s="1" t="s">
        <v>88</v>
      </c>
      <c r="L46" s="1"/>
      <c r="M46" s="1"/>
      <c r="N46" s="1" t="str">
        <f t="shared" si="5"/>
        <v>No</v>
      </c>
      <c r="O46" s="1">
        <f t="shared" si="6"/>
        <v>69</v>
      </c>
      <c r="P46" s="1">
        <f t="shared" si="9"/>
        <v>88</v>
      </c>
      <c r="Q46" s="1">
        <f t="shared" si="9"/>
        <v>2</v>
      </c>
      <c r="R46" s="1">
        <f t="shared" si="14"/>
        <v>0</v>
      </c>
      <c r="S46" s="34">
        <f t="shared" si="14"/>
        <v>64.77</v>
      </c>
      <c r="T46" s="1" t="str">
        <f t="shared" si="10"/>
        <v>not out</v>
      </c>
      <c r="U46" s="1" t="str">
        <f t="shared" si="11"/>
        <v>2</v>
      </c>
      <c r="V46" s="1" t="str">
        <f t="shared" si="8"/>
        <v xml:space="preserve"> West Indies</v>
      </c>
      <c r="W46" s="1" t="str">
        <f t="shared" si="12"/>
        <v>Melbourne</v>
      </c>
      <c r="X46" s="1" t="str">
        <f t="shared" si="13"/>
        <v>No</v>
      </c>
      <c r="Y46" s="1"/>
    </row>
    <row r="47" spans="1:25" ht="14.25" customHeight="1">
      <c r="A47" s="1"/>
      <c r="B47" s="1">
        <v>30</v>
      </c>
      <c r="C47" s="1" t="s">
        <v>140</v>
      </c>
      <c r="D47" s="1" t="s">
        <v>167</v>
      </c>
      <c r="E47" s="1" t="s">
        <v>131</v>
      </c>
      <c r="F47" s="1" t="s">
        <v>131</v>
      </c>
      <c r="G47" s="1" t="s">
        <v>324</v>
      </c>
      <c r="H47" s="1" t="s">
        <v>24</v>
      </c>
      <c r="I47" s="1" t="s">
        <v>151</v>
      </c>
      <c r="J47" s="1" t="s">
        <v>158</v>
      </c>
      <c r="K47" s="1" t="s">
        <v>88</v>
      </c>
      <c r="L47" s="1"/>
      <c r="M47" s="1"/>
      <c r="N47" s="1" t="str">
        <f t="shared" si="5"/>
        <v>No</v>
      </c>
      <c r="O47" s="1">
        <f t="shared" si="6"/>
        <v>35</v>
      </c>
      <c r="P47" s="1">
        <f t="shared" si="9"/>
        <v>10</v>
      </c>
      <c r="Q47" s="1">
        <f t="shared" si="9"/>
        <v>0</v>
      </c>
      <c r="R47" s="1">
        <f t="shared" si="14"/>
        <v>0</v>
      </c>
      <c r="S47" s="34">
        <f t="shared" si="14"/>
        <v>40</v>
      </c>
      <c r="T47" s="1" t="str">
        <f t="shared" si="10"/>
        <v>caught</v>
      </c>
      <c r="U47" s="1" t="str">
        <f t="shared" si="11"/>
        <v>2</v>
      </c>
      <c r="V47" s="1" t="str">
        <f t="shared" si="8"/>
        <v xml:space="preserve"> Australia</v>
      </c>
      <c r="W47" s="1" t="str">
        <f t="shared" si="12"/>
        <v>Melbourne</v>
      </c>
      <c r="X47" s="1" t="str">
        <f t="shared" si="13"/>
        <v>Yes</v>
      </c>
      <c r="Y47" s="1"/>
    </row>
    <row r="48" spans="1:25" ht="14.25" customHeight="1">
      <c r="A48" s="1"/>
      <c r="B48" s="1">
        <v>31</v>
      </c>
      <c r="C48" s="1" t="s">
        <v>701</v>
      </c>
      <c r="D48" s="1" t="s">
        <v>342</v>
      </c>
      <c r="E48" s="1" t="s">
        <v>148</v>
      </c>
      <c r="F48" s="1" t="s">
        <v>131</v>
      </c>
      <c r="G48" s="1" t="s">
        <v>970</v>
      </c>
      <c r="H48" s="1" t="s">
        <v>24</v>
      </c>
      <c r="I48" s="1" t="s">
        <v>151</v>
      </c>
      <c r="J48" s="1" t="s">
        <v>158</v>
      </c>
      <c r="K48" s="1" t="s">
        <v>92</v>
      </c>
      <c r="L48" s="1"/>
      <c r="M48" s="1"/>
      <c r="N48" s="1" t="str">
        <f t="shared" si="5"/>
        <v>No</v>
      </c>
      <c r="O48" s="1" t="str">
        <f t="shared" si="6"/>
        <v>NA</v>
      </c>
      <c r="P48" s="1">
        <f t="shared" si="9"/>
        <v>100</v>
      </c>
      <c r="Q48" s="1">
        <f t="shared" si="9"/>
        <v>3</v>
      </c>
      <c r="R48" s="1">
        <f t="shared" si="14"/>
        <v>0</v>
      </c>
      <c r="S48" s="34">
        <f t="shared" si="14"/>
        <v>69</v>
      </c>
      <c r="T48" s="1" t="str">
        <f t="shared" si="10"/>
        <v>caught</v>
      </c>
      <c r="U48" s="1" t="str">
        <f t="shared" si="11"/>
        <v>2</v>
      </c>
      <c r="V48" s="1" t="str">
        <f t="shared" si="8"/>
        <v xml:space="preserve"> Australia</v>
      </c>
      <c r="W48" s="1" t="str">
        <f t="shared" si="12"/>
        <v>Sydney</v>
      </c>
      <c r="X48" s="1" t="str">
        <f t="shared" si="13"/>
        <v>Yes</v>
      </c>
      <c r="Y48" s="1"/>
    </row>
    <row r="49" spans="1:25" ht="14.25" customHeight="1">
      <c r="A49" s="1"/>
      <c r="B49" s="1">
        <v>32</v>
      </c>
      <c r="C49" s="1" t="s">
        <v>248</v>
      </c>
      <c r="D49" s="1" t="s">
        <v>369</v>
      </c>
      <c r="E49" s="1" t="s">
        <v>202</v>
      </c>
      <c r="F49" s="1" t="s">
        <v>131</v>
      </c>
      <c r="G49" s="1" t="s">
        <v>971</v>
      </c>
      <c r="H49" s="1" t="s">
        <v>24</v>
      </c>
      <c r="I49" s="1" t="s">
        <v>151</v>
      </c>
      <c r="J49" s="1" t="s">
        <v>234</v>
      </c>
      <c r="K49" s="1" t="s">
        <v>89</v>
      </c>
      <c r="L49" s="1"/>
      <c r="M49" s="1"/>
      <c r="N49" s="1" t="str">
        <f t="shared" si="5"/>
        <v>No</v>
      </c>
      <c r="O49" s="1">
        <f t="shared" si="6"/>
        <v>11</v>
      </c>
      <c r="P49" s="1">
        <f t="shared" si="9"/>
        <v>44</v>
      </c>
      <c r="Q49" s="1">
        <f t="shared" si="9"/>
        <v>5</v>
      </c>
      <c r="R49" s="1">
        <f t="shared" si="14"/>
        <v>0</v>
      </c>
      <c r="S49" s="34">
        <f t="shared" si="14"/>
        <v>79.540000000000006</v>
      </c>
      <c r="T49" s="1" t="str">
        <f t="shared" si="10"/>
        <v>caught</v>
      </c>
      <c r="U49" s="1" t="str">
        <f t="shared" si="11"/>
        <v>2</v>
      </c>
      <c r="V49" s="1" t="str">
        <f t="shared" si="8"/>
        <v xml:space="preserve"> England</v>
      </c>
      <c r="W49" s="1" t="str">
        <f t="shared" si="12"/>
        <v>W.A.C.A</v>
      </c>
      <c r="X49" s="1" t="str">
        <f t="shared" si="13"/>
        <v>Yes</v>
      </c>
      <c r="Y49" s="1"/>
    </row>
    <row r="50" spans="1:25" ht="14.25" customHeight="1">
      <c r="A50" s="1"/>
      <c r="B50" s="1">
        <v>33</v>
      </c>
      <c r="C50" s="1" t="s">
        <v>57</v>
      </c>
      <c r="D50" s="1" t="s">
        <v>157</v>
      </c>
      <c r="E50" s="1" t="s">
        <v>157</v>
      </c>
      <c r="F50" s="1" t="s">
        <v>157</v>
      </c>
      <c r="G50" s="1" t="s">
        <v>157</v>
      </c>
      <c r="H50" s="1" t="s">
        <v>157</v>
      </c>
      <c r="I50" s="1" t="s">
        <v>130</v>
      </c>
      <c r="J50" s="1" t="s">
        <v>133</v>
      </c>
      <c r="K50" s="1" t="s">
        <v>972</v>
      </c>
      <c r="L50" s="1"/>
      <c r="M50" s="1"/>
      <c r="N50" s="1" t="str">
        <f t="shared" si="5"/>
        <v>Yes</v>
      </c>
      <c r="O50" s="1">
        <f t="shared" si="6"/>
        <v>54</v>
      </c>
      <c r="P50" s="1" t="str">
        <f t="shared" si="9"/>
        <v>NA</v>
      </c>
      <c r="Q50" s="1" t="str">
        <f t="shared" si="9"/>
        <v>NA</v>
      </c>
      <c r="R50" s="1" t="str">
        <f t="shared" si="14"/>
        <v>NA</v>
      </c>
      <c r="S50" s="34" t="str">
        <f t="shared" si="14"/>
        <v>NA</v>
      </c>
      <c r="T50" s="1" t="str">
        <f t="shared" si="10"/>
        <v>NA</v>
      </c>
      <c r="U50" s="1" t="str">
        <f t="shared" si="11"/>
        <v>1</v>
      </c>
      <c r="V50" s="1" t="str">
        <f t="shared" si="8"/>
        <v xml:space="preserve"> Sri Lanka</v>
      </c>
      <c r="W50" s="1" t="str">
        <f t="shared" si="12"/>
        <v>Mackay</v>
      </c>
      <c r="X50" s="1" t="str">
        <f t="shared" si="13"/>
        <v>No</v>
      </c>
      <c r="Y50" s="1"/>
    </row>
    <row r="51" spans="1:25" ht="14.25" customHeight="1">
      <c r="A51" s="1"/>
      <c r="B51" s="1">
        <v>34</v>
      </c>
      <c r="C51" s="1" t="s">
        <v>176</v>
      </c>
      <c r="D51" s="1" t="s">
        <v>170</v>
      </c>
      <c r="E51" s="1" t="s">
        <v>130</v>
      </c>
      <c r="F51" s="1" t="s">
        <v>131</v>
      </c>
      <c r="G51" s="1" t="s">
        <v>525</v>
      </c>
      <c r="H51" s="1" t="s">
        <v>24</v>
      </c>
      <c r="I51" s="1" t="s">
        <v>151</v>
      </c>
      <c r="J51" s="1" t="s">
        <v>158</v>
      </c>
      <c r="K51" s="1" t="s">
        <v>91</v>
      </c>
      <c r="L51" s="1"/>
      <c r="M51" s="1"/>
      <c r="N51" s="1" t="str">
        <f t="shared" si="5"/>
        <v>No</v>
      </c>
      <c r="O51" s="1">
        <f t="shared" si="6"/>
        <v>81</v>
      </c>
      <c r="P51" s="1">
        <f t="shared" si="9"/>
        <v>19</v>
      </c>
      <c r="Q51" s="1">
        <f t="shared" si="9"/>
        <v>1</v>
      </c>
      <c r="R51" s="1">
        <f t="shared" si="14"/>
        <v>0</v>
      </c>
      <c r="S51" s="34">
        <f t="shared" si="14"/>
        <v>57.89</v>
      </c>
      <c r="T51" s="1" t="str">
        <f t="shared" si="10"/>
        <v>caught</v>
      </c>
      <c r="U51" s="1" t="str">
        <f t="shared" si="11"/>
        <v>2</v>
      </c>
      <c r="V51" s="1" t="str">
        <f t="shared" si="8"/>
        <v xml:space="preserve"> Australia</v>
      </c>
      <c r="W51" s="1" t="str">
        <f t="shared" si="12"/>
        <v>Brisbane</v>
      </c>
      <c r="X51" s="1" t="str">
        <f t="shared" si="13"/>
        <v>Yes</v>
      </c>
      <c r="Y51" s="1"/>
    </row>
    <row r="52" spans="1:25" ht="14.25" customHeight="1">
      <c r="A52" s="1"/>
      <c r="B52" s="1">
        <v>35</v>
      </c>
      <c r="C52" s="1" t="s">
        <v>722</v>
      </c>
      <c r="D52" s="1" t="s">
        <v>364</v>
      </c>
      <c r="E52" s="1" t="s">
        <v>148</v>
      </c>
      <c r="F52" s="1" t="s">
        <v>131</v>
      </c>
      <c r="G52" s="1" t="s">
        <v>929</v>
      </c>
      <c r="H52" s="1" t="s">
        <v>32</v>
      </c>
      <c r="I52" s="1" t="s">
        <v>130</v>
      </c>
      <c r="J52" s="1" t="s">
        <v>156</v>
      </c>
      <c r="K52" s="1" t="s">
        <v>92</v>
      </c>
      <c r="L52" s="1"/>
      <c r="M52" s="1"/>
      <c r="N52" s="1" t="str">
        <f t="shared" si="5"/>
        <v>No</v>
      </c>
      <c r="O52" s="1">
        <f t="shared" si="6"/>
        <v>4</v>
      </c>
      <c r="P52" s="1">
        <f t="shared" si="9"/>
        <v>62</v>
      </c>
      <c r="Q52" s="1">
        <f t="shared" si="9"/>
        <v>3</v>
      </c>
      <c r="R52" s="1">
        <f t="shared" si="14"/>
        <v>0</v>
      </c>
      <c r="S52" s="34">
        <f t="shared" si="14"/>
        <v>87.09</v>
      </c>
      <c r="T52" s="1" t="str">
        <f t="shared" si="10"/>
        <v>not out</v>
      </c>
      <c r="U52" s="1" t="str">
        <f t="shared" si="11"/>
        <v>1</v>
      </c>
      <c r="V52" s="1" t="str">
        <f t="shared" si="8"/>
        <v xml:space="preserve"> Pakistan</v>
      </c>
      <c r="W52" s="1" t="str">
        <f t="shared" si="12"/>
        <v>Sydney</v>
      </c>
      <c r="X52" s="1" t="str">
        <f t="shared" si="13"/>
        <v>No</v>
      </c>
      <c r="Y52" s="1"/>
    </row>
    <row r="53" spans="1:25" ht="14.25" customHeight="1">
      <c r="A53" s="1"/>
      <c r="B53" s="1">
        <v>36</v>
      </c>
      <c r="C53" s="1" t="s">
        <v>250</v>
      </c>
      <c r="D53" s="1" t="s">
        <v>280</v>
      </c>
      <c r="E53" s="1" t="s">
        <v>189</v>
      </c>
      <c r="F53" s="1" t="s">
        <v>130</v>
      </c>
      <c r="G53" s="1" t="s">
        <v>973</v>
      </c>
      <c r="H53" s="1" t="s">
        <v>24</v>
      </c>
      <c r="I53" s="1" t="s">
        <v>130</v>
      </c>
      <c r="J53" s="1" t="s">
        <v>195</v>
      </c>
      <c r="K53" s="1" t="s">
        <v>103</v>
      </c>
      <c r="L53" s="1"/>
      <c r="M53" s="1"/>
      <c r="N53" s="1" t="str">
        <f t="shared" si="5"/>
        <v>No</v>
      </c>
      <c r="O53" s="1">
        <f t="shared" si="6"/>
        <v>84</v>
      </c>
      <c r="P53" s="1">
        <f t="shared" si="9"/>
        <v>77</v>
      </c>
      <c r="Q53" s="1">
        <f t="shared" si="9"/>
        <v>8</v>
      </c>
      <c r="R53" s="1">
        <f t="shared" si="14"/>
        <v>1</v>
      </c>
      <c r="S53" s="34">
        <f t="shared" si="14"/>
        <v>105.19</v>
      </c>
      <c r="T53" s="1" t="str">
        <f t="shared" si="10"/>
        <v>caught</v>
      </c>
      <c r="U53" s="1" t="str">
        <f t="shared" si="11"/>
        <v>1</v>
      </c>
      <c r="V53" s="1" t="str">
        <f t="shared" si="8"/>
        <v xml:space="preserve"> Zimbabwe</v>
      </c>
      <c r="W53" s="1" t="str">
        <f t="shared" si="12"/>
        <v>Hamilton</v>
      </c>
      <c r="X53" s="1" t="str">
        <f t="shared" si="13"/>
        <v>Yes</v>
      </c>
      <c r="Y53" s="1"/>
    </row>
    <row r="54" spans="1:25" ht="14.25" customHeight="1">
      <c r="A54" s="1"/>
      <c r="B54" s="1">
        <v>37</v>
      </c>
      <c r="C54" s="1" t="s">
        <v>140</v>
      </c>
      <c r="D54" s="1" t="s">
        <v>176</v>
      </c>
      <c r="E54" s="1" t="s">
        <v>131</v>
      </c>
      <c r="F54" s="1" t="s">
        <v>131</v>
      </c>
      <c r="G54" s="1" t="s">
        <v>814</v>
      </c>
      <c r="H54" s="1" t="s">
        <v>24</v>
      </c>
      <c r="I54" s="1" t="s">
        <v>130</v>
      </c>
      <c r="J54" s="1" t="s">
        <v>163</v>
      </c>
      <c r="K54" s="1" t="s">
        <v>105</v>
      </c>
      <c r="L54" s="1"/>
      <c r="M54" s="1"/>
      <c r="N54" s="1" t="str">
        <f t="shared" si="5"/>
        <v>No</v>
      </c>
      <c r="O54" s="1">
        <f t="shared" si="6"/>
        <v>14</v>
      </c>
      <c r="P54" s="1">
        <f t="shared" si="9"/>
        <v>11</v>
      </c>
      <c r="Q54" s="1">
        <f t="shared" si="9"/>
        <v>0</v>
      </c>
      <c r="R54" s="1">
        <f t="shared" si="14"/>
        <v>0</v>
      </c>
      <c r="S54" s="34">
        <f t="shared" si="14"/>
        <v>36.36</v>
      </c>
      <c r="T54" s="1" t="str">
        <f t="shared" si="10"/>
        <v>caught</v>
      </c>
      <c r="U54" s="1" t="str">
        <f t="shared" si="11"/>
        <v>1</v>
      </c>
      <c r="V54" s="1" t="str">
        <f t="shared" si="8"/>
        <v xml:space="preserve"> West Indies</v>
      </c>
      <c r="W54" s="1" t="str">
        <f t="shared" si="12"/>
        <v>Wellington</v>
      </c>
      <c r="X54" s="1" t="str">
        <f t="shared" si="13"/>
        <v>Yes</v>
      </c>
      <c r="Y54" s="1"/>
    </row>
    <row r="55" spans="1:25" ht="14.25" customHeight="1">
      <c r="A55" s="1"/>
      <c r="B55" s="1">
        <v>38</v>
      </c>
      <c r="C55" s="1" t="s">
        <v>340</v>
      </c>
      <c r="D55" s="1" t="s">
        <v>174</v>
      </c>
      <c r="E55" s="1" t="s">
        <v>136</v>
      </c>
      <c r="F55" s="1" t="s">
        <v>131</v>
      </c>
      <c r="G55" s="1" t="s">
        <v>974</v>
      </c>
      <c r="H55" s="1" t="s">
        <v>24</v>
      </c>
      <c r="I55" s="1" t="s">
        <v>130</v>
      </c>
      <c r="J55" s="1" t="s">
        <v>211</v>
      </c>
      <c r="K55" s="1" t="s">
        <v>953</v>
      </c>
      <c r="L55" s="1"/>
      <c r="M55" s="1"/>
      <c r="N55" s="1" t="str">
        <f t="shared" si="5"/>
        <v>No</v>
      </c>
      <c r="O55" s="1">
        <f t="shared" si="6"/>
        <v>39</v>
      </c>
      <c r="P55" s="1">
        <f t="shared" si="9"/>
        <v>107</v>
      </c>
      <c r="Q55" s="1">
        <f t="shared" si="9"/>
        <v>6</v>
      </c>
      <c r="R55" s="1">
        <f t="shared" si="14"/>
        <v>0</v>
      </c>
      <c r="S55" s="34">
        <f t="shared" si="14"/>
        <v>78.5</v>
      </c>
      <c r="T55" s="1" t="str">
        <f t="shared" si="10"/>
        <v>caught</v>
      </c>
      <c r="U55" s="1" t="str">
        <f t="shared" si="11"/>
        <v>1</v>
      </c>
      <c r="V55" s="1" t="str">
        <f t="shared" si="8"/>
        <v xml:space="preserve"> New Zealand</v>
      </c>
      <c r="W55" s="1" t="str">
        <f t="shared" si="12"/>
        <v>Dunedin</v>
      </c>
      <c r="X55" s="1" t="str">
        <f t="shared" si="13"/>
        <v>Yes</v>
      </c>
      <c r="Y55" s="1"/>
    </row>
    <row r="56" spans="1:25" ht="14.25" customHeight="1">
      <c r="A56" s="1"/>
      <c r="B56" s="1">
        <v>39</v>
      </c>
      <c r="C56" s="1" t="s">
        <v>205</v>
      </c>
      <c r="D56" s="1" t="s">
        <v>205</v>
      </c>
      <c r="E56" s="1" t="s">
        <v>130</v>
      </c>
      <c r="F56" s="1" t="s">
        <v>131</v>
      </c>
      <c r="G56" s="1" t="s">
        <v>152</v>
      </c>
      <c r="H56" s="1" t="s">
        <v>24</v>
      </c>
      <c r="I56" s="1" t="s">
        <v>130</v>
      </c>
      <c r="J56" s="1" t="s">
        <v>191</v>
      </c>
      <c r="K56" s="1" t="s">
        <v>90</v>
      </c>
      <c r="L56" s="1"/>
      <c r="M56" s="1"/>
      <c r="N56" s="1" t="str">
        <f t="shared" si="5"/>
        <v>No</v>
      </c>
      <c r="O56" s="1">
        <f t="shared" si="6"/>
        <v>15</v>
      </c>
      <c r="P56" s="1">
        <f t="shared" si="9"/>
        <v>14</v>
      </c>
      <c r="Q56" s="1">
        <f t="shared" si="9"/>
        <v>1</v>
      </c>
      <c r="R56" s="1">
        <f t="shared" si="14"/>
        <v>0</v>
      </c>
      <c r="S56" s="34">
        <f t="shared" si="14"/>
        <v>100</v>
      </c>
      <c r="T56" s="1" t="str">
        <f t="shared" si="10"/>
        <v>caught</v>
      </c>
      <c r="U56" s="1" t="str">
        <f t="shared" si="11"/>
        <v>1</v>
      </c>
      <c r="V56" s="1" t="str">
        <f t="shared" si="8"/>
        <v xml:space="preserve"> South Africa</v>
      </c>
      <c r="W56" s="1" t="str">
        <f t="shared" si="12"/>
        <v>Adelaide</v>
      </c>
      <c r="X56" s="1" t="str">
        <f t="shared" si="13"/>
        <v>Yes</v>
      </c>
      <c r="Y56" s="1"/>
    </row>
    <row r="57" spans="1:25" ht="14.25" customHeight="1">
      <c r="A57" s="1"/>
      <c r="B57" s="1">
        <v>40</v>
      </c>
      <c r="C57" s="1" t="s">
        <v>436</v>
      </c>
      <c r="D57" s="1" t="s">
        <v>452</v>
      </c>
      <c r="E57" s="1" t="s">
        <v>144</v>
      </c>
      <c r="F57" s="1" t="s">
        <v>131</v>
      </c>
      <c r="G57" s="1" t="s">
        <v>975</v>
      </c>
      <c r="H57" s="1" t="s">
        <v>24</v>
      </c>
      <c r="I57" s="1" t="s">
        <v>130</v>
      </c>
      <c r="J57" s="1" t="s">
        <v>195</v>
      </c>
      <c r="K57" s="1" t="s">
        <v>62</v>
      </c>
      <c r="L57" s="1"/>
      <c r="M57" s="1"/>
      <c r="N57" s="1" t="str">
        <f t="shared" si="5"/>
        <v>No</v>
      </c>
      <c r="O57" s="1">
        <f t="shared" si="6"/>
        <v>10</v>
      </c>
      <c r="P57" s="1">
        <f t="shared" si="9"/>
        <v>56</v>
      </c>
      <c r="Q57" s="1">
        <f t="shared" si="9"/>
        <v>7</v>
      </c>
      <c r="R57" s="1">
        <f t="shared" si="14"/>
        <v>0</v>
      </c>
      <c r="S57" s="34">
        <f t="shared" si="14"/>
        <v>69.64</v>
      </c>
      <c r="T57" s="1" t="str">
        <f t="shared" si="10"/>
        <v>caught</v>
      </c>
      <c r="U57" s="1" t="str">
        <f t="shared" si="11"/>
        <v>1</v>
      </c>
      <c r="V57" s="1" t="str">
        <f t="shared" si="8"/>
        <v xml:space="preserve"> Zimbabwe</v>
      </c>
      <c r="W57" s="1" t="str">
        <f t="shared" si="12"/>
        <v>Harare</v>
      </c>
      <c r="X57" s="1" t="str">
        <f t="shared" si="13"/>
        <v>Yes</v>
      </c>
      <c r="Y57" s="1"/>
    </row>
    <row r="58" spans="1:25" ht="14.25" customHeight="1">
      <c r="A58" s="1"/>
      <c r="B58" s="1">
        <v>41</v>
      </c>
      <c r="C58" s="1" t="s">
        <v>283</v>
      </c>
      <c r="D58" s="1" t="s">
        <v>169</v>
      </c>
      <c r="E58" s="1" t="s">
        <v>130</v>
      </c>
      <c r="F58" s="1" t="s">
        <v>131</v>
      </c>
      <c r="G58" s="1" t="s">
        <v>417</v>
      </c>
      <c r="H58" s="1" t="s">
        <v>29</v>
      </c>
      <c r="I58" s="1" t="s">
        <v>130</v>
      </c>
      <c r="J58" s="1" t="s">
        <v>191</v>
      </c>
      <c r="K58" s="1" t="s">
        <v>70</v>
      </c>
      <c r="L58" s="1"/>
      <c r="M58" s="1"/>
      <c r="N58" s="1" t="str">
        <f t="shared" si="5"/>
        <v>No</v>
      </c>
      <c r="O58" s="1">
        <f t="shared" si="6"/>
        <v>22</v>
      </c>
      <c r="P58" s="1">
        <f t="shared" si="9"/>
        <v>27</v>
      </c>
      <c r="Q58" s="1">
        <f t="shared" si="9"/>
        <v>1</v>
      </c>
      <c r="R58" s="1">
        <f t="shared" si="14"/>
        <v>0</v>
      </c>
      <c r="S58" s="34">
        <f t="shared" si="14"/>
        <v>55.55</v>
      </c>
      <c r="T58" s="1" t="str">
        <f t="shared" si="10"/>
        <v>bowled</v>
      </c>
      <c r="U58" s="1" t="str">
        <f t="shared" si="11"/>
        <v>1</v>
      </c>
      <c r="V58" s="1" t="str">
        <f t="shared" si="8"/>
        <v xml:space="preserve"> South Africa</v>
      </c>
      <c r="W58" s="1" t="str">
        <f t="shared" si="12"/>
        <v>Cape Town</v>
      </c>
      <c r="X58" s="1" t="str">
        <f t="shared" si="13"/>
        <v>Yes</v>
      </c>
      <c r="Y58" s="1"/>
    </row>
    <row r="59" spans="1:25" ht="14.25" customHeight="1">
      <c r="A59" s="1"/>
      <c r="B59" s="1">
        <v>42</v>
      </c>
      <c r="C59" s="1" t="s">
        <v>167</v>
      </c>
      <c r="D59" s="1" t="s">
        <v>258</v>
      </c>
      <c r="E59" s="1" t="s">
        <v>131</v>
      </c>
      <c r="F59" s="1" t="s">
        <v>131</v>
      </c>
      <c r="G59" s="1" t="s">
        <v>976</v>
      </c>
      <c r="H59" s="1" t="s">
        <v>24</v>
      </c>
      <c r="I59" s="1" t="s">
        <v>130</v>
      </c>
      <c r="J59" s="1" t="s">
        <v>191</v>
      </c>
      <c r="K59" s="1" t="s">
        <v>71</v>
      </c>
      <c r="L59" s="1"/>
      <c r="M59" s="1"/>
      <c r="N59" s="1" t="str">
        <f t="shared" si="5"/>
        <v>No</v>
      </c>
      <c r="O59" s="1">
        <f t="shared" si="6"/>
        <v>21</v>
      </c>
      <c r="P59" s="1">
        <f t="shared" si="9"/>
        <v>36</v>
      </c>
      <c r="Q59" s="1">
        <f t="shared" si="9"/>
        <v>0</v>
      </c>
      <c r="R59" s="1">
        <f t="shared" si="14"/>
        <v>0</v>
      </c>
      <c r="S59" s="34">
        <f t="shared" si="14"/>
        <v>27.77</v>
      </c>
      <c r="T59" s="1" t="str">
        <f t="shared" si="10"/>
        <v>caught</v>
      </c>
      <c r="U59" s="1" t="str">
        <f t="shared" si="11"/>
        <v>1</v>
      </c>
      <c r="V59" s="1" t="str">
        <f t="shared" si="8"/>
        <v xml:space="preserve"> South Africa</v>
      </c>
      <c r="W59" s="1" t="str">
        <f t="shared" si="12"/>
        <v>Gqeberha</v>
      </c>
      <c r="X59" s="1" t="str">
        <f t="shared" si="13"/>
        <v>Yes</v>
      </c>
      <c r="Y59" s="1"/>
    </row>
    <row r="60" spans="1:25" ht="14.25" customHeight="1">
      <c r="A60" s="1"/>
      <c r="B60" s="1">
        <v>43</v>
      </c>
      <c r="C60" s="1" t="s">
        <v>129</v>
      </c>
      <c r="D60" s="1" t="s">
        <v>154</v>
      </c>
      <c r="E60" s="1" t="s">
        <v>151</v>
      </c>
      <c r="F60" s="1" t="s">
        <v>131</v>
      </c>
      <c r="G60" s="1" t="s">
        <v>384</v>
      </c>
      <c r="H60" s="1" t="s">
        <v>24</v>
      </c>
      <c r="I60" s="1" t="s">
        <v>151</v>
      </c>
      <c r="J60" s="1" t="s">
        <v>191</v>
      </c>
      <c r="K60" s="1" t="s">
        <v>36</v>
      </c>
      <c r="L60" s="1"/>
      <c r="M60" s="1"/>
      <c r="N60" s="1" t="str">
        <f t="shared" si="5"/>
        <v>No</v>
      </c>
      <c r="O60" s="1">
        <f t="shared" si="6"/>
        <v>32</v>
      </c>
      <c r="P60" s="1">
        <f t="shared" si="9"/>
        <v>24</v>
      </c>
      <c r="Q60" s="1">
        <f t="shared" si="9"/>
        <v>2</v>
      </c>
      <c r="R60" s="1">
        <f t="shared" si="14"/>
        <v>0</v>
      </c>
      <c r="S60" s="34">
        <f t="shared" si="14"/>
        <v>91.66</v>
      </c>
      <c r="T60" s="1" t="str">
        <f t="shared" si="10"/>
        <v>caught</v>
      </c>
      <c r="U60" s="1" t="str">
        <f t="shared" si="11"/>
        <v>2</v>
      </c>
      <c r="V60" s="1" t="str">
        <f t="shared" si="8"/>
        <v xml:space="preserve"> South Africa</v>
      </c>
      <c r="W60" s="1" t="str">
        <f t="shared" si="12"/>
        <v>Centurion</v>
      </c>
      <c r="X60" s="1" t="str">
        <f t="shared" si="13"/>
        <v>Yes</v>
      </c>
      <c r="Y60" s="1"/>
    </row>
    <row r="61" spans="1:25" ht="14.25" customHeight="1">
      <c r="A61" s="1"/>
      <c r="B61" s="1">
        <v>44</v>
      </c>
      <c r="C61" s="1" t="s">
        <v>246</v>
      </c>
      <c r="D61" s="1" t="s">
        <v>369</v>
      </c>
      <c r="E61" s="1" t="s">
        <v>130</v>
      </c>
      <c r="F61" s="1" t="s">
        <v>131</v>
      </c>
      <c r="G61" s="1" t="s">
        <v>977</v>
      </c>
      <c r="H61" s="1" t="s">
        <v>24</v>
      </c>
      <c r="I61" s="1" t="s">
        <v>130</v>
      </c>
      <c r="J61" s="1" t="s">
        <v>191</v>
      </c>
      <c r="K61" s="1" t="s">
        <v>43</v>
      </c>
      <c r="L61" s="1"/>
      <c r="M61" s="1"/>
      <c r="N61" s="1" t="str">
        <f t="shared" si="5"/>
        <v>No</v>
      </c>
      <c r="O61" s="1">
        <f t="shared" si="6"/>
        <v>23</v>
      </c>
      <c r="P61" s="1">
        <f t="shared" si="9"/>
        <v>44</v>
      </c>
      <c r="Q61" s="1">
        <f t="shared" si="9"/>
        <v>1</v>
      </c>
      <c r="R61" s="1">
        <f t="shared" si="14"/>
        <v>0</v>
      </c>
      <c r="S61" s="34">
        <f t="shared" si="14"/>
        <v>47.72</v>
      </c>
      <c r="T61" s="1" t="str">
        <f t="shared" si="10"/>
        <v>caught</v>
      </c>
      <c r="U61" s="1" t="str">
        <f t="shared" si="11"/>
        <v>1</v>
      </c>
      <c r="V61" s="1" t="str">
        <f t="shared" si="8"/>
        <v xml:space="preserve"> South Africa</v>
      </c>
      <c r="W61" s="1" t="str">
        <f t="shared" si="12"/>
        <v>Johannesburg</v>
      </c>
      <c r="X61" s="1" t="str">
        <f t="shared" si="13"/>
        <v>Yes</v>
      </c>
      <c r="Y61" s="1"/>
    </row>
    <row r="62" spans="1:25" ht="14.25" customHeight="1">
      <c r="A62" s="1"/>
      <c r="B62" s="1">
        <v>45</v>
      </c>
      <c r="C62" s="1" t="s">
        <v>521</v>
      </c>
      <c r="D62" s="1" t="s">
        <v>327</v>
      </c>
      <c r="E62" s="1" t="s">
        <v>130</v>
      </c>
      <c r="F62" s="1" t="s">
        <v>131</v>
      </c>
      <c r="G62" s="1" t="s">
        <v>978</v>
      </c>
      <c r="H62" s="1" t="s">
        <v>29</v>
      </c>
      <c r="I62" s="1" t="s">
        <v>130</v>
      </c>
      <c r="J62" s="1" t="s">
        <v>191</v>
      </c>
      <c r="K62" s="1" t="s">
        <v>979</v>
      </c>
      <c r="L62" s="1"/>
      <c r="M62" s="1"/>
      <c r="N62" s="1" t="str">
        <f t="shared" si="5"/>
        <v>No</v>
      </c>
      <c r="O62" s="1">
        <f t="shared" si="6"/>
        <v>21</v>
      </c>
      <c r="P62" s="1">
        <f t="shared" si="9"/>
        <v>52</v>
      </c>
      <c r="Q62" s="1">
        <f t="shared" si="9"/>
        <v>1</v>
      </c>
      <c r="R62" s="1">
        <f t="shared" si="14"/>
        <v>0</v>
      </c>
      <c r="S62" s="34">
        <f t="shared" si="14"/>
        <v>61.53</v>
      </c>
      <c r="T62" s="1" t="str">
        <f t="shared" si="10"/>
        <v>bowled</v>
      </c>
      <c r="U62" s="1" t="str">
        <f t="shared" si="11"/>
        <v>1</v>
      </c>
      <c r="V62" s="1" t="str">
        <f t="shared" si="8"/>
        <v xml:space="preserve"> South Africa</v>
      </c>
      <c r="W62" s="1" t="str">
        <f t="shared" si="12"/>
        <v>Bloemfontein</v>
      </c>
      <c r="X62" s="1" t="str">
        <f t="shared" si="13"/>
        <v>Yes</v>
      </c>
      <c r="Y62" s="1"/>
    </row>
    <row r="63" spans="1:25" ht="14.25" customHeight="1">
      <c r="A63" s="1"/>
      <c r="B63" s="1">
        <v>46</v>
      </c>
      <c r="C63" s="1" t="s">
        <v>304</v>
      </c>
      <c r="D63" s="1" t="s">
        <v>436</v>
      </c>
      <c r="E63" s="1" t="s">
        <v>131</v>
      </c>
      <c r="F63" s="1" t="s">
        <v>131</v>
      </c>
      <c r="G63" s="1" t="s">
        <v>831</v>
      </c>
      <c r="H63" s="1" t="s">
        <v>24</v>
      </c>
      <c r="I63" s="1" t="s">
        <v>151</v>
      </c>
      <c r="J63" s="1" t="s">
        <v>191</v>
      </c>
      <c r="K63" s="1" t="s">
        <v>69</v>
      </c>
      <c r="L63" s="1"/>
      <c r="M63" s="1"/>
      <c r="N63" s="1" t="str">
        <f t="shared" si="5"/>
        <v>No</v>
      </c>
      <c r="O63" s="1">
        <f t="shared" si="6"/>
        <v>82</v>
      </c>
      <c r="P63" s="1">
        <f t="shared" si="9"/>
        <v>39</v>
      </c>
      <c r="Q63" s="1">
        <f t="shared" si="9"/>
        <v>0</v>
      </c>
      <c r="R63" s="1">
        <f t="shared" si="14"/>
        <v>0</v>
      </c>
      <c r="S63" s="34">
        <f t="shared" si="14"/>
        <v>58.97</v>
      </c>
      <c r="T63" s="1" t="str">
        <f t="shared" si="10"/>
        <v>caught</v>
      </c>
      <c r="U63" s="1" t="str">
        <f t="shared" si="11"/>
        <v>2</v>
      </c>
      <c r="V63" s="1" t="str">
        <f t="shared" si="8"/>
        <v xml:space="preserve"> South Africa</v>
      </c>
      <c r="W63" s="1" t="str">
        <f t="shared" si="12"/>
        <v>Durban</v>
      </c>
      <c r="X63" s="1" t="str">
        <f t="shared" si="13"/>
        <v>Yes</v>
      </c>
      <c r="Y63" s="1"/>
    </row>
    <row r="64" spans="1:25" ht="14.25" customHeight="1">
      <c r="A64" s="1"/>
      <c r="B64" s="1">
        <v>47</v>
      </c>
      <c r="C64" s="1" t="s">
        <v>246</v>
      </c>
      <c r="D64" s="1" t="s">
        <v>139</v>
      </c>
      <c r="E64" s="1" t="s">
        <v>148</v>
      </c>
      <c r="F64" s="1" t="s">
        <v>131</v>
      </c>
      <c r="G64" s="1" t="s">
        <v>980</v>
      </c>
      <c r="H64" s="1" t="s">
        <v>24</v>
      </c>
      <c r="I64" s="1" t="s">
        <v>151</v>
      </c>
      <c r="J64" s="1" t="s">
        <v>191</v>
      </c>
      <c r="K64" s="1" t="s">
        <v>981</v>
      </c>
      <c r="L64" s="1"/>
      <c r="M64" s="1"/>
      <c r="N64" s="1" t="str">
        <f t="shared" si="5"/>
        <v>No</v>
      </c>
      <c r="O64" s="1">
        <f t="shared" si="6"/>
        <v>1</v>
      </c>
      <c r="P64" s="1">
        <f t="shared" si="9"/>
        <v>38</v>
      </c>
      <c r="Q64" s="1">
        <f t="shared" si="9"/>
        <v>3</v>
      </c>
      <c r="R64" s="1">
        <f t="shared" si="14"/>
        <v>0</v>
      </c>
      <c r="S64" s="34">
        <f t="shared" si="14"/>
        <v>55.26</v>
      </c>
      <c r="T64" s="1" t="str">
        <f t="shared" si="10"/>
        <v>caught</v>
      </c>
      <c r="U64" s="1" t="str">
        <f t="shared" si="11"/>
        <v>2</v>
      </c>
      <c r="V64" s="1" t="str">
        <f t="shared" si="8"/>
        <v xml:space="preserve"> South Africa</v>
      </c>
      <c r="W64" s="1" t="str">
        <f t="shared" si="12"/>
        <v>East London</v>
      </c>
      <c r="X64" s="1" t="str">
        <f t="shared" si="13"/>
        <v>Yes</v>
      </c>
      <c r="Y64" s="1"/>
    </row>
    <row r="65" spans="1:25" ht="14.25" customHeight="1">
      <c r="A65" s="1"/>
      <c r="B65" s="1">
        <v>48</v>
      </c>
      <c r="C65" s="1" t="s">
        <v>425</v>
      </c>
      <c r="D65" s="1" t="s">
        <v>250</v>
      </c>
      <c r="E65" s="1" t="s">
        <v>136</v>
      </c>
      <c r="F65" s="1" t="s">
        <v>130</v>
      </c>
      <c r="G65" s="1" t="s">
        <v>982</v>
      </c>
      <c r="H65" s="1" t="s">
        <v>32</v>
      </c>
      <c r="I65" s="1" t="s">
        <v>130</v>
      </c>
      <c r="J65" s="1" t="s">
        <v>234</v>
      </c>
      <c r="K65" s="1" t="s">
        <v>56</v>
      </c>
      <c r="L65" s="1"/>
      <c r="M65" s="1"/>
      <c r="N65" s="1" t="str">
        <f t="shared" si="5"/>
        <v>No</v>
      </c>
      <c r="O65" s="1">
        <f t="shared" si="6"/>
        <v>3</v>
      </c>
      <c r="P65" s="1">
        <f t="shared" si="9"/>
        <v>81</v>
      </c>
      <c r="Q65" s="1">
        <f t="shared" si="9"/>
        <v>6</v>
      </c>
      <c r="R65" s="1">
        <f t="shared" si="14"/>
        <v>1</v>
      </c>
      <c r="S65" s="34">
        <f t="shared" si="14"/>
        <v>101.23</v>
      </c>
      <c r="T65" s="1" t="str">
        <f t="shared" si="10"/>
        <v>not out</v>
      </c>
      <c r="U65" s="1" t="str">
        <f t="shared" si="11"/>
        <v>1</v>
      </c>
      <c r="V65" s="1" t="str">
        <f t="shared" si="8"/>
        <v xml:space="preserve"> England</v>
      </c>
      <c r="W65" s="1" t="str">
        <f t="shared" si="12"/>
        <v>Jaipur</v>
      </c>
      <c r="X65" s="1" t="str">
        <f t="shared" si="13"/>
        <v>No</v>
      </c>
      <c r="Y65" s="1"/>
    </row>
    <row r="66" spans="1:25" ht="14.25" customHeight="1">
      <c r="A66" s="1"/>
      <c r="B66" s="1">
        <v>49</v>
      </c>
      <c r="C66" s="1" t="s">
        <v>130</v>
      </c>
      <c r="D66" s="1" t="s">
        <v>202</v>
      </c>
      <c r="E66" s="1" t="s">
        <v>131</v>
      </c>
      <c r="F66" s="1" t="s">
        <v>131</v>
      </c>
      <c r="G66" s="1" t="s">
        <v>299</v>
      </c>
      <c r="H66" s="1" t="s">
        <v>19</v>
      </c>
      <c r="I66" s="1" t="s">
        <v>151</v>
      </c>
      <c r="J66" s="1" t="s">
        <v>234</v>
      </c>
      <c r="K66" s="1" t="s">
        <v>622</v>
      </c>
      <c r="L66" s="1"/>
      <c r="M66" s="1"/>
      <c r="N66" s="1" t="str">
        <f t="shared" si="5"/>
        <v>No</v>
      </c>
      <c r="O66" s="1">
        <f t="shared" si="6"/>
        <v>24</v>
      </c>
      <c r="P66" s="1">
        <f t="shared" si="9"/>
        <v>5</v>
      </c>
      <c r="Q66" s="1">
        <f t="shared" si="9"/>
        <v>0</v>
      </c>
      <c r="R66" s="1">
        <f t="shared" si="14"/>
        <v>0</v>
      </c>
      <c r="S66" s="34">
        <f t="shared" si="14"/>
        <v>20</v>
      </c>
      <c r="T66" s="1" t="str">
        <f t="shared" si="10"/>
        <v>lbw</v>
      </c>
      <c r="U66" s="1" t="str">
        <f t="shared" si="11"/>
        <v>2</v>
      </c>
      <c r="V66" s="1" t="str">
        <f t="shared" si="8"/>
        <v xml:space="preserve"> England</v>
      </c>
      <c r="W66" s="1" t="str">
        <f t="shared" si="12"/>
        <v>Chandigarh</v>
      </c>
      <c r="X66" s="1" t="str">
        <f t="shared" si="13"/>
        <v>Yes</v>
      </c>
      <c r="Y66" s="1"/>
    </row>
    <row r="67" spans="1:25" ht="14.25" customHeight="1">
      <c r="A67" s="1"/>
      <c r="B67" s="1">
        <v>50</v>
      </c>
      <c r="C67" s="1" t="s">
        <v>148</v>
      </c>
      <c r="D67" s="1" t="s">
        <v>136</v>
      </c>
      <c r="E67" s="1" t="s">
        <v>131</v>
      </c>
      <c r="F67" s="1" t="s">
        <v>131</v>
      </c>
      <c r="G67" s="1" t="s">
        <v>204</v>
      </c>
      <c r="H67" s="1" t="s">
        <v>24</v>
      </c>
      <c r="I67" s="1" t="s">
        <v>151</v>
      </c>
      <c r="J67" s="1" t="s">
        <v>234</v>
      </c>
      <c r="K67" s="1" t="s">
        <v>67</v>
      </c>
      <c r="L67" s="1"/>
      <c r="M67" s="1"/>
      <c r="N67" s="1" t="str">
        <f t="shared" si="5"/>
        <v>No</v>
      </c>
      <c r="O67" s="1">
        <f t="shared" si="6"/>
        <v>5</v>
      </c>
      <c r="P67" s="1">
        <f t="shared" si="9"/>
        <v>6</v>
      </c>
      <c r="Q67" s="1">
        <f t="shared" si="9"/>
        <v>0</v>
      </c>
      <c r="R67" s="1">
        <f t="shared" si="14"/>
        <v>0</v>
      </c>
      <c r="S67" s="34">
        <f t="shared" si="14"/>
        <v>50</v>
      </c>
      <c r="T67" s="1" t="str">
        <f t="shared" si="10"/>
        <v>caught</v>
      </c>
      <c r="U67" s="1" t="str">
        <f t="shared" si="11"/>
        <v>2</v>
      </c>
      <c r="V67" s="1" t="str">
        <f t="shared" si="8"/>
        <v xml:space="preserve"> England</v>
      </c>
      <c r="W67" s="1" t="str">
        <f t="shared" si="12"/>
        <v>Bengaluru</v>
      </c>
      <c r="X67" s="1" t="str">
        <f t="shared" si="13"/>
        <v>Yes</v>
      </c>
      <c r="Y67" s="1"/>
    </row>
    <row r="68" spans="1:25" ht="14.25" customHeight="1">
      <c r="A68" s="1"/>
      <c r="B68" s="1">
        <v>51</v>
      </c>
      <c r="C68" s="1" t="s">
        <v>154</v>
      </c>
      <c r="D68" s="1" t="s">
        <v>521</v>
      </c>
      <c r="E68" s="1" t="s">
        <v>130</v>
      </c>
      <c r="F68" s="1" t="s">
        <v>131</v>
      </c>
      <c r="G68" s="1" t="s">
        <v>178</v>
      </c>
      <c r="H68" s="1" t="s">
        <v>29</v>
      </c>
      <c r="I68" s="1" t="s">
        <v>130</v>
      </c>
      <c r="J68" s="1" t="s">
        <v>234</v>
      </c>
      <c r="K68" s="1" t="s">
        <v>535</v>
      </c>
      <c r="L68" s="1"/>
      <c r="M68" s="1"/>
      <c r="N68" s="1" t="str">
        <f t="shared" si="5"/>
        <v>No</v>
      </c>
      <c r="O68" s="1">
        <f t="shared" si="6"/>
        <v>34</v>
      </c>
      <c r="P68" s="1">
        <f t="shared" si="9"/>
        <v>32</v>
      </c>
      <c r="Q68" s="1">
        <f t="shared" si="9"/>
        <v>1</v>
      </c>
      <c r="R68" s="1">
        <f t="shared" si="14"/>
        <v>0</v>
      </c>
      <c r="S68" s="34">
        <f t="shared" si="14"/>
        <v>75</v>
      </c>
      <c r="T68" s="1" t="str">
        <f t="shared" si="10"/>
        <v>bowled</v>
      </c>
      <c r="U68" s="1" t="str">
        <f t="shared" si="11"/>
        <v>1</v>
      </c>
      <c r="V68" s="1" t="str">
        <f t="shared" si="8"/>
        <v xml:space="preserve"> England</v>
      </c>
      <c r="W68" s="1" t="str">
        <f t="shared" si="12"/>
        <v>Jamshedpur</v>
      </c>
      <c r="X68" s="1" t="str">
        <f t="shared" si="13"/>
        <v>Yes</v>
      </c>
      <c r="Y68" s="1"/>
    </row>
    <row r="69" spans="1:25" ht="14.25" customHeight="1">
      <c r="A69" s="1"/>
      <c r="B69" s="1">
        <v>52</v>
      </c>
      <c r="C69" s="1" t="s">
        <v>202</v>
      </c>
      <c r="D69" s="1" t="s">
        <v>136</v>
      </c>
      <c r="E69" s="1" t="s">
        <v>130</v>
      </c>
      <c r="F69" s="1" t="s">
        <v>131</v>
      </c>
      <c r="G69" s="1" t="s">
        <v>496</v>
      </c>
      <c r="H69" s="1" t="s">
        <v>29</v>
      </c>
      <c r="I69" s="1" t="s">
        <v>151</v>
      </c>
      <c r="J69" s="1" t="s">
        <v>234</v>
      </c>
      <c r="K69" s="1" t="s">
        <v>58</v>
      </c>
      <c r="L69" s="1"/>
      <c r="M69" s="1"/>
      <c r="N69" s="1" t="str">
        <f t="shared" si="5"/>
        <v>No</v>
      </c>
      <c r="O69" s="1">
        <f t="shared" si="6"/>
        <v>3</v>
      </c>
      <c r="P69" s="1">
        <f t="shared" si="9"/>
        <v>6</v>
      </c>
      <c r="Q69" s="1">
        <f t="shared" si="9"/>
        <v>1</v>
      </c>
      <c r="R69" s="1">
        <f t="shared" si="14"/>
        <v>0</v>
      </c>
      <c r="S69" s="34">
        <f t="shared" si="14"/>
        <v>83.33</v>
      </c>
      <c r="T69" s="1" t="str">
        <f t="shared" si="10"/>
        <v>bowled</v>
      </c>
      <c r="U69" s="1" t="str">
        <f t="shared" si="11"/>
        <v>2</v>
      </c>
      <c r="V69" s="1" t="str">
        <f t="shared" si="8"/>
        <v xml:space="preserve"> England</v>
      </c>
      <c r="W69" s="1" t="str">
        <f t="shared" si="12"/>
        <v>Gwalior</v>
      </c>
      <c r="X69" s="1" t="str">
        <f t="shared" si="13"/>
        <v>Yes</v>
      </c>
      <c r="Y69" s="1"/>
    </row>
    <row r="70" spans="1:25" ht="14.25" customHeight="1">
      <c r="A70" s="1"/>
      <c r="B70" s="1">
        <v>53</v>
      </c>
      <c r="C70" s="1" t="s">
        <v>208</v>
      </c>
      <c r="D70" s="1" t="s">
        <v>164</v>
      </c>
      <c r="E70" s="1" t="s">
        <v>151</v>
      </c>
      <c r="F70" s="1" t="s">
        <v>130</v>
      </c>
      <c r="G70" s="1" t="s">
        <v>983</v>
      </c>
      <c r="H70" s="1" t="s">
        <v>24</v>
      </c>
      <c r="I70" s="1" t="s">
        <v>151</v>
      </c>
      <c r="J70" s="1" t="s">
        <v>234</v>
      </c>
      <c r="K70" s="1" t="s">
        <v>58</v>
      </c>
      <c r="L70" s="1"/>
      <c r="M70" s="1"/>
      <c r="N70" s="1" t="str">
        <f t="shared" si="5"/>
        <v>No</v>
      </c>
      <c r="O70" s="1">
        <f t="shared" si="6"/>
        <v>8</v>
      </c>
      <c r="P70" s="1">
        <f t="shared" si="9"/>
        <v>30</v>
      </c>
      <c r="Q70" s="1">
        <f t="shared" si="9"/>
        <v>2</v>
      </c>
      <c r="R70" s="1">
        <f t="shared" si="14"/>
        <v>1</v>
      </c>
      <c r="S70" s="34">
        <f t="shared" si="14"/>
        <v>113.33</v>
      </c>
      <c r="T70" s="1" t="str">
        <f t="shared" si="10"/>
        <v>caught</v>
      </c>
      <c r="U70" s="1" t="str">
        <f t="shared" si="11"/>
        <v>2</v>
      </c>
      <c r="V70" s="1" t="str">
        <f t="shared" si="8"/>
        <v xml:space="preserve"> England</v>
      </c>
      <c r="W70" s="1" t="str">
        <f t="shared" si="12"/>
        <v>Gwalior</v>
      </c>
      <c r="X70" s="1" t="str">
        <f t="shared" si="13"/>
        <v>Yes</v>
      </c>
      <c r="Y70" s="1"/>
    </row>
    <row r="71" spans="1:25" ht="14.25" customHeight="1">
      <c r="A71" s="1"/>
      <c r="B71" s="1">
        <v>54</v>
      </c>
      <c r="C71" s="1" t="s">
        <v>148</v>
      </c>
      <c r="D71" s="1" t="s">
        <v>161</v>
      </c>
      <c r="E71" s="1" t="s">
        <v>131</v>
      </c>
      <c r="F71" s="1" t="s">
        <v>131</v>
      </c>
      <c r="G71" s="1" t="s">
        <v>229</v>
      </c>
      <c r="H71" s="1" t="s">
        <v>24</v>
      </c>
      <c r="I71" s="1" t="s">
        <v>130</v>
      </c>
      <c r="J71" s="1" t="s">
        <v>195</v>
      </c>
      <c r="K71" s="1" t="s">
        <v>570</v>
      </c>
      <c r="L71" s="1"/>
      <c r="M71" s="1"/>
      <c r="N71" s="1" t="str">
        <f t="shared" si="5"/>
        <v>No</v>
      </c>
      <c r="O71" s="1" t="str">
        <f t="shared" si="6"/>
        <v>NA</v>
      </c>
      <c r="P71" s="1">
        <f t="shared" si="9"/>
        <v>9</v>
      </c>
      <c r="Q71" s="1">
        <f t="shared" si="9"/>
        <v>0</v>
      </c>
      <c r="R71" s="1">
        <f t="shared" si="14"/>
        <v>0</v>
      </c>
      <c r="S71" s="34">
        <f t="shared" si="14"/>
        <v>33.33</v>
      </c>
      <c r="T71" s="1" t="str">
        <f t="shared" si="10"/>
        <v>caught</v>
      </c>
      <c r="U71" s="1" t="str">
        <f t="shared" si="11"/>
        <v>1</v>
      </c>
      <c r="V71" s="1" t="str">
        <f t="shared" si="8"/>
        <v xml:space="preserve"> Zimbabwe</v>
      </c>
      <c r="W71" s="1" t="str">
        <f t="shared" si="12"/>
        <v>Faridabad</v>
      </c>
      <c r="X71" s="1" t="str">
        <f t="shared" si="13"/>
        <v>Yes</v>
      </c>
      <c r="Y71" s="1"/>
    </row>
    <row r="72" spans="1:25" ht="14.25" customHeight="1">
      <c r="A72" s="1"/>
      <c r="B72" s="1">
        <v>55</v>
      </c>
      <c r="C72" s="1" t="s">
        <v>805</v>
      </c>
      <c r="D72" s="1" t="s">
        <v>136</v>
      </c>
      <c r="E72" s="1" t="s">
        <v>131</v>
      </c>
      <c r="F72" s="1" t="s">
        <v>131</v>
      </c>
      <c r="G72" s="1" t="s">
        <v>502</v>
      </c>
      <c r="H72" s="1" t="s">
        <v>32</v>
      </c>
      <c r="I72" s="1" t="s">
        <v>151</v>
      </c>
      <c r="J72" s="1" t="s">
        <v>195</v>
      </c>
      <c r="K72" s="1" t="s">
        <v>66</v>
      </c>
      <c r="L72" s="1"/>
      <c r="M72" s="1"/>
      <c r="N72" s="1" t="str">
        <f t="shared" si="5"/>
        <v>No</v>
      </c>
      <c r="O72" s="1">
        <f t="shared" si="6"/>
        <v>21</v>
      </c>
      <c r="P72" s="1">
        <f t="shared" si="9"/>
        <v>6</v>
      </c>
      <c r="Q72" s="1">
        <f t="shared" si="9"/>
        <v>0</v>
      </c>
      <c r="R72" s="1">
        <f t="shared" si="14"/>
        <v>0</v>
      </c>
      <c r="S72" s="34">
        <f t="shared" si="14"/>
        <v>133.33000000000001</v>
      </c>
      <c r="T72" s="1" t="str">
        <f t="shared" si="10"/>
        <v>not out</v>
      </c>
      <c r="U72" s="1" t="str">
        <f t="shared" si="11"/>
        <v>2</v>
      </c>
      <c r="V72" s="1" t="str">
        <f t="shared" si="8"/>
        <v xml:space="preserve"> Zimbabwe</v>
      </c>
      <c r="W72" s="1" t="str">
        <f t="shared" si="12"/>
        <v>Guwahati</v>
      </c>
      <c r="X72" s="1" t="str">
        <f t="shared" si="13"/>
        <v>No</v>
      </c>
      <c r="Y72" s="1"/>
    </row>
    <row r="73" spans="1:25" ht="14.25" customHeight="1">
      <c r="A73" s="1"/>
      <c r="B73" s="1">
        <v>56</v>
      </c>
      <c r="C73" s="1" t="s">
        <v>57</v>
      </c>
      <c r="D73" s="1" t="s">
        <v>157</v>
      </c>
      <c r="E73" s="1" t="s">
        <v>157</v>
      </c>
      <c r="F73" s="1" t="s">
        <v>157</v>
      </c>
      <c r="G73" s="1" t="s">
        <v>157</v>
      </c>
      <c r="H73" s="1" t="s">
        <v>157</v>
      </c>
      <c r="I73" s="1" t="s">
        <v>151</v>
      </c>
      <c r="J73" s="1" t="s">
        <v>195</v>
      </c>
      <c r="K73" s="1" t="s">
        <v>100</v>
      </c>
      <c r="L73" s="1"/>
      <c r="M73" s="1"/>
      <c r="N73" s="1" t="str">
        <f t="shared" si="5"/>
        <v>Yes</v>
      </c>
      <c r="O73" s="1">
        <f t="shared" si="6"/>
        <v>15</v>
      </c>
      <c r="P73" s="1" t="str">
        <f t="shared" si="9"/>
        <v>NA</v>
      </c>
      <c r="Q73" s="1" t="str">
        <f t="shared" si="9"/>
        <v>NA</v>
      </c>
      <c r="R73" s="1" t="str">
        <f t="shared" si="14"/>
        <v>NA</v>
      </c>
      <c r="S73" s="34" t="str">
        <f t="shared" si="14"/>
        <v>NA</v>
      </c>
      <c r="T73" s="1" t="str">
        <f t="shared" si="10"/>
        <v>NA</v>
      </c>
      <c r="U73" s="1" t="str">
        <f t="shared" si="11"/>
        <v>2</v>
      </c>
      <c r="V73" s="1" t="str">
        <f t="shared" si="8"/>
        <v xml:space="preserve"> Zimbabwe</v>
      </c>
      <c r="W73" s="1" t="str">
        <f t="shared" si="12"/>
        <v>Pune</v>
      </c>
      <c r="X73" s="1" t="str">
        <f t="shared" si="13"/>
        <v>No</v>
      </c>
      <c r="Y73" s="1"/>
    </row>
    <row r="74" spans="1:25" ht="14.25" customHeight="1">
      <c r="A74" s="1"/>
      <c r="B74" s="1">
        <v>57</v>
      </c>
      <c r="C74" s="1" t="s">
        <v>246</v>
      </c>
      <c r="D74" s="1" t="s">
        <v>436</v>
      </c>
      <c r="E74" s="1" t="s">
        <v>130</v>
      </c>
      <c r="F74" s="1" t="s">
        <v>131</v>
      </c>
      <c r="G74" s="1" t="s">
        <v>558</v>
      </c>
      <c r="H74" s="1" t="s">
        <v>24</v>
      </c>
      <c r="I74" s="1" t="s">
        <v>130</v>
      </c>
      <c r="J74" s="1" t="s">
        <v>133</v>
      </c>
      <c r="K74" s="1" t="s">
        <v>27</v>
      </c>
      <c r="L74" s="1"/>
      <c r="M74" s="1"/>
      <c r="N74" s="1" t="str">
        <f t="shared" si="5"/>
        <v>No</v>
      </c>
      <c r="O74" s="1">
        <f t="shared" si="6"/>
        <v>25</v>
      </c>
      <c r="P74" s="1">
        <f t="shared" si="9"/>
        <v>39</v>
      </c>
      <c r="Q74" s="1">
        <f t="shared" si="9"/>
        <v>1</v>
      </c>
      <c r="R74" s="1">
        <f t="shared" si="14"/>
        <v>0</v>
      </c>
      <c r="S74" s="34">
        <f t="shared" si="14"/>
        <v>53.84</v>
      </c>
      <c r="T74" s="1" t="str">
        <f t="shared" si="10"/>
        <v>caught</v>
      </c>
      <c r="U74" s="1" t="str">
        <f t="shared" si="11"/>
        <v>1</v>
      </c>
      <c r="V74" s="1" t="str">
        <f t="shared" si="8"/>
        <v xml:space="preserve"> Sri Lanka</v>
      </c>
      <c r="W74" s="1" t="str">
        <f t="shared" si="12"/>
        <v>Colombo (RPS)</v>
      </c>
      <c r="X74" s="1" t="str">
        <f t="shared" si="13"/>
        <v>Yes</v>
      </c>
      <c r="Y74" s="1"/>
    </row>
    <row r="75" spans="1:25" ht="14.25" customHeight="1">
      <c r="A75" s="1"/>
      <c r="B75" s="1">
        <v>58</v>
      </c>
      <c r="C75" s="1" t="s">
        <v>283</v>
      </c>
      <c r="D75" s="1" t="s">
        <v>164</v>
      </c>
      <c r="E75" s="1" t="s">
        <v>131</v>
      </c>
      <c r="F75" s="1" t="s">
        <v>131</v>
      </c>
      <c r="G75" s="1" t="s">
        <v>204</v>
      </c>
      <c r="H75" s="1" t="s">
        <v>26</v>
      </c>
      <c r="I75" s="1" t="s">
        <v>151</v>
      </c>
      <c r="J75" s="1" t="s">
        <v>133</v>
      </c>
      <c r="K75" s="1" t="s">
        <v>27</v>
      </c>
      <c r="L75" s="1"/>
      <c r="M75" s="1"/>
      <c r="N75" s="1" t="str">
        <f t="shared" si="5"/>
        <v>No</v>
      </c>
      <c r="O75" s="1">
        <f t="shared" si="6"/>
        <v>26</v>
      </c>
      <c r="P75" s="1">
        <f t="shared" si="9"/>
        <v>30</v>
      </c>
      <c r="Q75" s="1">
        <f t="shared" si="9"/>
        <v>0</v>
      </c>
      <c r="R75" s="1">
        <f t="shared" si="14"/>
        <v>0</v>
      </c>
      <c r="S75" s="34">
        <f t="shared" si="14"/>
        <v>50</v>
      </c>
      <c r="T75" s="1" t="str">
        <f t="shared" si="10"/>
        <v>run out</v>
      </c>
      <c r="U75" s="1" t="str">
        <f t="shared" si="11"/>
        <v>2</v>
      </c>
      <c r="V75" s="1" t="str">
        <f t="shared" si="8"/>
        <v xml:space="preserve"> Sri Lanka</v>
      </c>
      <c r="W75" s="1" t="str">
        <f t="shared" si="12"/>
        <v>Colombo (RPS)</v>
      </c>
      <c r="X75" s="1" t="str">
        <f t="shared" si="13"/>
        <v>Yes</v>
      </c>
      <c r="Y75" s="1"/>
    </row>
    <row r="76" spans="1:25" ht="14.25" customHeight="1">
      <c r="A76" s="1"/>
      <c r="B76" s="1">
        <v>59</v>
      </c>
      <c r="C76" s="1" t="s">
        <v>138</v>
      </c>
      <c r="D76" s="1" t="s">
        <v>436</v>
      </c>
      <c r="E76" s="1" t="s">
        <v>130</v>
      </c>
      <c r="F76" s="1" t="s">
        <v>131</v>
      </c>
      <c r="G76" s="1" t="s">
        <v>984</v>
      </c>
      <c r="H76" s="1" t="s">
        <v>24</v>
      </c>
      <c r="I76" s="1" t="s">
        <v>130</v>
      </c>
      <c r="J76" s="1" t="s">
        <v>133</v>
      </c>
      <c r="K76" s="1" t="s">
        <v>985</v>
      </c>
      <c r="L76" s="1"/>
      <c r="M76" s="1"/>
      <c r="N76" s="1" t="str">
        <f t="shared" si="5"/>
        <v>No</v>
      </c>
      <c r="O76" s="1">
        <f t="shared" si="6"/>
        <v>2</v>
      </c>
      <c r="P76" s="1">
        <f t="shared" si="9"/>
        <v>39</v>
      </c>
      <c r="Q76" s="1">
        <f t="shared" si="9"/>
        <v>1</v>
      </c>
      <c r="R76" s="1">
        <f t="shared" si="14"/>
        <v>0</v>
      </c>
      <c r="S76" s="34">
        <f t="shared" si="14"/>
        <v>64.099999999999994</v>
      </c>
      <c r="T76" s="1" t="str">
        <f t="shared" si="10"/>
        <v>caught</v>
      </c>
      <c r="U76" s="1" t="str">
        <f t="shared" si="11"/>
        <v>1</v>
      </c>
      <c r="V76" s="1" t="str">
        <f t="shared" si="8"/>
        <v xml:space="preserve"> Sri Lanka</v>
      </c>
      <c r="W76" s="1" t="str">
        <f t="shared" si="12"/>
        <v>Moratuwa</v>
      </c>
      <c r="X76" s="1" t="str">
        <f t="shared" si="13"/>
        <v>Yes</v>
      </c>
      <c r="Y76" s="1"/>
    </row>
    <row r="77" spans="1:25" ht="14.25" customHeight="1">
      <c r="A77" s="1"/>
      <c r="B77" s="1">
        <v>60</v>
      </c>
      <c r="C77" s="1" t="s">
        <v>640</v>
      </c>
      <c r="D77" s="1" t="s">
        <v>164</v>
      </c>
      <c r="E77" s="1" t="s">
        <v>140</v>
      </c>
      <c r="F77" s="1" t="s">
        <v>131</v>
      </c>
      <c r="G77" s="1" t="s">
        <v>641</v>
      </c>
      <c r="H77" s="1" t="s">
        <v>32</v>
      </c>
      <c r="I77" s="1" t="s">
        <v>151</v>
      </c>
      <c r="J77" s="1" t="s">
        <v>133</v>
      </c>
      <c r="K77" s="1" t="s">
        <v>101</v>
      </c>
      <c r="L77" s="1"/>
      <c r="M77" s="1"/>
      <c r="N77" s="1" t="str">
        <f t="shared" si="5"/>
        <v>No</v>
      </c>
      <c r="O77" s="1">
        <f t="shared" si="6"/>
        <v>24</v>
      </c>
      <c r="P77" s="1">
        <f t="shared" si="9"/>
        <v>30</v>
      </c>
      <c r="Q77" s="1">
        <f t="shared" si="9"/>
        <v>4</v>
      </c>
      <c r="R77" s="1">
        <f t="shared" si="14"/>
        <v>0</v>
      </c>
      <c r="S77" s="34">
        <f t="shared" si="14"/>
        <v>86.66</v>
      </c>
      <c r="T77" s="1" t="str">
        <f t="shared" si="10"/>
        <v>not out</v>
      </c>
      <c r="U77" s="1" t="str">
        <f t="shared" si="11"/>
        <v>2</v>
      </c>
      <c r="V77" s="1" t="str">
        <f t="shared" si="8"/>
        <v xml:space="preserve"> Sri Lanka</v>
      </c>
      <c r="W77" s="1" t="str">
        <f t="shared" si="12"/>
        <v>Kanpur</v>
      </c>
      <c r="X77" s="1" t="str">
        <f t="shared" si="13"/>
        <v>No</v>
      </c>
      <c r="Y77" s="1"/>
    </row>
    <row r="78" spans="1:25" ht="14.25" customHeight="1">
      <c r="A78" s="1"/>
      <c r="B78" s="1">
        <v>61</v>
      </c>
      <c r="C78" s="1" t="s">
        <v>151</v>
      </c>
      <c r="D78" s="1" t="s">
        <v>189</v>
      </c>
      <c r="E78" s="1" t="s">
        <v>131</v>
      </c>
      <c r="F78" s="1" t="s">
        <v>131</v>
      </c>
      <c r="G78" s="1" t="s">
        <v>190</v>
      </c>
      <c r="H78" s="1" t="s">
        <v>19</v>
      </c>
      <c r="I78" s="1" t="s">
        <v>151</v>
      </c>
      <c r="J78" s="1" t="s">
        <v>163</v>
      </c>
      <c r="K78" s="1" t="s">
        <v>59</v>
      </c>
      <c r="L78" s="1"/>
      <c r="M78" s="1"/>
      <c r="N78" s="1" t="str">
        <f t="shared" si="5"/>
        <v>No</v>
      </c>
      <c r="O78" s="1">
        <f t="shared" si="6"/>
        <v>3</v>
      </c>
      <c r="P78" s="1">
        <f t="shared" si="9"/>
        <v>8</v>
      </c>
      <c r="Q78" s="1">
        <f t="shared" si="9"/>
        <v>0</v>
      </c>
      <c r="R78" s="1">
        <f t="shared" si="14"/>
        <v>0</v>
      </c>
      <c r="S78" s="34">
        <f t="shared" si="14"/>
        <v>25</v>
      </c>
      <c r="T78" s="1" t="str">
        <f t="shared" si="10"/>
        <v>lbw</v>
      </c>
      <c r="U78" s="1" t="str">
        <f t="shared" si="11"/>
        <v>2</v>
      </c>
      <c r="V78" s="1" t="str">
        <f t="shared" si="8"/>
        <v xml:space="preserve"> West Indies</v>
      </c>
      <c r="W78" s="1" t="str">
        <f t="shared" si="12"/>
        <v>Ahmedabad</v>
      </c>
      <c r="X78" s="1" t="str">
        <f t="shared" si="13"/>
        <v>Yes</v>
      </c>
      <c r="Y78" s="1"/>
    </row>
    <row r="79" spans="1:25" ht="14.25" customHeight="1">
      <c r="A79" s="1"/>
      <c r="B79" s="1">
        <v>62</v>
      </c>
      <c r="C79" s="1" t="s">
        <v>154</v>
      </c>
      <c r="D79" s="1" t="s">
        <v>153</v>
      </c>
      <c r="E79" s="1" t="s">
        <v>130</v>
      </c>
      <c r="F79" s="1" t="s">
        <v>130</v>
      </c>
      <c r="G79" s="1" t="s">
        <v>986</v>
      </c>
      <c r="H79" s="1" t="s">
        <v>24</v>
      </c>
      <c r="I79" s="1" t="s">
        <v>130</v>
      </c>
      <c r="J79" s="1" t="s">
        <v>195</v>
      </c>
      <c r="K79" s="1" t="s">
        <v>87</v>
      </c>
      <c r="L79" s="1"/>
      <c r="M79" s="1"/>
      <c r="N79" s="1" t="str">
        <f t="shared" si="5"/>
        <v>No</v>
      </c>
      <c r="O79" s="1">
        <f t="shared" si="6"/>
        <v>15</v>
      </c>
      <c r="P79" s="1">
        <f t="shared" si="9"/>
        <v>16</v>
      </c>
      <c r="Q79" s="1">
        <f t="shared" si="9"/>
        <v>1</v>
      </c>
      <c r="R79" s="1">
        <f t="shared" si="14"/>
        <v>1</v>
      </c>
      <c r="S79" s="34">
        <f t="shared" si="14"/>
        <v>150</v>
      </c>
      <c r="T79" s="1" t="str">
        <f t="shared" si="10"/>
        <v>caught</v>
      </c>
      <c r="U79" s="1" t="str">
        <f t="shared" si="11"/>
        <v>1</v>
      </c>
      <c r="V79" s="1" t="str">
        <f t="shared" si="8"/>
        <v xml:space="preserve"> Zimbabwe</v>
      </c>
      <c r="W79" s="1" t="str">
        <f t="shared" si="12"/>
        <v>Indore</v>
      </c>
      <c r="X79" s="1" t="str">
        <f t="shared" si="13"/>
        <v>Yes</v>
      </c>
      <c r="Y79" s="1"/>
    </row>
    <row r="80" spans="1:25" ht="14.25" customHeight="1">
      <c r="A80" s="1"/>
      <c r="B80" s="1">
        <v>63</v>
      </c>
      <c r="C80" s="1" t="s">
        <v>148</v>
      </c>
      <c r="D80" s="1" t="s">
        <v>138</v>
      </c>
      <c r="E80" s="1" t="s">
        <v>131</v>
      </c>
      <c r="F80" s="1" t="s">
        <v>131</v>
      </c>
      <c r="G80" s="1" t="s">
        <v>987</v>
      </c>
      <c r="H80" s="1" t="s">
        <v>24</v>
      </c>
      <c r="I80" s="1" t="s">
        <v>130</v>
      </c>
      <c r="J80" s="1" t="s">
        <v>191</v>
      </c>
      <c r="K80" s="1" t="s">
        <v>46</v>
      </c>
      <c r="L80" s="1"/>
      <c r="M80" s="1"/>
      <c r="N80" s="1" t="str">
        <f t="shared" si="5"/>
        <v>No</v>
      </c>
      <c r="O80" s="1">
        <f t="shared" si="6"/>
        <v>28</v>
      </c>
      <c r="P80" s="1">
        <f t="shared" si="9"/>
        <v>25</v>
      </c>
      <c r="Q80" s="1">
        <f t="shared" si="9"/>
        <v>0</v>
      </c>
      <c r="R80" s="1">
        <f t="shared" si="14"/>
        <v>0</v>
      </c>
      <c r="S80" s="34">
        <f t="shared" si="14"/>
        <v>12</v>
      </c>
      <c r="T80" s="1" t="str">
        <f t="shared" si="10"/>
        <v>caught</v>
      </c>
      <c r="U80" s="1" t="str">
        <f t="shared" si="11"/>
        <v>1</v>
      </c>
      <c r="V80" s="1" t="str">
        <f t="shared" si="8"/>
        <v xml:space="preserve"> South Africa</v>
      </c>
      <c r="W80" s="1" t="str">
        <f t="shared" si="12"/>
        <v>Mohali</v>
      </c>
      <c r="X80" s="1" t="str">
        <f t="shared" si="13"/>
        <v>Yes</v>
      </c>
      <c r="Y80" s="1"/>
    </row>
    <row r="81" spans="1:25" ht="14.25" customHeight="1">
      <c r="A81" s="1"/>
      <c r="B81" s="1">
        <v>64</v>
      </c>
      <c r="C81" s="1" t="s">
        <v>283</v>
      </c>
      <c r="D81" s="1" t="s">
        <v>146</v>
      </c>
      <c r="E81" s="1" t="s">
        <v>148</v>
      </c>
      <c r="F81" s="1" t="s">
        <v>131</v>
      </c>
      <c r="G81" s="1" t="s">
        <v>988</v>
      </c>
      <c r="H81" s="1" t="s">
        <v>24</v>
      </c>
      <c r="I81" s="1" t="s">
        <v>130</v>
      </c>
      <c r="J81" s="1" t="s">
        <v>191</v>
      </c>
      <c r="K81" s="1" t="s">
        <v>51</v>
      </c>
      <c r="L81" s="1"/>
      <c r="M81" s="1"/>
      <c r="N81" s="1" t="str">
        <f t="shared" si="5"/>
        <v>No</v>
      </c>
      <c r="O81" s="1">
        <f t="shared" si="6"/>
        <v>1</v>
      </c>
      <c r="P81" s="1">
        <f t="shared" si="9"/>
        <v>31</v>
      </c>
      <c r="Q81" s="1">
        <f t="shared" si="9"/>
        <v>3</v>
      </c>
      <c r="R81" s="1">
        <f t="shared" si="14"/>
        <v>0</v>
      </c>
      <c r="S81" s="34">
        <f t="shared" si="14"/>
        <v>48.38</v>
      </c>
      <c r="T81" s="1" t="str">
        <f t="shared" si="10"/>
        <v>caught</v>
      </c>
      <c r="U81" s="1" t="str">
        <f t="shared" si="11"/>
        <v>1</v>
      </c>
      <c r="V81" s="1" t="str">
        <f t="shared" si="8"/>
        <v xml:space="preserve"> South Africa</v>
      </c>
      <c r="W81" s="1" t="str">
        <f t="shared" si="12"/>
        <v>Eden Gardens</v>
      </c>
      <c r="X81" s="1" t="str">
        <f t="shared" si="13"/>
        <v>Yes</v>
      </c>
      <c r="Y81" s="1"/>
    </row>
    <row r="82" spans="1:25" ht="14.25" customHeight="1">
      <c r="A82" s="1"/>
      <c r="B82" s="1">
        <v>65</v>
      </c>
      <c r="C82" s="1" t="s">
        <v>543</v>
      </c>
      <c r="D82" s="1" t="s">
        <v>321</v>
      </c>
      <c r="E82" s="1" t="s">
        <v>151</v>
      </c>
      <c r="F82" s="1" t="s">
        <v>131</v>
      </c>
      <c r="G82" s="1" t="s">
        <v>989</v>
      </c>
      <c r="H82" s="1" t="s">
        <v>32</v>
      </c>
      <c r="I82" s="1" t="s">
        <v>130</v>
      </c>
      <c r="J82" s="1" t="s">
        <v>163</v>
      </c>
      <c r="K82" s="1" t="s">
        <v>51</v>
      </c>
      <c r="L82" s="1"/>
      <c r="M82" s="1"/>
      <c r="N82" s="1" t="str">
        <f t="shared" ref="N82:N145" si="15">IF(OR(C82="DNB",C82="TDNB"),"Yes","No")</f>
        <v>No</v>
      </c>
      <c r="O82" s="1">
        <f t="shared" ref="O82:O145" si="16">IF(N84="Yes", "NA",SUBSTITUTE(C84,"*","")*1)</f>
        <v>11</v>
      </c>
      <c r="P82" s="1">
        <f t="shared" si="9"/>
        <v>43</v>
      </c>
      <c r="Q82" s="1">
        <f t="shared" si="9"/>
        <v>2</v>
      </c>
      <c r="R82" s="1">
        <f t="shared" si="14"/>
        <v>0</v>
      </c>
      <c r="S82" s="34">
        <f t="shared" si="14"/>
        <v>65.11</v>
      </c>
      <c r="T82" s="1" t="str">
        <f t="shared" si="10"/>
        <v>not out</v>
      </c>
      <c r="U82" s="1" t="str">
        <f t="shared" si="11"/>
        <v>1</v>
      </c>
      <c r="V82" s="1" t="str">
        <f t="shared" si="8"/>
        <v xml:space="preserve"> West Indies</v>
      </c>
      <c r="W82" s="1" t="str">
        <f t="shared" si="12"/>
        <v>Eden Gardens</v>
      </c>
      <c r="X82" s="1" t="str">
        <f t="shared" si="13"/>
        <v>No</v>
      </c>
      <c r="Y82" s="1"/>
    </row>
    <row r="83" spans="1:25" ht="14.25" customHeight="1">
      <c r="A83" s="1"/>
      <c r="B83" s="1">
        <v>66</v>
      </c>
      <c r="C83" s="1" t="s">
        <v>130</v>
      </c>
      <c r="D83" s="1" t="s">
        <v>202</v>
      </c>
      <c r="E83" s="1" t="s">
        <v>131</v>
      </c>
      <c r="F83" s="1" t="s">
        <v>131</v>
      </c>
      <c r="G83" s="1" t="s">
        <v>299</v>
      </c>
      <c r="H83" s="1" t="s">
        <v>24</v>
      </c>
      <c r="I83" s="1" t="s">
        <v>130</v>
      </c>
      <c r="J83" s="1" t="s">
        <v>133</v>
      </c>
      <c r="K83" s="1" t="s">
        <v>48</v>
      </c>
      <c r="L83" s="1"/>
      <c r="M83" s="1"/>
      <c r="N83" s="1" t="str">
        <f t="shared" si="15"/>
        <v>No</v>
      </c>
      <c r="O83" s="1">
        <f t="shared" si="16"/>
        <v>52</v>
      </c>
      <c r="P83" s="1">
        <f t="shared" ref="P83:Q146" si="17">IF(D83="-","NA",D83*1)</f>
        <v>5</v>
      </c>
      <c r="Q83" s="1">
        <f t="shared" si="17"/>
        <v>0</v>
      </c>
      <c r="R83" s="1">
        <f t="shared" si="14"/>
        <v>0</v>
      </c>
      <c r="S83" s="34">
        <f t="shared" si="14"/>
        <v>20</v>
      </c>
      <c r="T83" s="1" t="str">
        <f t="shared" ref="T83:T146" si="18">IF(H83="-","NA",H83)</f>
        <v>caught</v>
      </c>
      <c r="U83" s="1" t="str">
        <f t="shared" ref="U83:U146" si="19">I83</f>
        <v>1</v>
      </c>
      <c r="V83" s="1" t="str">
        <f t="shared" ref="V83:V146" si="20">SUBSTITUTE(J83,"v","")</f>
        <v xml:space="preserve"> Sri Lanka</v>
      </c>
      <c r="W83" s="1" t="str">
        <f t="shared" ref="W83:W146" si="21">K83</f>
        <v>Rajkot</v>
      </c>
      <c r="X83" s="1" t="str">
        <f t="shared" ref="X83:X146" si="22">IF(N83="Yes","No",IF(T83="not out","No","Yes"))</f>
        <v>Yes</v>
      </c>
      <c r="Y83" s="1"/>
    </row>
    <row r="84" spans="1:25" ht="14.25" customHeight="1">
      <c r="A84" s="1"/>
      <c r="B84" s="1">
        <v>67</v>
      </c>
      <c r="C84" s="1" t="s">
        <v>803</v>
      </c>
      <c r="D84" s="1" t="s">
        <v>199</v>
      </c>
      <c r="E84" s="1" t="s">
        <v>131</v>
      </c>
      <c r="F84" s="1" t="s">
        <v>131</v>
      </c>
      <c r="G84" s="1" t="s">
        <v>391</v>
      </c>
      <c r="H84" s="1" t="s">
        <v>32</v>
      </c>
      <c r="I84" s="1" t="s">
        <v>151</v>
      </c>
      <c r="J84" s="1" t="s">
        <v>133</v>
      </c>
      <c r="K84" s="1" t="s">
        <v>990</v>
      </c>
      <c r="L84" s="1"/>
      <c r="M84" s="1"/>
      <c r="N84" s="1" t="str">
        <f t="shared" si="15"/>
        <v>No</v>
      </c>
      <c r="O84" s="1">
        <f t="shared" si="16"/>
        <v>15</v>
      </c>
      <c r="P84" s="1">
        <f t="shared" si="17"/>
        <v>18</v>
      </c>
      <c r="Q84" s="1">
        <f t="shared" si="17"/>
        <v>0</v>
      </c>
      <c r="R84" s="1">
        <f t="shared" si="14"/>
        <v>0</v>
      </c>
      <c r="S84" s="34">
        <f t="shared" si="14"/>
        <v>61.11</v>
      </c>
      <c r="T84" s="1" t="str">
        <f t="shared" si="18"/>
        <v>not out</v>
      </c>
      <c r="U84" s="1" t="str">
        <f t="shared" si="19"/>
        <v>2</v>
      </c>
      <c r="V84" s="1" t="str">
        <f t="shared" si="20"/>
        <v xml:space="preserve"> Sri Lanka</v>
      </c>
      <c r="W84" s="1" t="str">
        <f t="shared" si="21"/>
        <v>Hyderabad (Deccan)</v>
      </c>
      <c r="X84" s="1" t="str">
        <f t="shared" si="22"/>
        <v>No</v>
      </c>
      <c r="Y84" s="1"/>
    </row>
    <row r="85" spans="1:25" ht="14.25" customHeight="1">
      <c r="A85" s="1"/>
      <c r="B85" s="1">
        <v>68</v>
      </c>
      <c r="C85" s="1" t="s">
        <v>327</v>
      </c>
      <c r="D85" s="1" t="s">
        <v>262</v>
      </c>
      <c r="E85" s="1" t="s">
        <v>148</v>
      </c>
      <c r="F85" s="1" t="s">
        <v>131</v>
      </c>
      <c r="G85" s="1" t="s">
        <v>991</v>
      </c>
      <c r="H85" s="1" t="s">
        <v>26</v>
      </c>
      <c r="I85" s="1" t="s">
        <v>130</v>
      </c>
      <c r="J85" s="1" t="s">
        <v>133</v>
      </c>
      <c r="K85" s="1" t="s">
        <v>992</v>
      </c>
      <c r="L85" s="1"/>
      <c r="M85" s="1"/>
      <c r="N85" s="1" t="str">
        <f t="shared" si="15"/>
        <v>No</v>
      </c>
      <c r="O85" s="1">
        <f t="shared" si="16"/>
        <v>82</v>
      </c>
      <c r="P85" s="1">
        <f t="shared" si="17"/>
        <v>63</v>
      </c>
      <c r="Q85" s="1">
        <f t="shared" si="17"/>
        <v>3</v>
      </c>
      <c r="R85" s="1">
        <f t="shared" si="14"/>
        <v>0</v>
      </c>
      <c r="S85" s="34">
        <f t="shared" si="14"/>
        <v>82.53</v>
      </c>
      <c r="T85" s="1" t="str">
        <f t="shared" si="18"/>
        <v>run out</v>
      </c>
      <c r="U85" s="1" t="str">
        <f t="shared" si="19"/>
        <v>1</v>
      </c>
      <c r="V85" s="1" t="str">
        <f t="shared" si="20"/>
        <v xml:space="preserve"> Sri Lanka</v>
      </c>
      <c r="W85" s="1" t="str">
        <f t="shared" si="21"/>
        <v>Jalandhar</v>
      </c>
      <c r="X85" s="1" t="str">
        <f t="shared" si="22"/>
        <v>Yes</v>
      </c>
      <c r="Y85" s="1"/>
    </row>
    <row r="86" spans="1:25" ht="14.25" customHeight="1">
      <c r="A86" s="1"/>
      <c r="B86" s="1">
        <v>69</v>
      </c>
      <c r="C86" s="1" t="s">
        <v>283</v>
      </c>
      <c r="D86" s="1" t="s">
        <v>170</v>
      </c>
      <c r="E86" s="1" t="s">
        <v>130</v>
      </c>
      <c r="F86" s="1" t="s">
        <v>131</v>
      </c>
      <c r="G86" s="1" t="s">
        <v>993</v>
      </c>
      <c r="H86" s="1" t="s">
        <v>24</v>
      </c>
      <c r="I86" s="1" t="s">
        <v>151</v>
      </c>
      <c r="J86" s="1" t="s">
        <v>211</v>
      </c>
      <c r="K86" s="1" t="s">
        <v>102</v>
      </c>
      <c r="L86" s="1"/>
      <c r="M86" s="1"/>
      <c r="N86" s="1" t="str">
        <f t="shared" si="15"/>
        <v>No</v>
      </c>
      <c r="O86" s="1">
        <f t="shared" si="16"/>
        <v>63</v>
      </c>
      <c r="P86" s="1">
        <f t="shared" si="17"/>
        <v>19</v>
      </c>
      <c r="Q86" s="1">
        <f t="shared" si="17"/>
        <v>1</v>
      </c>
      <c r="R86" s="1">
        <f t="shared" si="14"/>
        <v>0</v>
      </c>
      <c r="S86" s="34">
        <f t="shared" si="14"/>
        <v>78.94</v>
      </c>
      <c r="T86" s="1" t="str">
        <f t="shared" si="18"/>
        <v>caught</v>
      </c>
      <c r="U86" s="1" t="str">
        <f t="shared" si="19"/>
        <v>2</v>
      </c>
      <c r="V86" s="1" t="str">
        <f t="shared" si="20"/>
        <v xml:space="preserve"> New Zealand</v>
      </c>
      <c r="W86" s="1" t="str">
        <f t="shared" si="21"/>
        <v>Napier</v>
      </c>
      <c r="X86" s="1" t="str">
        <f t="shared" si="22"/>
        <v>Yes</v>
      </c>
      <c r="Y86" s="1"/>
    </row>
    <row r="87" spans="1:25" ht="14.25" customHeight="1">
      <c r="A87" s="1"/>
      <c r="B87" s="1">
        <v>70</v>
      </c>
      <c r="C87" s="1" t="s">
        <v>196</v>
      </c>
      <c r="D87" s="1" t="s">
        <v>249</v>
      </c>
      <c r="E87" s="1" t="s">
        <v>283</v>
      </c>
      <c r="F87" s="1" t="s">
        <v>151</v>
      </c>
      <c r="G87" s="1" t="s">
        <v>994</v>
      </c>
      <c r="H87" s="1" t="s">
        <v>24</v>
      </c>
      <c r="I87" s="1" t="s">
        <v>151</v>
      </c>
      <c r="J87" s="1" t="s">
        <v>211</v>
      </c>
      <c r="K87" s="1" t="s">
        <v>104</v>
      </c>
      <c r="L87" s="1"/>
      <c r="M87" s="1"/>
      <c r="N87" s="1" t="str">
        <f t="shared" si="15"/>
        <v>No</v>
      </c>
      <c r="O87" s="1">
        <f t="shared" si="16"/>
        <v>40</v>
      </c>
      <c r="P87" s="1">
        <f t="shared" si="17"/>
        <v>49</v>
      </c>
      <c r="Q87" s="1">
        <f t="shared" si="17"/>
        <v>15</v>
      </c>
      <c r="R87" s="1">
        <f t="shared" si="14"/>
        <v>2</v>
      </c>
      <c r="S87" s="34">
        <f t="shared" si="14"/>
        <v>167.34</v>
      </c>
      <c r="T87" s="1" t="str">
        <f t="shared" si="18"/>
        <v>caught</v>
      </c>
      <c r="U87" s="1" t="str">
        <f t="shared" si="19"/>
        <v>2</v>
      </c>
      <c r="V87" s="1" t="str">
        <f t="shared" si="20"/>
        <v xml:space="preserve"> New Zealand</v>
      </c>
      <c r="W87" s="1" t="str">
        <f t="shared" si="21"/>
        <v>Auckland</v>
      </c>
      <c r="X87" s="1" t="str">
        <f t="shared" si="22"/>
        <v>Yes</v>
      </c>
      <c r="Y87" s="1"/>
    </row>
    <row r="88" spans="1:25" ht="14.25" customHeight="1">
      <c r="A88" s="1"/>
      <c r="B88" s="1">
        <v>71</v>
      </c>
      <c r="C88" s="1" t="s">
        <v>262</v>
      </c>
      <c r="D88" s="1" t="s">
        <v>447</v>
      </c>
      <c r="E88" s="1" t="s">
        <v>161</v>
      </c>
      <c r="F88" s="1" t="s">
        <v>131</v>
      </c>
      <c r="G88" s="1" t="s">
        <v>995</v>
      </c>
      <c r="H88" s="1" t="s">
        <v>19</v>
      </c>
      <c r="I88" s="1" t="s">
        <v>130</v>
      </c>
      <c r="J88" s="1" t="s">
        <v>211</v>
      </c>
      <c r="K88" s="1" t="s">
        <v>105</v>
      </c>
      <c r="L88" s="1"/>
      <c r="M88" s="1"/>
      <c r="N88" s="1" t="str">
        <f t="shared" si="15"/>
        <v>No</v>
      </c>
      <c r="O88" s="1">
        <f t="shared" si="16"/>
        <v>63</v>
      </c>
      <c r="P88" s="1">
        <f t="shared" si="17"/>
        <v>75</v>
      </c>
      <c r="Q88" s="1">
        <f t="shared" si="17"/>
        <v>9</v>
      </c>
      <c r="R88" s="1">
        <f t="shared" si="14"/>
        <v>0</v>
      </c>
      <c r="S88" s="34">
        <f t="shared" si="14"/>
        <v>84</v>
      </c>
      <c r="T88" s="1" t="str">
        <f t="shared" si="18"/>
        <v>lbw</v>
      </c>
      <c r="U88" s="1" t="str">
        <f t="shared" si="19"/>
        <v>1</v>
      </c>
      <c r="V88" s="1" t="str">
        <f t="shared" si="20"/>
        <v xml:space="preserve"> New Zealand</v>
      </c>
      <c r="W88" s="1" t="str">
        <f t="shared" si="21"/>
        <v>Wellington</v>
      </c>
      <c r="X88" s="1" t="str">
        <f t="shared" si="22"/>
        <v>Yes</v>
      </c>
      <c r="Y88" s="1"/>
    </row>
    <row r="89" spans="1:25" ht="14.25" customHeight="1">
      <c r="A89" s="1"/>
      <c r="B89" s="1">
        <v>72</v>
      </c>
      <c r="C89" s="1" t="s">
        <v>359</v>
      </c>
      <c r="D89" s="1" t="s">
        <v>313</v>
      </c>
      <c r="E89" s="1" t="s">
        <v>189</v>
      </c>
      <c r="F89" s="1" t="s">
        <v>131</v>
      </c>
      <c r="G89" s="1" t="s">
        <v>996</v>
      </c>
      <c r="H89" s="1" t="s">
        <v>29</v>
      </c>
      <c r="I89" s="1" t="s">
        <v>130</v>
      </c>
      <c r="J89" s="1" t="s">
        <v>211</v>
      </c>
      <c r="K89" s="1" t="s">
        <v>662</v>
      </c>
      <c r="L89" s="1"/>
      <c r="M89" s="1"/>
      <c r="N89" s="1" t="str">
        <f t="shared" si="15"/>
        <v>No</v>
      </c>
      <c r="O89" s="1">
        <f t="shared" si="16"/>
        <v>73</v>
      </c>
      <c r="P89" s="1">
        <f t="shared" si="17"/>
        <v>26</v>
      </c>
      <c r="Q89" s="1">
        <f t="shared" si="17"/>
        <v>8</v>
      </c>
      <c r="R89" s="1">
        <f t="shared" si="14"/>
        <v>0</v>
      </c>
      <c r="S89" s="34">
        <f t="shared" si="14"/>
        <v>153.84</v>
      </c>
      <c r="T89" s="1" t="str">
        <f t="shared" si="18"/>
        <v>bowled</v>
      </c>
      <c r="U89" s="1" t="str">
        <f t="shared" si="19"/>
        <v>1</v>
      </c>
      <c r="V89" s="1" t="str">
        <f t="shared" si="20"/>
        <v xml:space="preserve"> New Zealand</v>
      </c>
      <c r="W89" s="1" t="str">
        <f t="shared" si="21"/>
        <v>Christchurch</v>
      </c>
      <c r="X89" s="1" t="str">
        <f t="shared" si="22"/>
        <v>Yes</v>
      </c>
      <c r="Y89" s="1"/>
    </row>
    <row r="90" spans="1:25" ht="14.25" customHeight="1">
      <c r="A90" s="1"/>
      <c r="B90" s="1">
        <v>73</v>
      </c>
      <c r="C90" s="1" t="s">
        <v>262</v>
      </c>
      <c r="D90" s="1" t="s">
        <v>280</v>
      </c>
      <c r="E90" s="1" t="s">
        <v>144</v>
      </c>
      <c r="F90" s="1" t="s">
        <v>130</v>
      </c>
      <c r="G90" s="1" t="s">
        <v>145</v>
      </c>
      <c r="H90" s="1" t="s">
        <v>24</v>
      </c>
      <c r="I90" s="1" t="s">
        <v>130</v>
      </c>
      <c r="J90" s="1" t="s">
        <v>383</v>
      </c>
      <c r="K90" s="1" t="s">
        <v>955</v>
      </c>
      <c r="L90" s="1"/>
      <c r="M90" s="1"/>
      <c r="N90" s="1" t="str">
        <f t="shared" si="15"/>
        <v>No</v>
      </c>
      <c r="O90" s="1">
        <f t="shared" si="16"/>
        <v>6</v>
      </c>
      <c r="P90" s="1">
        <f t="shared" si="17"/>
        <v>77</v>
      </c>
      <c r="Q90" s="1">
        <f t="shared" si="17"/>
        <v>7</v>
      </c>
      <c r="R90" s="1">
        <f t="shared" si="14"/>
        <v>1</v>
      </c>
      <c r="S90" s="34">
        <f t="shared" si="14"/>
        <v>81.81</v>
      </c>
      <c r="T90" s="1" t="str">
        <f t="shared" si="18"/>
        <v>caught</v>
      </c>
      <c r="U90" s="1" t="str">
        <f t="shared" si="19"/>
        <v>1</v>
      </c>
      <c r="V90" s="1" t="str">
        <f t="shared" si="20"/>
        <v xml:space="preserve"> U.A.E.</v>
      </c>
      <c r="W90" s="1" t="str">
        <f t="shared" si="21"/>
        <v>Sharjah</v>
      </c>
      <c r="X90" s="1" t="str">
        <f t="shared" si="22"/>
        <v>Yes</v>
      </c>
      <c r="Y90" s="1"/>
    </row>
    <row r="91" spans="1:25" ht="14.25" customHeight="1">
      <c r="A91" s="1"/>
      <c r="B91" s="1">
        <v>74</v>
      </c>
      <c r="C91" s="1" t="s">
        <v>219</v>
      </c>
      <c r="D91" s="1" t="s">
        <v>218</v>
      </c>
      <c r="E91" s="1" t="s">
        <v>167</v>
      </c>
      <c r="F91" s="1" t="s">
        <v>148</v>
      </c>
      <c r="G91" s="1" t="s">
        <v>997</v>
      </c>
      <c r="H91" s="1" t="s">
        <v>24</v>
      </c>
      <c r="I91" s="1" t="s">
        <v>130</v>
      </c>
      <c r="J91" s="1" t="s">
        <v>156</v>
      </c>
      <c r="K91" s="1" t="s">
        <v>955</v>
      </c>
      <c r="L91" s="1"/>
      <c r="M91" s="1"/>
      <c r="N91" s="1" t="str">
        <f t="shared" si="15"/>
        <v>No</v>
      </c>
      <c r="O91" s="1">
        <f t="shared" si="16"/>
        <v>24</v>
      </c>
      <c r="P91" s="1">
        <f t="shared" si="17"/>
        <v>64</v>
      </c>
      <c r="Q91" s="1">
        <f t="shared" si="17"/>
        <v>10</v>
      </c>
      <c r="R91" s="1">
        <f t="shared" si="14"/>
        <v>3</v>
      </c>
      <c r="S91" s="34">
        <f t="shared" si="14"/>
        <v>114.06</v>
      </c>
      <c r="T91" s="1" t="str">
        <f t="shared" si="18"/>
        <v>caught</v>
      </c>
      <c r="U91" s="1" t="str">
        <f t="shared" si="19"/>
        <v>1</v>
      </c>
      <c r="V91" s="1" t="str">
        <f t="shared" si="20"/>
        <v xml:space="preserve"> Pakistan</v>
      </c>
      <c r="W91" s="1" t="str">
        <f t="shared" si="21"/>
        <v>Sharjah</v>
      </c>
      <c r="X91" s="1" t="str">
        <f t="shared" si="22"/>
        <v>Yes</v>
      </c>
      <c r="Y91" s="1"/>
    </row>
    <row r="92" spans="1:25" ht="14.25" customHeight="1">
      <c r="A92" s="1"/>
      <c r="B92" s="1">
        <v>75</v>
      </c>
      <c r="C92" s="1" t="s">
        <v>136</v>
      </c>
      <c r="D92" s="1" t="s">
        <v>144</v>
      </c>
      <c r="E92" s="1" t="s">
        <v>130</v>
      </c>
      <c r="F92" s="1" t="s">
        <v>131</v>
      </c>
      <c r="G92" s="1" t="s">
        <v>520</v>
      </c>
      <c r="H92" s="1" t="s">
        <v>24</v>
      </c>
      <c r="I92" s="1" t="s">
        <v>151</v>
      </c>
      <c r="J92" s="1" t="s">
        <v>158</v>
      </c>
      <c r="K92" s="1" t="s">
        <v>955</v>
      </c>
      <c r="L92" s="1"/>
      <c r="M92" s="1"/>
      <c r="N92" s="1" t="str">
        <f t="shared" si="15"/>
        <v>No</v>
      </c>
      <c r="O92" s="1">
        <f t="shared" si="16"/>
        <v>11</v>
      </c>
      <c r="P92" s="1">
        <f t="shared" si="17"/>
        <v>7</v>
      </c>
      <c r="Q92" s="1">
        <f t="shared" si="17"/>
        <v>1</v>
      </c>
      <c r="R92" s="1">
        <f t="shared" si="14"/>
        <v>0</v>
      </c>
      <c r="S92" s="34">
        <f t="shared" si="14"/>
        <v>85.71</v>
      </c>
      <c r="T92" s="1" t="str">
        <f t="shared" si="18"/>
        <v>caught</v>
      </c>
      <c r="U92" s="1" t="str">
        <f t="shared" si="19"/>
        <v>2</v>
      </c>
      <c r="V92" s="1" t="str">
        <f t="shared" si="20"/>
        <v xml:space="preserve"> Australia</v>
      </c>
      <c r="W92" s="1" t="str">
        <f t="shared" si="21"/>
        <v>Sharjah</v>
      </c>
      <c r="X92" s="1" t="str">
        <f t="shared" si="22"/>
        <v>Yes</v>
      </c>
      <c r="Y92" s="1"/>
    </row>
    <row r="93" spans="1:25" ht="14.25" customHeight="1">
      <c r="A93" s="1"/>
      <c r="B93" s="1">
        <v>76</v>
      </c>
      <c r="C93" s="1" t="s">
        <v>154</v>
      </c>
      <c r="D93" s="1" t="s">
        <v>313</v>
      </c>
      <c r="E93" s="1" t="s">
        <v>140</v>
      </c>
      <c r="F93" s="1" t="s">
        <v>131</v>
      </c>
      <c r="G93" s="1" t="s">
        <v>954</v>
      </c>
      <c r="H93" s="1" t="s">
        <v>24</v>
      </c>
      <c r="I93" s="1" t="s">
        <v>151</v>
      </c>
      <c r="J93" s="1" t="s">
        <v>156</v>
      </c>
      <c r="K93" s="1" t="s">
        <v>955</v>
      </c>
      <c r="L93" s="1"/>
      <c r="M93" s="1"/>
      <c r="N93" s="1" t="str">
        <f t="shared" si="15"/>
        <v>No</v>
      </c>
      <c r="O93" s="1">
        <f t="shared" si="16"/>
        <v>6</v>
      </c>
      <c r="P93" s="1">
        <f t="shared" si="17"/>
        <v>26</v>
      </c>
      <c r="Q93" s="1">
        <f t="shared" si="17"/>
        <v>4</v>
      </c>
      <c r="R93" s="1">
        <f t="shared" si="14"/>
        <v>0</v>
      </c>
      <c r="S93" s="34">
        <f t="shared" si="14"/>
        <v>92.3</v>
      </c>
      <c r="T93" s="1" t="str">
        <f t="shared" si="18"/>
        <v>caught</v>
      </c>
      <c r="U93" s="1" t="str">
        <f t="shared" si="19"/>
        <v>2</v>
      </c>
      <c r="V93" s="1" t="str">
        <f t="shared" si="20"/>
        <v xml:space="preserve"> Pakistan</v>
      </c>
      <c r="W93" s="1" t="str">
        <f t="shared" si="21"/>
        <v>Sharjah</v>
      </c>
      <c r="X93" s="1" t="str">
        <f t="shared" si="22"/>
        <v>Yes</v>
      </c>
      <c r="Y93" s="1"/>
    </row>
    <row r="94" spans="1:25" ht="14.25" customHeight="1">
      <c r="A94" s="1"/>
      <c r="B94" s="1">
        <v>77</v>
      </c>
      <c r="C94" s="1" t="s">
        <v>803</v>
      </c>
      <c r="D94" s="1" t="s">
        <v>153</v>
      </c>
      <c r="E94" s="1" t="s">
        <v>151</v>
      </c>
      <c r="F94" s="1" t="s">
        <v>131</v>
      </c>
      <c r="G94" s="1" t="s">
        <v>537</v>
      </c>
      <c r="H94" s="1" t="s">
        <v>32</v>
      </c>
      <c r="I94" s="1" t="s">
        <v>130</v>
      </c>
      <c r="J94" s="1" t="s">
        <v>133</v>
      </c>
      <c r="K94" s="1" t="s">
        <v>27</v>
      </c>
      <c r="L94" s="1"/>
      <c r="M94" s="1"/>
      <c r="N94" s="1" t="str">
        <f t="shared" si="15"/>
        <v>No</v>
      </c>
      <c r="O94" s="1">
        <f t="shared" si="16"/>
        <v>110</v>
      </c>
      <c r="P94" s="1">
        <f t="shared" si="17"/>
        <v>16</v>
      </c>
      <c r="Q94" s="1">
        <f t="shared" si="17"/>
        <v>2</v>
      </c>
      <c r="R94" s="1">
        <f t="shared" si="14"/>
        <v>0</v>
      </c>
      <c r="S94" s="34">
        <f t="shared" si="14"/>
        <v>68.75</v>
      </c>
      <c r="T94" s="1" t="str">
        <f t="shared" si="18"/>
        <v>not out</v>
      </c>
      <c r="U94" s="1" t="str">
        <f t="shared" si="19"/>
        <v>1</v>
      </c>
      <c r="V94" s="1" t="str">
        <f t="shared" si="20"/>
        <v xml:space="preserve"> Sri Lanka</v>
      </c>
      <c r="W94" s="1" t="str">
        <f t="shared" si="21"/>
        <v>Colombo (RPS)</v>
      </c>
      <c r="X94" s="1" t="str">
        <f t="shared" si="22"/>
        <v>No</v>
      </c>
      <c r="Y94" s="1"/>
    </row>
    <row r="95" spans="1:25" ht="14.25" customHeight="1">
      <c r="A95" s="1"/>
      <c r="B95" s="1">
        <v>78</v>
      </c>
      <c r="C95" s="1" t="s">
        <v>136</v>
      </c>
      <c r="D95" s="1" t="s">
        <v>202</v>
      </c>
      <c r="E95" s="1" t="s">
        <v>131</v>
      </c>
      <c r="F95" s="1" t="s">
        <v>131</v>
      </c>
      <c r="G95" s="1" t="s">
        <v>349</v>
      </c>
      <c r="H95" s="1" t="s">
        <v>24</v>
      </c>
      <c r="I95" s="1" t="s">
        <v>130</v>
      </c>
      <c r="J95" s="1" t="s">
        <v>133</v>
      </c>
      <c r="K95" s="1" t="s">
        <v>27</v>
      </c>
      <c r="L95" s="1"/>
      <c r="M95" s="1"/>
      <c r="N95" s="1" t="str">
        <f t="shared" si="15"/>
        <v>No</v>
      </c>
      <c r="O95" s="1">
        <f t="shared" si="16"/>
        <v>0</v>
      </c>
      <c r="P95" s="1">
        <f t="shared" si="17"/>
        <v>5</v>
      </c>
      <c r="Q95" s="1">
        <f t="shared" si="17"/>
        <v>0</v>
      </c>
      <c r="R95" s="1">
        <f t="shared" si="14"/>
        <v>0</v>
      </c>
      <c r="S95" s="34">
        <f t="shared" si="14"/>
        <v>120</v>
      </c>
      <c r="T95" s="1" t="str">
        <f t="shared" si="18"/>
        <v>caught</v>
      </c>
      <c r="U95" s="1" t="str">
        <f t="shared" si="19"/>
        <v>1</v>
      </c>
      <c r="V95" s="1" t="str">
        <f t="shared" si="20"/>
        <v xml:space="preserve"> Sri Lanka</v>
      </c>
      <c r="W95" s="1" t="str">
        <f t="shared" si="21"/>
        <v>Colombo (RPS)</v>
      </c>
      <c r="X95" s="1" t="str">
        <f t="shared" si="22"/>
        <v>Yes</v>
      </c>
      <c r="Y95" s="1"/>
    </row>
    <row r="96" spans="1:25" ht="14.25" customHeight="1">
      <c r="A96" s="1"/>
      <c r="B96" s="1">
        <v>79</v>
      </c>
      <c r="C96" s="1" t="s">
        <v>500</v>
      </c>
      <c r="D96" s="1" t="s">
        <v>663</v>
      </c>
      <c r="E96" s="1" t="s">
        <v>189</v>
      </c>
      <c r="F96" s="1" t="s">
        <v>151</v>
      </c>
      <c r="G96" s="1" t="s">
        <v>998</v>
      </c>
      <c r="H96" s="1" t="s">
        <v>29</v>
      </c>
      <c r="I96" s="1" t="s">
        <v>130</v>
      </c>
      <c r="J96" s="1" t="s">
        <v>158</v>
      </c>
      <c r="K96" s="1" t="s">
        <v>27</v>
      </c>
      <c r="L96" s="1"/>
      <c r="M96" s="1"/>
      <c r="N96" s="1" t="str">
        <f t="shared" si="15"/>
        <v>No</v>
      </c>
      <c r="O96" s="1">
        <f t="shared" si="16"/>
        <v>0</v>
      </c>
      <c r="P96" s="1">
        <f t="shared" si="17"/>
        <v>130</v>
      </c>
      <c r="Q96" s="1">
        <f t="shared" si="17"/>
        <v>8</v>
      </c>
      <c r="R96" s="1">
        <f t="shared" si="14"/>
        <v>2</v>
      </c>
      <c r="S96" s="34">
        <f t="shared" si="14"/>
        <v>84.61</v>
      </c>
      <c r="T96" s="1" t="str">
        <f t="shared" si="18"/>
        <v>bowled</v>
      </c>
      <c r="U96" s="1" t="str">
        <f t="shared" si="19"/>
        <v>1</v>
      </c>
      <c r="V96" s="1" t="str">
        <f t="shared" si="20"/>
        <v xml:space="preserve"> Australia</v>
      </c>
      <c r="W96" s="1" t="str">
        <f t="shared" si="21"/>
        <v>Colombo (RPS)</v>
      </c>
      <c r="X96" s="1" t="str">
        <f t="shared" si="22"/>
        <v>Yes</v>
      </c>
      <c r="Y96" s="1"/>
    </row>
    <row r="97" spans="1:25" ht="14.25" customHeight="1">
      <c r="A97" s="1"/>
      <c r="B97" s="1">
        <v>80</v>
      </c>
      <c r="C97" s="1" t="s">
        <v>131</v>
      </c>
      <c r="D97" s="1" t="s">
        <v>151</v>
      </c>
      <c r="E97" s="1" t="s">
        <v>131</v>
      </c>
      <c r="F97" s="1" t="s">
        <v>131</v>
      </c>
      <c r="G97" s="1" t="s">
        <v>210</v>
      </c>
      <c r="H97" s="1" t="s">
        <v>24</v>
      </c>
      <c r="I97" s="1" t="s">
        <v>151</v>
      </c>
      <c r="J97" s="1" t="s">
        <v>133</v>
      </c>
      <c r="K97" s="1" t="s">
        <v>584</v>
      </c>
      <c r="L97" s="1"/>
      <c r="M97" s="1"/>
      <c r="N97" s="1" t="str">
        <f t="shared" si="15"/>
        <v>No</v>
      </c>
      <c r="O97" s="1">
        <f t="shared" si="16"/>
        <v>0</v>
      </c>
      <c r="P97" s="1">
        <f t="shared" si="17"/>
        <v>2</v>
      </c>
      <c r="Q97" s="1">
        <f t="shared" si="17"/>
        <v>0</v>
      </c>
      <c r="R97" s="1">
        <f t="shared" si="14"/>
        <v>0</v>
      </c>
      <c r="S97" s="34">
        <f t="shared" si="14"/>
        <v>0</v>
      </c>
      <c r="T97" s="1" t="str">
        <f t="shared" si="18"/>
        <v>caught</v>
      </c>
      <c r="U97" s="1" t="str">
        <f t="shared" si="19"/>
        <v>2</v>
      </c>
      <c r="V97" s="1" t="str">
        <f t="shared" si="20"/>
        <v xml:space="preserve"> Sri Lanka</v>
      </c>
      <c r="W97" s="1" t="str">
        <f t="shared" si="21"/>
        <v>Colombo (SSC)</v>
      </c>
      <c r="X97" s="1" t="str">
        <f t="shared" si="22"/>
        <v>Yes</v>
      </c>
      <c r="Y97" s="1"/>
    </row>
    <row r="98" spans="1:25" ht="14.25" customHeight="1">
      <c r="A98" s="1"/>
      <c r="B98" s="1">
        <v>81</v>
      </c>
      <c r="C98" s="1" t="s">
        <v>131</v>
      </c>
      <c r="D98" s="1" t="s">
        <v>140</v>
      </c>
      <c r="E98" s="1" t="s">
        <v>131</v>
      </c>
      <c r="F98" s="1" t="s">
        <v>131</v>
      </c>
      <c r="G98" s="1" t="s">
        <v>210</v>
      </c>
      <c r="H98" s="1" t="s">
        <v>24</v>
      </c>
      <c r="I98" s="1" t="s">
        <v>151</v>
      </c>
      <c r="J98" s="1" t="s">
        <v>163</v>
      </c>
      <c r="K98" s="1" t="s">
        <v>570</v>
      </c>
      <c r="L98" s="1"/>
      <c r="M98" s="1"/>
      <c r="N98" s="1" t="str">
        <f t="shared" si="15"/>
        <v>No</v>
      </c>
      <c r="O98" s="1">
        <f t="shared" si="16"/>
        <v>8</v>
      </c>
      <c r="P98" s="1">
        <f t="shared" si="17"/>
        <v>4</v>
      </c>
      <c r="Q98" s="1">
        <f t="shared" si="17"/>
        <v>0</v>
      </c>
      <c r="R98" s="1">
        <f t="shared" ref="R98:S161" si="23">IF(F98="-","NA",F98*1)</f>
        <v>0</v>
      </c>
      <c r="S98" s="34">
        <f t="shared" si="23"/>
        <v>0</v>
      </c>
      <c r="T98" s="1" t="str">
        <f t="shared" si="18"/>
        <v>caught</v>
      </c>
      <c r="U98" s="1" t="str">
        <f t="shared" si="19"/>
        <v>2</v>
      </c>
      <c r="V98" s="1" t="str">
        <f t="shared" si="20"/>
        <v xml:space="preserve"> West Indies</v>
      </c>
      <c r="W98" s="1" t="str">
        <f t="shared" si="21"/>
        <v>Faridabad</v>
      </c>
      <c r="X98" s="1" t="str">
        <f t="shared" si="22"/>
        <v>Yes</v>
      </c>
      <c r="Y98" s="1"/>
    </row>
    <row r="99" spans="1:25" ht="14.25" customHeight="1">
      <c r="A99" s="1"/>
      <c r="B99" s="1">
        <v>82</v>
      </c>
      <c r="C99" s="1" t="s">
        <v>131</v>
      </c>
      <c r="D99" s="1" t="s">
        <v>140</v>
      </c>
      <c r="E99" s="1" t="s">
        <v>131</v>
      </c>
      <c r="F99" s="1" t="s">
        <v>131</v>
      </c>
      <c r="G99" s="1" t="s">
        <v>210</v>
      </c>
      <c r="H99" s="1" t="s">
        <v>24</v>
      </c>
      <c r="I99" s="1" t="s">
        <v>151</v>
      </c>
      <c r="J99" s="1" t="s">
        <v>163</v>
      </c>
      <c r="K99" s="1" t="s">
        <v>75</v>
      </c>
      <c r="L99" s="1"/>
      <c r="M99" s="1"/>
      <c r="N99" s="1" t="str">
        <f t="shared" si="15"/>
        <v>No</v>
      </c>
      <c r="O99" s="1">
        <f t="shared" si="16"/>
        <v>115</v>
      </c>
      <c r="P99" s="1">
        <f t="shared" si="17"/>
        <v>4</v>
      </c>
      <c r="Q99" s="1">
        <f t="shared" si="17"/>
        <v>0</v>
      </c>
      <c r="R99" s="1">
        <f t="shared" si="23"/>
        <v>0</v>
      </c>
      <c r="S99" s="34">
        <f t="shared" si="23"/>
        <v>0</v>
      </c>
      <c r="T99" s="1" t="str">
        <f t="shared" si="18"/>
        <v>caught</v>
      </c>
      <c r="U99" s="1" t="str">
        <f t="shared" si="19"/>
        <v>2</v>
      </c>
      <c r="V99" s="1" t="str">
        <f t="shared" si="20"/>
        <v xml:space="preserve"> West Indies</v>
      </c>
      <c r="W99" s="1" t="str">
        <f t="shared" si="21"/>
        <v>Wankhede</v>
      </c>
      <c r="X99" s="1" t="str">
        <f t="shared" si="22"/>
        <v>Yes</v>
      </c>
      <c r="Y99" s="1"/>
    </row>
    <row r="100" spans="1:25" ht="14.25" customHeight="1">
      <c r="A100" s="1"/>
      <c r="B100" s="1">
        <v>83</v>
      </c>
      <c r="C100" s="1" t="s">
        <v>189</v>
      </c>
      <c r="D100" s="1" t="s">
        <v>154</v>
      </c>
      <c r="E100" s="1" t="s">
        <v>131</v>
      </c>
      <c r="F100" s="1" t="s">
        <v>131</v>
      </c>
      <c r="G100" s="1" t="s">
        <v>229</v>
      </c>
      <c r="H100" s="1" t="s">
        <v>24</v>
      </c>
      <c r="I100" s="1" t="s">
        <v>151</v>
      </c>
      <c r="J100" s="1" t="s">
        <v>163</v>
      </c>
      <c r="K100" s="1" t="s">
        <v>68</v>
      </c>
      <c r="L100" s="1"/>
      <c r="M100" s="1"/>
      <c r="N100" s="1" t="str">
        <f t="shared" si="15"/>
        <v>No</v>
      </c>
      <c r="O100" s="1">
        <f t="shared" si="16"/>
        <v>34</v>
      </c>
      <c r="P100" s="1">
        <f t="shared" si="17"/>
        <v>24</v>
      </c>
      <c r="Q100" s="1">
        <f t="shared" si="17"/>
        <v>0</v>
      </c>
      <c r="R100" s="1">
        <f t="shared" si="23"/>
        <v>0</v>
      </c>
      <c r="S100" s="34">
        <f t="shared" si="23"/>
        <v>33.33</v>
      </c>
      <c r="T100" s="1" t="str">
        <f t="shared" si="18"/>
        <v>caught</v>
      </c>
      <c r="U100" s="1" t="str">
        <f t="shared" si="19"/>
        <v>2</v>
      </c>
      <c r="V100" s="1" t="str">
        <f t="shared" si="20"/>
        <v xml:space="preserve"> West Indies</v>
      </c>
      <c r="W100" s="1" t="str">
        <f t="shared" si="21"/>
        <v>Chennai</v>
      </c>
      <c r="X100" s="1" t="str">
        <f t="shared" si="22"/>
        <v>Yes</v>
      </c>
      <c r="Y100" s="1"/>
    </row>
    <row r="101" spans="1:25" ht="14.25" customHeight="1">
      <c r="A101" s="1"/>
      <c r="B101" s="1">
        <v>84</v>
      </c>
      <c r="C101" s="1" t="s">
        <v>329</v>
      </c>
      <c r="D101" s="1" t="s">
        <v>352</v>
      </c>
      <c r="E101" s="1" t="s">
        <v>161</v>
      </c>
      <c r="F101" s="1" t="s">
        <v>148</v>
      </c>
      <c r="G101" s="1" t="s">
        <v>999</v>
      </c>
      <c r="H101" s="1" t="s">
        <v>26</v>
      </c>
      <c r="I101" s="1" t="s">
        <v>151</v>
      </c>
      <c r="J101" s="1" t="s">
        <v>211</v>
      </c>
      <c r="K101" s="1" t="s">
        <v>44</v>
      </c>
      <c r="L101" s="1"/>
      <c r="M101" s="1"/>
      <c r="N101" s="1" t="str">
        <f t="shared" si="15"/>
        <v>No</v>
      </c>
      <c r="O101" s="1">
        <f t="shared" si="16"/>
        <v>62</v>
      </c>
      <c r="P101" s="1">
        <f t="shared" si="17"/>
        <v>136</v>
      </c>
      <c r="Q101" s="1">
        <f t="shared" si="17"/>
        <v>9</v>
      </c>
      <c r="R101" s="1">
        <f t="shared" si="23"/>
        <v>3</v>
      </c>
      <c r="S101" s="34">
        <f t="shared" si="23"/>
        <v>84.55</v>
      </c>
      <c r="T101" s="1" t="str">
        <f t="shared" si="18"/>
        <v>run out</v>
      </c>
      <c r="U101" s="1" t="str">
        <f t="shared" si="19"/>
        <v>2</v>
      </c>
      <c r="V101" s="1" t="str">
        <f t="shared" si="20"/>
        <v xml:space="preserve"> New Zealand</v>
      </c>
      <c r="W101" s="1" t="str">
        <f t="shared" si="21"/>
        <v>Vadodara</v>
      </c>
      <c r="X101" s="1" t="str">
        <f t="shared" si="22"/>
        <v>Yes</v>
      </c>
      <c r="Y101" s="1"/>
    </row>
    <row r="102" spans="1:25" ht="14.25" customHeight="1">
      <c r="A102" s="1"/>
      <c r="B102" s="1">
        <v>85</v>
      </c>
      <c r="C102" s="1" t="s">
        <v>208</v>
      </c>
      <c r="D102" s="1" t="s">
        <v>419</v>
      </c>
      <c r="E102" s="1" t="s">
        <v>144</v>
      </c>
      <c r="F102" s="1" t="s">
        <v>131</v>
      </c>
      <c r="G102" s="1" t="s">
        <v>1000</v>
      </c>
      <c r="H102" s="1" t="s">
        <v>29</v>
      </c>
      <c r="I102" s="1" t="s">
        <v>151</v>
      </c>
      <c r="J102" s="1" t="s">
        <v>163</v>
      </c>
      <c r="K102" s="1" t="s">
        <v>101</v>
      </c>
      <c r="L102" s="1"/>
      <c r="M102" s="1"/>
      <c r="N102" s="1" t="str">
        <f t="shared" si="15"/>
        <v>No</v>
      </c>
      <c r="O102" s="1">
        <f t="shared" si="16"/>
        <v>66</v>
      </c>
      <c r="P102" s="1">
        <f t="shared" si="17"/>
        <v>47</v>
      </c>
      <c r="Q102" s="1">
        <f t="shared" si="17"/>
        <v>7</v>
      </c>
      <c r="R102" s="1">
        <f t="shared" si="23"/>
        <v>0</v>
      </c>
      <c r="S102" s="34">
        <f t="shared" si="23"/>
        <v>72.34</v>
      </c>
      <c r="T102" s="1" t="str">
        <f t="shared" si="18"/>
        <v>bowled</v>
      </c>
      <c r="U102" s="1" t="str">
        <f t="shared" si="19"/>
        <v>2</v>
      </c>
      <c r="V102" s="1" t="str">
        <f t="shared" si="20"/>
        <v xml:space="preserve"> West Indies</v>
      </c>
      <c r="W102" s="1" t="str">
        <f t="shared" si="21"/>
        <v>Kanpur</v>
      </c>
      <c r="X102" s="1" t="str">
        <f t="shared" si="22"/>
        <v>Yes</v>
      </c>
      <c r="Y102" s="1"/>
    </row>
    <row r="103" spans="1:25" ht="14.25" customHeight="1">
      <c r="A103" s="1"/>
      <c r="B103" s="1">
        <v>86</v>
      </c>
      <c r="C103" s="1" t="s">
        <v>364</v>
      </c>
      <c r="D103" s="1" t="s">
        <v>142</v>
      </c>
      <c r="E103" s="1" t="s">
        <v>325</v>
      </c>
      <c r="F103" s="1" t="s">
        <v>131</v>
      </c>
      <c r="G103" s="1" t="s">
        <v>1001</v>
      </c>
      <c r="H103" s="1" t="s">
        <v>29</v>
      </c>
      <c r="I103" s="1" t="s">
        <v>130</v>
      </c>
      <c r="J103" s="1" t="s">
        <v>211</v>
      </c>
      <c r="K103" s="1" t="s">
        <v>52</v>
      </c>
      <c r="L103" s="1"/>
      <c r="M103" s="1"/>
      <c r="N103" s="1" t="str">
        <f t="shared" si="15"/>
        <v>No</v>
      </c>
      <c r="O103" s="1">
        <f t="shared" si="16"/>
        <v>54</v>
      </c>
      <c r="P103" s="1">
        <f t="shared" si="17"/>
        <v>54</v>
      </c>
      <c r="Q103" s="1">
        <f t="shared" si="17"/>
        <v>13</v>
      </c>
      <c r="R103" s="1">
        <f t="shared" si="23"/>
        <v>0</v>
      </c>
      <c r="S103" s="34">
        <f t="shared" si="23"/>
        <v>114.81</v>
      </c>
      <c r="T103" s="1" t="str">
        <f t="shared" si="18"/>
        <v>bowled</v>
      </c>
      <c r="U103" s="1" t="str">
        <f t="shared" si="19"/>
        <v>1</v>
      </c>
      <c r="V103" s="1" t="str">
        <f t="shared" si="20"/>
        <v xml:space="preserve"> New Zealand</v>
      </c>
      <c r="W103" s="1" t="str">
        <f t="shared" si="21"/>
        <v>Delhi</v>
      </c>
      <c r="X103" s="1" t="str">
        <f t="shared" si="22"/>
        <v>Yes</v>
      </c>
      <c r="Y103" s="1"/>
    </row>
    <row r="104" spans="1:25" ht="14.25" customHeight="1">
      <c r="A104" s="1"/>
      <c r="B104" s="1">
        <v>87</v>
      </c>
      <c r="C104" s="1" t="s">
        <v>143</v>
      </c>
      <c r="D104" s="1" t="s">
        <v>184</v>
      </c>
      <c r="E104" s="1" t="s">
        <v>189</v>
      </c>
      <c r="F104" s="1" t="s">
        <v>131</v>
      </c>
      <c r="G104" s="1" t="s">
        <v>1002</v>
      </c>
      <c r="H104" s="1" t="s">
        <v>24</v>
      </c>
      <c r="I104" s="1" t="s">
        <v>130</v>
      </c>
      <c r="J104" s="1" t="s">
        <v>163</v>
      </c>
      <c r="K104" s="1" t="s">
        <v>51</v>
      </c>
      <c r="L104" s="1"/>
      <c r="M104" s="1"/>
      <c r="N104" s="1" t="str">
        <f t="shared" si="15"/>
        <v>No</v>
      </c>
      <c r="O104" s="1">
        <f t="shared" si="16"/>
        <v>88</v>
      </c>
      <c r="P104" s="1">
        <f t="shared" si="17"/>
        <v>68</v>
      </c>
      <c r="Q104" s="1">
        <f t="shared" si="17"/>
        <v>8</v>
      </c>
      <c r="R104" s="1">
        <f t="shared" si="23"/>
        <v>0</v>
      </c>
      <c r="S104" s="34">
        <f t="shared" si="23"/>
        <v>97.05</v>
      </c>
      <c r="T104" s="1" t="str">
        <f t="shared" si="18"/>
        <v>caught</v>
      </c>
      <c r="U104" s="1" t="str">
        <f t="shared" si="19"/>
        <v>1</v>
      </c>
      <c r="V104" s="1" t="str">
        <f t="shared" si="20"/>
        <v xml:space="preserve"> West Indies</v>
      </c>
      <c r="W104" s="1" t="str">
        <f t="shared" si="21"/>
        <v>Eden Gardens</v>
      </c>
      <c r="X104" s="1" t="str">
        <f t="shared" si="22"/>
        <v>Yes</v>
      </c>
      <c r="Y104" s="1"/>
    </row>
    <row r="105" spans="1:25" ht="14.25" customHeight="1">
      <c r="A105" s="1"/>
      <c r="B105" s="1">
        <v>88</v>
      </c>
      <c r="C105" s="1" t="s">
        <v>142</v>
      </c>
      <c r="D105" s="1" t="s">
        <v>218</v>
      </c>
      <c r="E105" s="1" t="s">
        <v>202</v>
      </c>
      <c r="F105" s="1" t="s">
        <v>131</v>
      </c>
      <c r="G105" s="1" t="s">
        <v>1003</v>
      </c>
      <c r="H105" s="1" t="s">
        <v>24</v>
      </c>
      <c r="I105" s="1" t="s">
        <v>130</v>
      </c>
      <c r="J105" s="1" t="s">
        <v>163</v>
      </c>
      <c r="K105" s="1" t="s">
        <v>65</v>
      </c>
      <c r="L105" s="1"/>
      <c r="M105" s="1"/>
      <c r="N105" s="1" t="str">
        <f t="shared" si="15"/>
        <v>No</v>
      </c>
      <c r="O105" s="1">
        <f t="shared" si="16"/>
        <v>105</v>
      </c>
      <c r="P105" s="1">
        <f t="shared" si="17"/>
        <v>64</v>
      </c>
      <c r="Q105" s="1">
        <f t="shared" si="17"/>
        <v>5</v>
      </c>
      <c r="R105" s="1">
        <f t="shared" si="23"/>
        <v>0</v>
      </c>
      <c r="S105" s="34">
        <f t="shared" si="23"/>
        <v>84.37</v>
      </c>
      <c r="T105" s="1" t="str">
        <f t="shared" si="18"/>
        <v>caught</v>
      </c>
      <c r="U105" s="1" t="str">
        <f t="shared" si="19"/>
        <v>1</v>
      </c>
      <c r="V105" s="1" t="str">
        <f t="shared" si="20"/>
        <v xml:space="preserve"> West Indies</v>
      </c>
      <c r="W105" s="1" t="str">
        <f t="shared" si="21"/>
        <v>Visakhapatnam</v>
      </c>
      <c r="X105" s="1" t="str">
        <f t="shared" si="22"/>
        <v>Yes</v>
      </c>
      <c r="Y105" s="1"/>
    </row>
    <row r="106" spans="1:25" ht="14.25" customHeight="1">
      <c r="A106" s="1"/>
      <c r="B106" s="1">
        <v>89</v>
      </c>
      <c r="C106" s="1" t="s">
        <v>332</v>
      </c>
      <c r="D106" s="1" t="s">
        <v>441</v>
      </c>
      <c r="E106" s="1" t="s">
        <v>167</v>
      </c>
      <c r="F106" s="1" t="s">
        <v>131</v>
      </c>
      <c r="G106" s="1" t="s">
        <v>527</v>
      </c>
      <c r="H106" s="1" t="s">
        <v>29</v>
      </c>
      <c r="I106" s="1" t="s">
        <v>151</v>
      </c>
      <c r="J106" s="1" t="s">
        <v>163</v>
      </c>
      <c r="K106" s="1" t="s">
        <v>86</v>
      </c>
      <c r="L106" s="1"/>
      <c r="M106" s="1"/>
      <c r="N106" s="1" t="str">
        <f t="shared" si="15"/>
        <v>No</v>
      </c>
      <c r="O106" s="1">
        <f t="shared" si="16"/>
        <v>13</v>
      </c>
      <c r="P106" s="1">
        <f t="shared" si="17"/>
        <v>112</v>
      </c>
      <c r="Q106" s="1">
        <f t="shared" si="17"/>
        <v>10</v>
      </c>
      <c r="R106" s="1">
        <f t="shared" si="23"/>
        <v>0</v>
      </c>
      <c r="S106" s="34">
        <f t="shared" si="23"/>
        <v>78.569999999999993</v>
      </c>
      <c r="T106" s="1" t="str">
        <f t="shared" si="18"/>
        <v>bowled</v>
      </c>
      <c r="U106" s="1" t="str">
        <f t="shared" si="19"/>
        <v>2</v>
      </c>
      <c r="V106" s="1" t="str">
        <f t="shared" si="20"/>
        <v xml:space="preserve"> West Indies</v>
      </c>
      <c r="W106" s="1" t="str">
        <f t="shared" si="21"/>
        <v>Cuttack</v>
      </c>
      <c r="X106" s="1" t="str">
        <f t="shared" si="22"/>
        <v>Yes</v>
      </c>
      <c r="Y106" s="1"/>
    </row>
    <row r="107" spans="1:25" ht="14.25" customHeight="1">
      <c r="A107" s="1"/>
      <c r="B107" s="1">
        <v>90</v>
      </c>
      <c r="C107" s="1" t="s">
        <v>216</v>
      </c>
      <c r="D107" s="1" t="s">
        <v>403</v>
      </c>
      <c r="E107" s="1" t="s">
        <v>167</v>
      </c>
      <c r="F107" s="1" t="s">
        <v>131</v>
      </c>
      <c r="G107" s="1" t="s">
        <v>1004</v>
      </c>
      <c r="H107" s="1" t="s">
        <v>24</v>
      </c>
      <c r="I107" s="1" t="s">
        <v>130</v>
      </c>
      <c r="J107" s="1" t="s">
        <v>163</v>
      </c>
      <c r="K107" s="1" t="s">
        <v>56</v>
      </c>
      <c r="L107" s="1"/>
      <c r="M107" s="1"/>
      <c r="N107" s="1" t="str">
        <f t="shared" si="15"/>
        <v>No</v>
      </c>
      <c r="O107" s="1">
        <f t="shared" si="16"/>
        <v>37</v>
      </c>
      <c r="P107" s="1">
        <f t="shared" si="17"/>
        <v>134</v>
      </c>
      <c r="Q107" s="1">
        <f t="shared" si="17"/>
        <v>10</v>
      </c>
      <c r="R107" s="1">
        <f t="shared" si="23"/>
        <v>0</v>
      </c>
      <c r="S107" s="34">
        <f t="shared" si="23"/>
        <v>78.349999999999994</v>
      </c>
      <c r="T107" s="1" t="str">
        <f t="shared" si="18"/>
        <v>caught</v>
      </c>
      <c r="U107" s="1" t="str">
        <f t="shared" si="19"/>
        <v>1</v>
      </c>
      <c r="V107" s="1" t="str">
        <f t="shared" si="20"/>
        <v xml:space="preserve"> West Indies</v>
      </c>
      <c r="W107" s="1" t="str">
        <f t="shared" si="21"/>
        <v>Jaipur</v>
      </c>
      <c r="X107" s="1" t="str">
        <f t="shared" si="22"/>
        <v>Yes</v>
      </c>
      <c r="Y107" s="1"/>
    </row>
    <row r="108" spans="1:25" ht="14.25" customHeight="1">
      <c r="A108" s="1"/>
      <c r="B108" s="1">
        <v>91</v>
      </c>
      <c r="C108" s="1" t="s">
        <v>325</v>
      </c>
      <c r="D108" s="1" t="s">
        <v>283</v>
      </c>
      <c r="E108" s="1" t="s">
        <v>148</v>
      </c>
      <c r="F108" s="1" t="s">
        <v>131</v>
      </c>
      <c r="G108" s="1" t="s">
        <v>641</v>
      </c>
      <c r="H108" s="1" t="s">
        <v>24</v>
      </c>
      <c r="I108" s="1" t="s">
        <v>130</v>
      </c>
      <c r="J108" s="1" t="s">
        <v>211</v>
      </c>
      <c r="K108" s="1" t="s">
        <v>102</v>
      </c>
      <c r="L108" s="1"/>
      <c r="M108" s="1"/>
      <c r="N108" s="1" t="str">
        <f t="shared" si="15"/>
        <v>No</v>
      </c>
      <c r="O108" s="1">
        <f t="shared" si="16"/>
        <v>47</v>
      </c>
      <c r="P108" s="1">
        <f t="shared" si="17"/>
        <v>15</v>
      </c>
      <c r="Q108" s="1">
        <f t="shared" si="17"/>
        <v>3</v>
      </c>
      <c r="R108" s="1">
        <f t="shared" si="23"/>
        <v>0</v>
      </c>
      <c r="S108" s="34">
        <f t="shared" si="23"/>
        <v>86.66</v>
      </c>
      <c r="T108" s="1" t="str">
        <f t="shared" si="18"/>
        <v>caught</v>
      </c>
      <c r="U108" s="1" t="str">
        <f t="shared" si="19"/>
        <v>1</v>
      </c>
      <c r="V108" s="1" t="str">
        <f t="shared" si="20"/>
        <v xml:space="preserve"> New Zealand</v>
      </c>
      <c r="W108" s="1" t="str">
        <f t="shared" si="21"/>
        <v>Napier</v>
      </c>
      <c r="X108" s="1" t="str">
        <f t="shared" si="22"/>
        <v>Yes</v>
      </c>
      <c r="Y108" s="1"/>
    </row>
    <row r="109" spans="1:25" ht="14.25" customHeight="1">
      <c r="A109" s="1"/>
      <c r="B109" s="1">
        <v>92</v>
      </c>
      <c r="C109" s="1" t="s">
        <v>134</v>
      </c>
      <c r="D109" s="1" t="s">
        <v>356</v>
      </c>
      <c r="E109" s="1" t="s">
        <v>148</v>
      </c>
      <c r="F109" s="1" t="s">
        <v>130</v>
      </c>
      <c r="G109" s="1" t="s">
        <v>1005</v>
      </c>
      <c r="H109" s="1" t="s">
        <v>24</v>
      </c>
      <c r="I109" s="1" t="s">
        <v>151</v>
      </c>
      <c r="J109" s="1" t="s">
        <v>191</v>
      </c>
      <c r="K109" s="1" t="s">
        <v>103</v>
      </c>
      <c r="L109" s="1"/>
      <c r="M109" s="1"/>
      <c r="N109" s="1" t="str">
        <f t="shared" si="15"/>
        <v>No</v>
      </c>
      <c r="O109" s="1">
        <f t="shared" si="16"/>
        <v>48</v>
      </c>
      <c r="P109" s="1">
        <f t="shared" si="17"/>
        <v>51</v>
      </c>
      <c r="Q109" s="1">
        <f t="shared" si="17"/>
        <v>3</v>
      </c>
      <c r="R109" s="1">
        <f t="shared" si="23"/>
        <v>1</v>
      </c>
      <c r="S109" s="34">
        <f t="shared" si="23"/>
        <v>72.540000000000006</v>
      </c>
      <c r="T109" s="1" t="str">
        <f t="shared" si="18"/>
        <v>caught</v>
      </c>
      <c r="U109" s="1" t="str">
        <f t="shared" si="19"/>
        <v>2</v>
      </c>
      <c r="V109" s="1" t="str">
        <f t="shared" si="20"/>
        <v xml:space="preserve"> South Africa</v>
      </c>
      <c r="W109" s="1" t="str">
        <f t="shared" si="21"/>
        <v>Hamilton</v>
      </c>
      <c r="X109" s="1" t="str">
        <f t="shared" si="22"/>
        <v>Yes</v>
      </c>
      <c r="Y109" s="1"/>
    </row>
    <row r="110" spans="1:25" ht="14.25" customHeight="1">
      <c r="A110" s="1"/>
      <c r="B110" s="1">
        <v>93</v>
      </c>
      <c r="C110" s="1" t="s">
        <v>419</v>
      </c>
      <c r="D110" s="1" t="s">
        <v>359</v>
      </c>
      <c r="E110" s="1" t="s">
        <v>144</v>
      </c>
      <c r="F110" s="1" t="s">
        <v>131</v>
      </c>
      <c r="G110" s="1" t="s">
        <v>1006</v>
      </c>
      <c r="H110" s="1" t="s">
        <v>24</v>
      </c>
      <c r="I110" s="1" t="s">
        <v>151</v>
      </c>
      <c r="J110" s="1" t="s">
        <v>158</v>
      </c>
      <c r="K110" s="1" t="s">
        <v>953</v>
      </c>
      <c r="L110" s="1"/>
      <c r="M110" s="1"/>
      <c r="N110" s="1" t="str">
        <f t="shared" si="15"/>
        <v>No</v>
      </c>
      <c r="O110" s="1">
        <f t="shared" si="16"/>
        <v>4</v>
      </c>
      <c r="P110" s="1">
        <f t="shared" si="17"/>
        <v>40</v>
      </c>
      <c r="Q110" s="1">
        <f t="shared" si="17"/>
        <v>7</v>
      </c>
      <c r="R110" s="1">
        <f t="shared" si="23"/>
        <v>0</v>
      </c>
      <c r="S110" s="34">
        <f t="shared" si="23"/>
        <v>117.5</v>
      </c>
      <c r="T110" s="1" t="str">
        <f t="shared" si="18"/>
        <v>caught</v>
      </c>
      <c r="U110" s="1" t="str">
        <f t="shared" si="19"/>
        <v>2</v>
      </c>
      <c r="V110" s="1" t="str">
        <f t="shared" si="20"/>
        <v xml:space="preserve"> Australia</v>
      </c>
      <c r="W110" s="1" t="str">
        <f t="shared" si="21"/>
        <v>Dunedin</v>
      </c>
      <c r="X110" s="1" t="str">
        <f t="shared" si="22"/>
        <v>Yes</v>
      </c>
      <c r="Y110" s="1"/>
    </row>
    <row r="111" spans="1:25" ht="14.25" customHeight="1">
      <c r="A111" s="1"/>
      <c r="B111" s="1">
        <v>94</v>
      </c>
      <c r="C111" s="1" t="s">
        <v>355</v>
      </c>
      <c r="D111" s="1" t="s">
        <v>164</v>
      </c>
      <c r="E111" s="1" t="s">
        <v>161</v>
      </c>
      <c r="F111" s="1" t="s">
        <v>130</v>
      </c>
      <c r="G111" s="1" t="s">
        <v>233</v>
      </c>
      <c r="H111" s="1" t="s">
        <v>29</v>
      </c>
      <c r="I111" s="1" t="s">
        <v>151</v>
      </c>
      <c r="J111" s="1" t="s">
        <v>182</v>
      </c>
      <c r="K111" s="1" t="s">
        <v>955</v>
      </c>
      <c r="L111" s="1"/>
      <c r="M111" s="1"/>
      <c r="N111" s="1" t="str">
        <f t="shared" si="15"/>
        <v>No</v>
      </c>
      <c r="O111" s="1">
        <f t="shared" si="16"/>
        <v>112</v>
      </c>
      <c r="P111" s="1">
        <f t="shared" si="17"/>
        <v>30</v>
      </c>
      <c r="Q111" s="1">
        <f t="shared" si="17"/>
        <v>9</v>
      </c>
      <c r="R111" s="1">
        <f t="shared" si="23"/>
        <v>1</v>
      </c>
      <c r="S111" s="34">
        <f t="shared" si="23"/>
        <v>160</v>
      </c>
      <c r="T111" s="1" t="str">
        <f t="shared" si="18"/>
        <v>bowled</v>
      </c>
      <c r="U111" s="1" t="str">
        <f t="shared" si="19"/>
        <v>2</v>
      </c>
      <c r="V111" s="1" t="str">
        <f t="shared" si="20"/>
        <v xml:space="preserve"> Bangladesh</v>
      </c>
      <c r="W111" s="1" t="str">
        <f t="shared" si="21"/>
        <v>Sharjah</v>
      </c>
      <c r="X111" s="1" t="str">
        <f t="shared" si="22"/>
        <v>Yes</v>
      </c>
      <c r="Y111" s="1"/>
    </row>
    <row r="112" spans="1:25" ht="14.25" customHeight="1">
      <c r="A112" s="1"/>
      <c r="B112" s="1">
        <v>95</v>
      </c>
      <c r="C112" s="1" t="s">
        <v>140</v>
      </c>
      <c r="D112" s="1" t="s">
        <v>161</v>
      </c>
      <c r="E112" s="1" t="s">
        <v>130</v>
      </c>
      <c r="F112" s="1" t="s">
        <v>131</v>
      </c>
      <c r="G112" s="1" t="s">
        <v>259</v>
      </c>
      <c r="H112" s="1" t="s">
        <v>24</v>
      </c>
      <c r="I112" s="1" t="s">
        <v>151</v>
      </c>
      <c r="J112" s="1" t="s">
        <v>156</v>
      </c>
      <c r="K112" s="1" t="s">
        <v>955</v>
      </c>
      <c r="L112" s="1"/>
      <c r="M112" s="1"/>
      <c r="N112" s="1" t="str">
        <f t="shared" si="15"/>
        <v>No</v>
      </c>
      <c r="O112" s="1">
        <f t="shared" si="16"/>
        <v>41</v>
      </c>
      <c r="P112" s="1">
        <f t="shared" si="17"/>
        <v>9</v>
      </c>
      <c r="Q112" s="1">
        <f t="shared" si="17"/>
        <v>1</v>
      </c>
      <c r="R112" s="1">
        <f t="shared" si="23"/>
        <v>0</v>
      </c>
      <c r="S112" s="34">
        <f t="shared" si="23"/>
        <v>44.44</v>
      </c>
      <c r="T112" s="1" t="str">
        <f t="shared" si="18"/>
        <v>caught</v>
      </c>
      <c r="U112" s="1" t="str">
        <f t="shared" si="19"/>
        <v>2</v>
      </c>
      <c r="V112" s="1" t="str">
        <f t="shared" si="20"/>
        <v xml:space="preserve"> Pakistan</v>
      </c>
      <c r="W112" s="1" t="str">
        <f t="shared" si="21"/>
        <v>Sharjah</v>
      </c>
      <c r="X112" s="1" t="str">
        <f t="shared" si="22"/>
        <v>Yes</v>
      </c>
      <c r="Y112" s="1"/>
    </row>
    <row r="113" spans="1:25" ht="14.25" customHeight="1">
      <c r="A113" s="1"/>
      <c r="B113" s="1">
        <v>96</v>
      </c>
      <c r="C113" s="1" t="s">
        <v>264</v>
      </c>
      <c r="D113" s="1" t="s">
        <v>174</v>
      </c>
      <c r="E113" s="1" t="s">
        <v>283</v>
      </c>
      <c r="F113" s="1" t="s">
        <v>130</v>
      </c>
      <c r="G113" s="1" t="s">
        <v>1007</v>
      </c>
      <c r="H113" s="1" t="s">
        <v>32</v>
      </c>
      <c r="I113" s="1" t="s">
        <v>151</v>
      </c>
      <c r="J113" s="1" t="s">
        <v>133</v>
      </c>
      <c r="K113" s="1" t="s">
        <v>955</v>
      </c>
      <c r="L113" s="1"/>
      <c r="M113" s="1"/>
      <c r="N113" s="1" t="str">
        <f t="shared" si="15"/>
        <v>No</v>
      </c>
      <c r="O113" s="1">
        <f t="shared" si="16"/>
        <v>30</v>
      </c>
      <c r="P113" s="1">
        <f t="shared" si="17"/>
        <v>107</v>
      </c>
      <c r="Q113" s="1">
        <f t="shared" si="17"/>
        <v>15</v>
      </c>
      <c r="R113" s="1">
        <f t="shared" si="23"/>
        <v>1</v>
      </c>
      <c r="S113" s="34">
        <f t="shared" si="23"/>
        <v>104.67</v>
      </c>
      <c r="T113" s="1" t="str">
        <f t="shared" si="18"/>
        <v>not out</v>
      </c>
      <c r="U113" s="1" t="str">
        <f t="shared" si="19"/>
        <v>2</v>
      </c>
      <c r="V113" s="1" t="str">
        <f t="shared" si="20"/>
        <v xml:space="preserve"> Sri Lanka</v>
      </c>
      <c r="W113" s="1" t="str">
        <f t="shared" si="21"/>
        <v>Sharjah</v>
      </c>
      <c r="X113" s="1" t="str">
        <f t="shared" si="22"/>
        <v>No</v>
      </c>
      <c r="Y113" s="1"/>
    </row>
    <row r="114" spans="1:25" ht="14.25" customHeight="1">
      <c r="A114" s="1"/>
      <c r="B114" s="1">
        <v>97</v>
      </c>
      <c r="C114" s="1" t="s">
        <v>165</v>
      </c>
      <c r="D114" s="1" t="s">
        <v>165</v>
      </c>
      <c r="E114" s="1" t="s">
        <v>202</v>
      </c>
      <c r="F114" s="1" t="s">
        <v>131</v>
      </c>
      <c r="G114" s="1" t="s">
        <v>152</v>
      </c>
      <c r="H114" s="1" t="s">
        <v>24</v>
      </c>
      <c r="I114" s="1" t="s">
        <v>151</v>
      </c>
      <c r="J114" s="1" t="s">
        <v>133</v>
      </c>
      <c r="K114" s="1" t="s">
        <v>955</v>
      </c>
      <c r="L114" s="1"/>
      <c r="M114" s="1"/>
      <c r="N114" s="1" t="str">
        <f t="shared" si="15"/>
        <v>No</v>
      </c>
      <c r="O114" s="1">
        <f t="shared" si="16"/>
        <v>39</v>
      </c>
      <c r="P114" s="1">
        <f t="shared" si="17"/>
        <v>41</v>
      </c>
      <c r="Q114" s="1">
        <f t="shared" si="17"/>
        <v>5</v>
      </c>
      <c r="R114" s="1">
        <f t="shared" si="23"/>
        <v>0</v>
      </c>
      <c r="S114" s="34">
        <f t="shared" si="23"/>
        <v>100</v>
      </c>
      <c r="T114" s="1" t="str">
        <f t="shared" si="18"/>
        <v>caught</v>
      </c>
      <c r="U114" s="1" t="str">
        <f t="shared" si="19"/>
        <v>2</v>
      </c>
      <c r="V114" s="1" t="str">
        <f t="shared" si="20"/>
        <v xml:space="preserve"> Sri Lanka</v>
      </c>
      <c r="W114" s="1" t="str">
        <f t="shared" si="21"/>
        <v>Sharjah</v>
      </c>
      <c r="X114" s="1" t="str">
        <f t="shared" si="22"/>
        <v>Yes</v>
      </c>
      <c r="Y114" s="1"/>
    </row>
    <row r="115" spans="1:25" ht="14.25" customHeight="1">
      <c r="A115" s="1"/>
      <c r="B115" s="1">
        <v>98</v>
      </c>
      <c r="C115" s="1" t="s">
        <v>164</v>
      </c>
      <c r="D115" s="1" t="s">
        <v>238</v>
      </c>
      <c r="E115" s="1" t="s">
        <v>202</v>
      </c>
      <c r="F115" s="1" t="s">
        <v>131</v>
      </c>
      <c r="G115" s="1" t="s">
        <v>986</v>
      </c>
      <c r="H115" s="1" t="s">
        <v>24</v>
      </c>
      <c r="I115" s="1" t="s">
        <v>130</v>
      </c>
      <c r="J115" s="1" t="s">
        <v>211</v>
      </c>
      <c r="K115" s="1" t="s">
        <v>535</v>
      </c>
      <c r="L115" s="1"/>
      <c r="M115" s="1"/>
      <c r="N115" s="1" t="str">
        <f t="shared" si="15"/>
        <v>No</v>
      </c>
      <c r="O115" s="1">
        <f t="shared" si="16"/>
        <v>7</v>
      </c>
      <c r="P115" s="1">
        <f t="shared" si="17"/>
        <v>20</v>
      </c>
      <c r="Q115" s="1">
        <f t="shared" si="17"/>
        <v>5</v>
      </c>
      <c r="R115" s="1">
        <f t="shared" si="23"/>
        <v>0</v>
      </c>
      <c r="S115" s="34">
        <f t="shared" si="23"/>
        <v>150</v>
      </c>
      <c r="T115" s="1" t="str">
        <f t="shared" si="18"/>
        <v>caught</v>
      </c>
      <c r="U115" s="1" t="str">
        <f t="shared" si="19"/>
        <v>1</v>
      </c>
      <c r="V115" s="1" t="str">
        <f t="shared" si="20"/>
        <v xml:space="preserve"> New Zealand</v>
      </c>
      <c r="W115" s="1" t="str">
        <f t="shared" si="21"/>
        <v>Jamshedpur</v>
      </c>
      <c r="X115" s="1" t="str">
        <f t="shared" si="22"/>
        <v>Yes</v>
      </c>
      <c r="Y115" s="1"/>
    </row>
    <row r="116" spans="1:25" ht="14.25" customHeight="1">
      <c r="A116" s="1"/>
      <c r="B116" s="1">
        <v>99</v>
      </c>
      <c r="C116" s="1" t="s">
        <v>436</v>
      </c>
      <c r="D116" s="1" t="s">
        <v>356</v>
      </c>
      <c r="E116" s="1" t="s">
        <v>140</v>
      </c>
      <c r="F116" s="1" t="s">
        <v>131</v>
      </c>
      <c r="G116" s="1" t="s">
        <v>777</v>
      </c>
      <c r="H116" s="1" t="s">
        <v>24</v>
      </c>
      <c r="I116" s="1" t="s">
        <v>151</v>
      </c>
      <c r="J116" s="1" t="s">
        <v>211</v>
      </c>
      <c r="K116" s="1" t="s">
        <v>1008</v>
      </c>
      <c r="L116" s="1"/>
      <c r="M116" s="1"/>
      <c r="N116" s="1" t="str">
        <f t="shared" si="15"/>
        <v>No</v>
      </c>
      <c r="O116" s="1">
        <f t="shared" si="16"/>
        <v>65</v>
      </c>
      <c r="P116" s="1">
        <f t="shared" si="17"/>
        <v>51</v>
      </c>
      <c r="Q116" s="1">
        <f t="shared" si="17"/>
        <v>4</v>
      </c>
      <c r="R116" s="1">
        <f t="shared" si="23"/>
        <v>0</v>
      </c>
      <c r="S116" s="34">
        <f t="shared" si="23"/>
        <v>76.47</v>
      </c>
      <c r="T116" s="1" t="str">
        <f t="shared" si="18"/>
        <v>caught</v>
      </c>
      <c r="U116" s="1" t="str">
        <f t="shared" si="19"/>
        <v>2</v>
      </c>
      <c r="V116" s="1" t="str">
        <f t="shared" si="20"/>
        <v xml:space="preserve"> New Zealand</v>
      </c>
      <c r="W116" s="1" t="str">
        <f t="shared" si="21"/>
        <v>Amritsar</v>
      </c>
      <c r="X116" s="1" t="str">
        <f t="shared" si="22"/>
        <v>Yes</v>
      </c>
      <c r="Y116" s="1"/>
    </row>
    <row r="117" spans="1:25" ht="14.25" customHeight="1">
      <c r="A117" s="1"/>
      <c r="B117" s="1">
        <v>100</v>
      </c>
      <c r="C117" s="1" t="s">
        <v>144</v>
      </c>
      <c r="D117" s="1" t="s">
        <v>176</v>
      </c>
      <c r="E117" s="1" t="s">
        <v>130</v>
      </c>
      <c r="F117" s="1" t="s">
        <v>131</v>
      </c>
      <c r="G117" s="1" t="s">
        <v>545</v>
      </c>
      <c r="H117" s="1" t="s">
        <v>24</v>
      </c>
      <c r="I117" s="1" t="s">
        <v>151</v>
      </c>
      <c r="J117" s="1" t="s">
        <v>211</v>
      </c>
      <c r="K117" s="1" t="s">
        <v>100</v>
      </c>
      <c r="L117" s="1"/>
      <c r="M117" s="1"/>
      <c r="N117" s="1" t="str">
        <f t="shared" si="15"/>
        <v>No</v>
      </c>
      <c r="O117" s="1">
        <f t="shared" si="16"/>
        <v>1</v>
      </c>
      <c r="P117" s="1">
        <f t="shared" si="17"/>
        <v>11</v>
      </c>
      <c r="Q117" s="1">
        <f t="shared" si="17"/>
        <v>1</v>
      </c>
      <c r="R117" s="1">
        <f t="shared" si="23"/>
        <v>0</v>
      </c>
      <c r="S117" s="34">
        <f t="shared" si="23"/>
        <v>63.63</v>
      </c>
      <c r="T117" s="1" t="str">
        <f t="shared" si="18"/>
        <v>caught</v>
      </c>
      <c r="U117" s="1" t="str">
        <f t="shared" si="19"/>
        <v>2</v>
      </c>
      <c r="V117" s="1" t="str">
        <f t="shared" si="20"/>
        <v xml:space="preserve"> New Zealand</v>
      </c>
      <c r="W117" s="1" t="str">
        <f t="shared" si="21"/>
        <v>Pune</v>
      </c>
      <c r="X117" s="1" t="str">
        <f t="shared" si="22"/>
        <v>Yes</v>
      </c>
      <c r="Y117" s="1"/>
    </row>
    <row r="118" spans="1:25" ht="14.25" customHeight="1">
      <c r="A118" s="1"/>
      <c r="B118" s="1">
        <v>101</v>
      </c>
      <c r="C118" s="1" t="s">
        <v>172</v>
      </c>
      <c r="D118" s="1" t="s">
        <v>241</v>
      </c>
      <c r="E118" s="1" t="s">
        <v>161</v>
      </c>
      <c r="F118" s="1" t="s">
        <v>130</v>
      </c>
      <c r="G118" s="1" t="s">
        <v>1009</v>
      </c>
      <c r="H118" s="1" t="s">
        <v>26</v>
      </c>
      <c r="I118" s="1" t="s">
        <v>151</v>
      </c>
      <c r="J118" s="1" t="s">
        <v>211</v>
      </c>
      <c r="K118" s="1" t="s">
        <v>50</v>
      </c>
      <c r="L118" s="1"/>
      <c r="M118" s="1"/>
      <c r="N118" s="1" t="str">
        <f t="shared" si="15"/>
        <v>No</v>
      </c>
      <c r="O118" s="1">
        <f t="shared" si="16"/>
        <v>127</v>
      </c>
      <c r="P118" s="1">
        <f t="shared" si="17"/>
        <v>59</v>
      </c>
      <c r="Q118" s="1">
        <f t="shared" si="17"/>
        <v>9</v>
      </c>
      <c r="R118" s="1">
        <f t="shared" si="23"/>
        <v>1</v>
      </c>
      <c r="S118" s="34">
        <f t="shared" si="23"/>
        <v>110.16</v>
      </c>
      <c r="T118" s="1" t="str">
        <f t="shared" si="18"/>
        <v>run out</v>
      </c>
      <c r="U118" s="1" t="str">
        <f t="shared" si="19"/>
        <v>2</v>
      </c>
      <c r="V118" s="1" t="str">
        <f t="shared" si="20"/>
        <v xml:space="preserve"> New Zealand</v>
      </c>
      <c r="W118" s="1" t="str">
        <f t="shared" si="21"/>
        <v>Nagpur</v>
      </c>
      <c r="X118" s="1" t="str">
        <f t="shared" si="22"/>
        <v>Yes</v>
      </c>
      <c r="Y118" s="1"/>
    </row>
    <row r="119" spans="1:25" ht="14.25" customHeight="1">
      <c r="A119" s="1"/>
      <c r="B119" s="1">
        <v>102</v>
      </c>
      <c r="C119" s="1" t="s">
        <v>130</v>
      </c>
      <c r="D119" s="1" t="s">
        <v>140</v>
      </c>
      <c r="E119" s="1" t="s">
        <v>131</v>
      </c>
      <c r="F119" s="1" t="s">
        <v>131</v>
      </c>
      <c r="G119" s="1" t="s">
        <v>190</v>
      </c>
      <c r="H119" s="1" t="s">
        <v>29</v>
      </c>
      <c r="I119" s="1" t="s">
        <v>151</v>
      </c>
      <c r="J119" s="1" t="s">
        <v>211</v>
      </c>
      <c r="K119" s="1" t="s">
        <v>112</v>
      </c>
      <c r="L119" s="1"/>
      <c r="M119" s="1"/>
      <c r="N119" s="1" t="str">
        <f t="shared" si="15"/>
        <v>No</v>
      </c>
      <c r="O119" s="1">
        <f t="shared" si="16"/>
        <v>70</v>
      </c>
      <c r="P119" s="1">
        <f t="shared" si="17"/>
        <v>4</v>
      </c>
      <c r="Q119" s="1">
        <f t="shared" si="17"/>
        <v>0</v>
      </c>
      <c r="R119" s="1">
        <f t="shared" si="23"/>
        <v>0</v>
      </c>
      <c r="S119" s="34">
        <f t="shared" si="23"/>
        <v>25</v>
      </c>
      <c r="T119" s="1" t="str">
        <f t="shared" si="18"/>
        <v>bowled</v>
      </c>
      <c r="U119" s="1" t="str">
        <f t="shared" si="19"/>
        <v>2</v>
      </c>
      <c r="V119" s="1" t="str">
        <f t="shared" si="20"/>
        <v xml:space="preserve"> New Zealand</v>
      </c>
      <c r="W119" s="1" t="str">
        <f t="shared" si="21"/>
        <v>Brabourne</v>
      </c>
      <c r="X119" s="1" t="str">
        <f t="shared" si="22"/>
        <v>Yes</v>
      </c>
      <c r="Y119" s="1"/>
    </row>
    <row r="120" spans="1:25" ht="14.25" customHeight="1">
      <c r="A120" s="1"/>
      <c r="B120" s="1">
        <v>103</v>
      </c>
      <c r="C120" s="1" t="s">
        <v>1010</v>
      </c>
      <c r="D120" s="1" t="s">
        <v>392</v>
      </c>
      <c r="E120" s="1" t="s">
        <v>283</v>
      </c>
      <c r="F120" s="1" t="s">
        <v>130</v>
      </c>
      <c r="G120" s="1" t="s">
        <v>1011</v>
      </c>
      <c r="H120" s="1" t="s">
        <v>32</v>
      </c>
      <c r="I120" s="1" t="s">
        <v>151</v>
      </c>
      <c r="J120" s="1" t="s">
        <v>1012</v>
      </c>
      <c r="K120" s="1" t="s">
        <v>86</v>
      </c>
      <c r="L120" s="1"/>
      <c r="M120" s="1"/>
      <c r="N120" s="1" t="str">
        <f t="shared" si="15"/>
        <v>No</v>
      </c>
      <c r="O120" s="1">
        <f t="shared" si="16"/>
        <v>90</v>
      </c>
      <c r="P120" s="1">
        <f t="shared" si="17"/>
        <v>138</v>
      </c>
      <c r="Q120" s="1">
        <f t="shared" si="17"/>
        <v>15</v>
      </c>
      <c r="R120" s="1">
        <f t="shared" si="23"/>
        <v>1</v>
      </c>
      <c r="S120" s="34">
        <f t="shared" si="23"/>
        <v>92.02</v>
      </c>
      <c r="T120" s="1" t="str">
        <f t="shared" si="18"/>
        <v>not out</v>
      </c>
      <c r="U120" s="1" t="str">
        <f t="shared" si="19"/>
        <v>2</v>
      </c>
      <c r="V120" s="1" t="str">
        <f t="shared" si="20"/>
        <v xml:space="preserve"> Kenya</v>
      </c>
      <c r="W120" s="1" t="str">
        <f t="shared" si="21"/>
        <v>Cuttack</v>
      </c>
      <c r="X120" s="1" t="str">
        <f t="shared" si="22"/>
        <v>No</v>
      </c>
      <c r="Y120" s="1"/>
    </row>
    <row r="121" spans="1:25" ht="14.25" customHeight="1">
      <c r="A121" s="1"/>
      <c r="B121" s="1">
        <v>104</v>
      </c>
      <c r="C121" s="1" t="s">
        <v>222</v>
      </c>
      <c r="D121" s="1" t="s">
        <v>179</v>
      </c>
      <c r="E121" s="1" t="s">
        <v>189</v>
      </c>
      <c r="F121" s="1" t="s">
        <v>131</v>
      </c>
      <c r="G121" s="1" t="s">
        <v>575</v>
      </c>
      <c r="H121" s="1" t="s">
        <v>26</v>
      </c>
      <c r="I121" s="1" t="s">
        <v>151</v>
      </c>
      <c r="J121" s="1" t="s">
        <v>163</v>
      </c>
      <c r="K121" s="1" t="s">
        <v>58</v>
      </c>
      <c r="L121" s="1"/>
      <c r="M121" s="1"/>
      <c r="N121" s="1" t="str">
        <f t="shared" si="15"/>
        <v>No</v>
      </c>
      <c r="O121" s="1">
        <f t="shared" si="16"/>
        <v>137</v>
      </c>
      <c r="P121" s="1">
        <f t="shared" si="17"/>
        <v>91</v>
      </c>
      <c r="Q121" s="1">
        <f t="shared" si="17"/>
        <v>8</v>
      </c>
      <c r="R121" s="1">
        <f t="shared" si="23"/>
        <v>0</v>
      </c>
      <c r="S121" s="34">
        <f t="shared" si="23"/>
        <v>76.92</v>
      </c>
      <c r="T121" s="1" t="str">
        <f t="shared" si="18"/>
        <v>run out</v>
      </c>
      <c r="U121" s="1" t="str">
        <f t="shared" si="19"/>
        <v>2</v>
      </c>
      <c r="V121" s="1" t="str">
        <f t="shared" si="20"/>
        <v xml:space="preserve"> West Indies</v>
      </c>
      <c r="W121" s="1" t="str">
        <f t="shared" si="21"/>
        <v>Gwalior</v>
      </c>
      <c r="X121" s="1" t="str">
        <f t="shared" si="22"/>
        <v>Yes</v>
      </c>
      <c r="Y121" s="1"/>
    </row>
    <row r="122" spans="1:25" ht="14.25" customHeight="1">
      <c r="A122" s="1"/>
      <c r="B122" s="1">
        <v>105</v>
      </c>
      <c r="C122" s="1" t="s">
        <v>835</v>
      </c>
      <c r="D122" s="1" t="s">
        <v>340</v>
      </c>
      <c r="E122" s="1" t="s">
        <v>205</v>
      </c>
      <c r="F122" s="1" t="s">
        <v>130</v>
      </c>
      <c r="G122" s="1" t="s">
        <v>1013</v>
      </c>
      <c r="H122" s="1" t="s">
        <v>63</v>
      </c>
      <c r="I122" s="1" t="s">
        <v>151</v>
      </c>
      <c r="J122" s="1" t="s">
        <v>158</v>
      </c>
      <c r="K122" s="1" t="s">
        <v>75</v>
      </c>
      <c r="L122" s="1"/>
      <c r="M122" s="1"/>
      <c r="N122" s="1" t="str">
        <f t="shared" si="15"/>
        <v>No</v>
      </c>
      <c r="O122" s="1">
        <f t="shared" si="16"/>
        <v>3</v>
      </c>
      <c r="P122" s="1">
        <f t="shared" si="17"/>
        <v>84</v>
      </c>
      <c r="Q122" s="1">
        <f t="shared" si="17"/>
        <v>14</v>
      </c>
      <c r="R122" s="1">
        <f t="shared" si="23"/>
        <v>1</v>
      </c>
      <c r="S122" s="34">
        <f t="shared" si="23"/>
        <v>107.14</v>
      </c>
      <c r="T122" s="1" t="str">
        <f t="shared" si="18"/>
        <v>stumped</v>
      </c>
      <c r="U122" s="1" t="str">
        <f t="shared" si="19"/>
        <v>2</v>
      </c>
      <c r="V122" s="1" t="str">
        <f t="shared" si="20"/>
        <v xml:space="preserve"> Australia</v>
      </c>
      <c r="W122" s="1" t="str">
        <f t="shared" si="21"/>
        <v>Wankhede</v>
      </c>
      <c r="X122" s="1" t="str">
        <f t="shared" si="22"/>
        <v>Yes</v>
      </c>
      <c r="Y122" s="1"/>
    </row>
    <row r="123" spans="1:25" ht="14.25" customHeight="1">
      <c r="A123" s="1"/>
      <c r="B123" s="1">
        <v>106</v>
      </c>
      <c r="C123" s="1" t="s">
        <v>861</v>
      </c>
      <c r="D123" s="1" t="s">
        <v>861</v>
      </c>
      <c r="E123" s="1" t="s">
        <v>189</v>
      </c>
      <c r="F123" s="1" t="s">
        <v>202</v>
      </c>
      <c r="G123" s="1" t="s">
        <v>152</v>
      </c>
      <c r="H123" s="1" t="s">
        <v>26</v>
      </c>
      <c r="I123" s="1" t="s">
        <v>130</v>
      </c>
      <c r="J123" s="1" t="s">
        <v>133</v>
      </c>
      <c r="K123" s="1" t="s">
        <v>52</v>
      </c>
      <c r="L123" s="1"/>
      <c r="M123" s="1"/>
      <c r="N123" s="1" t="str">
        <f t="shared" si="15"/>
        <v>No</v>
      </c>
      <c r="O123" s="1">
        <f t="shared" si="16"/>
        <v>31</v>
      </c>
      <c r="P123" s="1">
        <f t="shared" si="17"/>
        <v>137</v>
      </c>
      <c r="Q123" s="1">
        <f t="shared" si="17"/>
        <v>8</v>
      </c>
      <c r="R123" s="1">
        <f t="shared" si="23"/>
        <v>5</v>
      </c>
      <c r="S123" s="34">
        <f t="shared" si="23"/>
        <v>100</v>
      </c>
      <c r="T123" s="1" t="str">
        <f t="shared" si="18"/>
        <v>run out</v>
      </c>
      <c r="U123" s="1" t="str">
        <f t="shared" si="19"/>
        <v>1</v>
      </c>
      <c r="V123" s="1" t="str">
        <f t="shared" si="20"/>
        <v xml:space="preserve"> Sri Lanka</v>
      </c>
      <c r="W123" s="1" t="str">
        <f t="shared" si="21"/>
        <v>Delhi</v>
      </c>
      <c r="X123" s="1" t="str">
        <f t="shared" si="22"/>
        <v>Yes</v>
      </c>
      <c r="Y123" s="1"/>
    </row>
    <row r="124" spans="1:25" ht="14.25" customHeight="1">
      <c r="A124" s="1"/>
      <c r="B124" s="1">
        <v>107</v>
      </c>
      <c r="C124" s="1" t="s">
        <v>148</v>
      </c>
      <c r="D124" s="1" t="s">
        <v>128</v>
      </c>
      <c r="E124" s="1" t="s">
        <v>131</v>
      </c>
      <c r="F124" s="1" t="s">
        <v>131</v>
      </c>
      <c r="G124" s="1" t="s">
        <v>190</v>
      </c>
      <c r="H124" s="1" t="s">
        <v>29</v>
      </c>
      <c r="I124" s="1" t="s">
        <v>130</v>
      </c>
      <c r="J124" s="1" t="s">
        <v>195</v>
      </c>
      <c r="K124" s="1" t="s">
        <v>101</v>
      </c>
      <c r="L124" s="1"/>
      <c r="M124" s="1"/>
      <c r="N124" s="1" t="str">
        <f t="shared" si="15"/>
        <v>No</v>
      </c>
      <c r="O124" s="1">
        <f t="shared" si="16"/>
        <v>65</v>
      </c>
      <c r="P124" s="1">
        <f t="shared" si="17"/>
        <v>12</v>
      </c>
      <c r="Q124" s="1">
        <f t="shared" si="17"/>
        <v>0</v>
      </c>
      <c r="R124" s="1">
        <f t="shared" si="23"/>
        <v>0</v>
      </c>
      <c r="S124" s="34">
        <f t="shared" si="23"/>
        <v>25</v>
      </c>
      <c r="T124" s="1" t="str">
        <f t="shared" si="18"/>
        <v>bowled</v>
      </c>
      <c r="U124" s="1" t="str">
        <f t="shared" si="19"/>
        <v>1</v>
      </c>
      <c r="V124" s="1" t="str">
        <f t="shared" si="20"/>
        <v xml:space="preserve"> Zimbabwe</v>
      </c>
      <c r="W124" s="1" t="str">
        <f t="shared" si="21"/>
        <v>Kanpur</v>
      </c>
      <c r="X124" s="1" t="str">
        <f t="shared" si="22"/>
        <v>Yes</v>
      </c>
      <c r="Y124" s="1"/>
    </row>
    <row r="125" spans="1:25" ht="14.25" customHeight="1">
      <c r="A125" s="1"/>
      <c r="B125" s="1">
        <v>108</v>
      </c>
      <c r="C125" s="1" t="s">
        <v>146</v>
      </c>
      <c r="D125" s="1" t="s">
        <v>241</v>
      </c>
      <c r="E125" s="1" t="s">
        <v>148</v>
      </c>
      <c r="F125" s="1" t="s">
        <v>131</v>
      </c>
      <c r="G125" s="1" t="s">
        <v>1014</v>
      </c>
      <c r="H125" s="1" t="s">
        <v>29</v>
      </c>
      <c r="I125" s="1" t="s">
        <v>130</v>
      </c>
      <c r="J125" s="1" t="s">
        <v>156</v>
      </c>
      <c r="K125" s="1" t="s">
        <v>67</v>
      </c>
      <c r="L125" s="1"/>
      <c r="M125" s="1"/>
      <c r="N125" s="1" t="str">
        <f t="shared" si="15"/>
        <v>No</v>
      </c>
      <c r="O125" s="1">
        <f t="shared" si="16"/>
        <v>28</v>
      </c>
      <c r="P125" s="1">
        <f t="shared" si="17"/>
        <v>59</v>
      </c>
      <c r="Q125" s="1">
        <f t="shared" si="17"/>
        <v>3</v>
      </c>
      <c r="R125" s="1">
        <f t="shared" si="23"/>
        <v>0</v>
      </c>
      <c r="S125" s="34">
        <f t="shared" si="23"/>
        <v>52.54</v>
      </c>
      <c r="T125" s="1" t="str">
        <f t="shared" si="18"/>
        <v>bowled</v>
      </c>
      <c r="U125" s="1" t="str">
        <f t="shared" si="19"/>
        <v>1</v>
      </c>
      <c r="V125" s="1" t="str">
        <f t="shared" si="20"/>
        <v xml:space="preserve"> Pakistan</v>
      </c>
      <c r="W125" s="1" t="str">
        <f t="shared" si="21"/>
        <v>Bengaluru</v>
      </c>
      <c r="X125" s="1" t="str">
        <f t="shared" si="22"/>
        <v>Yes</v>
      </c>
      <c r="Y125" s="1"/>
    </row>
    <row r="126" spans="1:25" ht="14.25" customHeight="1">
      <c r="A126" s="1"/>
      <c r="B126" s="1">
        <v>109</v>
      </c>
      <c r="C126" s="1" t="s">
        <v>172</v>
      </c>
      <c r="D126" s="1" t="s">
        <v>332</v>
      </c>
      <c r="E126" s="1" t="s">
        <v>161</v>
      </c>
      <c r="F126" s="1" t="s">
        <v>131</v>
      </c>
      <c r="G126" s="1" t="s">
        <v>1015</v>
      </c>
      <c r="H126" s="1" t="s">
        <v>63</v>
      </c>
      <c r="I126" s="1" t="s">
        <v>151</v>
      </c>
      <c r="J126" s="1" t="s">
        <v>133</v>
      </c>
      <c r="K126" s="1" t="s">
        <v>51</v>
      </c>
      <c r="L126" s="1"/>
      <c r="M126" s="1"/>
      <c r="N126" s="1" t="str">
        <f t="shared" si="15"/>
        <v>No</v>
      </c>
      <c r="O126" s="1">
        <f t="shared" si="16"/>
        <v>100</v>
      </c>
      <c r="P126" s="1">
        <f t="shared" si="17"/>
        <v>88</v>
      </c>
      <c r="Q126" s="1">
        <f t="shared" si="17"/>
        <v>9</v>
      </c>
      <c r="R126" s="1">
        <f t="shared" si="23"/>
        <v>0</v>
      </c>
      <c r="S126" s="34">
        <f t="shared" si="23"/>
        <v>73.86</v>
      </c>
      <c r="T126" s="1" t="str">
        <f t="shared" si="18"/>
        <v>stumped</v>
      </c>
      <c r="U126" s="1" t="str">
        <f t="shared" si="19"/>
        <v>2</v>
      </c>
      <c r="V126" s="1" t="str">
        <f t="shared" si="20"/>
        <v xml:space="preserve"> Sri Lanka</v>
      </c>
      <c r="W126" s="1" t="str">
        <f t="shared" si="21"/>
        <v>Eden Gardens</v>
      </c>
      <c r="X126" s="1" t="str">
        <f t="shared" si="22"/>
        <v>Yes</v>
      </c>
      <c r="Y126" s="1"/>
    </row>
    <row r="127" spans="1:25" ht="14.25" customHeight="1">
      <c r="A127" s="1"/>
      <c r="B127" s="1">
        <v>110</v>
      </c>
      <c r="C127" s="1" t="s">
        <v>207</v>
      </c>
      <c r="D127" s="1" t="s">
        <v>146</v>
      </c>
      <c r="E127" s="1" t="s">
        <v>148</v>
      </c>
      <c r="F127" s="1" t="s">
        <v>130</v>
      </c>
      <c r="G127" s="1" t="s">
        <v>667</v>
      </c>
      <c r="H127" s="1" t="s">
        <v>24</v>
      </c>
      <c r="I127" s="1" t="s">
        <v>130</v>
      </c>
      <c r="J127" s="1" t="s">
        <v>133</v>
      </c>
      <c r="K127" s="1" t="s">
        <v>1016</v>
      </c>
      <c r="L127" s="1"/>
      <c r="M127" s="1"/>
      <c r="N127" s="1" t="str">
        <f t="shared" si="15"/>
        <v>No</v>
      </c>
      <c r="O127" s="1">
        <f t="shared" si="16"/>
        <v>1</v>
      </c>
      <c r="P127" s="1">
        <f t="shared" si="17"/>
        <v>31</v>
      </c>
      <c r="Q127" s="1">
        <f t="shared" si="17"/>
        <v>3</v>
      </c>
      <c r="R127" s="1">
        <f t="shared" si="23"/>
        <v>1</v>
      </c>
      <c r="S127" s="34">
        <f t="shared" si="23"/>
        <v>90.32</v>
      </c>
      <c r="T127" s="1" t="str">
        <f t="shared" si="18"/>
        <v>caught</v>
      </c>
      <c r="U127" s="1" t="str">
        <f t="shared" si="19"/>
        <v>1</v>
      </c>
      <c r="V127" s="1" t="str">
        <f t="shared" si="20"/>
        <v xml:space="preserve"> Sri Lanka</v>
      </c>
      <c r="W127" s="1" t="str">
        <f t="shared" si="21"/>
        <v>Singapore</v>
      </c>
      <c r="X127" s="1" t="str">
        <f t="shared" si="22"/>
        <v>Yes</v>
      </c>
      <c r="Y127" s="1"/>
    </row>
    <row r="128" spans="1:25" ht="14.25" customHeight="1">
      <c r="A128" s="1"/>
      <c r="B128" s="1">
        <v>111</v>
      </c>
      <c r="C128" s="1" t="s">
        <v>342</v>
      </c>
      <c r="D128" s="1" t="s">
        <v>346</v>
      </c>
      <c r="E128" s="1" t="s">
        <v>161</v>
      </c>
      <c r="F128" s="1" t="s">
        <v>130</v>
      </c>
      <c r="G128" s="1" t="s">
        <v>526</v>
      </c>
      <c r="H128" s="1" t="s">
        <v>63</v>
      </c>
      <c r="I128" s="1" t="s">
        <v>130</v>
      </c>
      <c r="J128" s="1" t="s">
        <v>156</v>
      </c>
      <c r="K128" s="1" t="s">
        <v>1016</v>
      </c>
      <c r="L128" s="1"/>
      <c r="M128" s="1"/>
      <c r="N128" s="1" t="str">
        <f t="shared" si="15"/>
        <v>No</v>
      </c>
      <c r="O128" s="1">
        <f t="shared" si="16"/>
        <v>2</v>
      </c>
      <c r="P128" s="1">
        <f t="shared" si="17"/>
        <v>111</v>
      </c>
      <c r="Q128" s="1">
        <f t="shared" si="17"/>
        <v>9</v>
      </c>
      <c r="R128" s="1">
        <f t="shared" si="23"/>
        <v>1</v>
      </c>
      <c r="S128" s="34">
        <f t="shared" si="23"/>
        <v>90.09</v>
      </c>
      <c r="T128" s="1" t="str">
        <f t="shared" si="18"/>
        <v>stumped</v>
      </c>
      <c r="U128" s="1" t="str">
        <f t="shared" si="19"/>
        <v>1</v>
      </c>
      <c r="V128" s="1" t="str">
        <f t="shared" si="20"/>
        <v xml:space="preserve"> Pakistan</v>
      </c>
      <c r="W128" s="1" t="str">
        <f t="shared" si="21"/>
        <v>Singapore</v>
      </c>
      <c r="X128" s="1" t="str">
        <f t="shared" si="22"/>
        <v>Yes</v>
      </c>
      <c r="Y128" s="1"/>
    </row>
    <row r="129" spans="1:25" ht="14.25" customHeight="1">
      <c r="A129" s="1"/>
      <c r="B129" s="1">
        <v>112</v>
      </c>
      <c r="C129" s="1" t="s">
        <v>130</v>
      </c>
      <c r="D129" s="1" t="s">
        <v>202</v>
      </c>
      <c r="E129" s="1" t="s">
        <v>131</v>
      </c>
      <c r="F129" s="1" t="s">
        <v>131</v>
      </c>
      <c r="G129" s="1" t="s">
        <v>299</v>
      </c>
      <c r="H129" s="1" t="s">
        <v>24</v>
      </c>
      <c r="I129" s="1" t="s">
        <v>151</v>
      </c>
      <c r="J129" s="1" t="s">
        <v>156</v>
      </c>
      <c r="K129" s="1" t="s">
        <v>955</v>
      </c>
      <c r="L129" s="1"/>
      <c r="M129" s="1"/>
      <c r="N129" s="1" t="str">
        <f t="shared" si="15"/>
        <v>No</v>
      </c>
      <c r="O129" s="1">
        <f t="shared" si="16"/>
        <v>118</v>
      </c>
      <c r="P129" s="1">
        <f t="shared" si="17"/>
        <v>5</v>
      </c>
      <c r="Q129" s="1">
        <f t="shared" si="17"/>
        <v>0</v>
      </c>
      <c r="R129" s="1">
        <f t="shared" si="23"/>
        <v>0</v>
      </c>
      <c r="S129" s="34">
        <f t="shared" si="23"/>
        <v>20</v>
      </c>
      <c r="T129" s="1" t="str">
        <f t="shared" si="18"/>
        <v>caught</v>
      </c>
      <c r="U129" s="1" t="str">
        <f t="shared" si="19"/>
        <v>2</v>
      </c>
      <c r="V129" s="1" t="str">
        <f t="shared" si="20"/>
        <v xml:space="preserve"> Pakistan</v>
      </c>
      <c r="W129" s="1" t="str">
        <f t="shared" si="21"/>
        <v>Sharjah</v>
      </c>
      <c r="X129" s="1" t="str">
        <f t="shared" si="22"/>
        <v>Yes</v>
      </c>
      <c r="Y129" s="1"/>
    </row>
    <row r="130" spans="1:25" ht="14.25" customHeight="1">
      <c r="A130" s="1"/>
      <c r="B130" s="1">
        <v>113</v>
      </c>
      <c r="C130" s="1" t="s">
        <v>151</v>
      </c>
      <c r="D130" s="1" t="s">
        <v>283</v>
      </c>
      <c r="E130" s="1" t="s">
        <v>131</v>
      </c>
      <c r="F130" s="1" t="s">
        <v>131</v>
      </c>
      <c r="G130" s="1" t="s">
        <v>1017</v>
      </c>
      <c r="H130" s="1" t="s">
        <v>24</v>
      </c>
      <c r="I130" s="1" t="s">
        <v>151</v>
      </c>
      <c r="J130" s="1" t="s">
        <v>191</v>
      </c>
      <c r="K130" s="1" t="s">
        <v>955</v>
      </c>
      <c r="L130" s="1"/>
      <c r="M130" s="1"/>
      <c r="N130" s="1" t="str">
        <f t="shared" si="15"/>
        <v>No</v>
      </c>
      <c r="O130" s="1">
        <f t="shared" si="16"/>
        <v>17</v>
      </c>
      <c r="P130" s="1">
        <f t="shared" si="17"/>
        <v>15</v>
      </c>
      <c r="Q130" s="1">
        <f t="shared" si="17"/>
        <v>0</v>
      </c>
      <c r="R130" s="1">
        <f t="shared" si="23"/>
        <v>0</v>
      </c>
      <c r="S130" s="34">
        <f t="shared" si="23"/>
        <v>13.33</v>
      </c>
      <c r="T130" s="1" t="str">
        <f t="shared" si="18"/>
        <v>caught</v>
      </c>
      <c r="U130" s="1" t="str">
        <f t="shared" si="19"/>
        <v>2</v>
      </c>
      <c r="V130" s="1" t="str">
        <f t="shared" si="20"/>
        <v xml:space="preserve"> South Africa</v>
      </c>
      <c r="W130" s="1" t="str">
        <f t="shared" si="21"/>
        <v>Sharjah</v>
      </c>
      <c r="X130" s="1" t="str">
        <f t="shared" si="22"/>
        <v>Yes</v>
      </c>
      <c r="Y130" s="1"/>
    </row>
    <row r="131" spans="1:25" ht="14.25" customHeight="1">
      <c r="A131" s="1"/>
      <c r="B131" s="1">
        <v>114</v>
      </c>
      <c r="C131" s="1" t="s">
        <v>213</v>
      </c>
      <c r="D131" s="1" t="s">
        <v>393</v>
      </c>
      <c r="E131" s="1" t="s">
        <v>189</v>
      </c>
      <c r="F131" s="1" t="s">
        <v>151</v>
      </c>
      <c r="G131" s="1" t="s">
        <v>1018</v>
      </c>
      <c r="H131" s="1" t="s">
        <v>24</v>
      </c>
      <c r="I131" s="1" t="s">
        <v>130</v>
      </c>
      <c r="J131" s="1" t="s">
        <v>156</v>
      </c>
      <c r="K131" s="1" t="s">
        <v>955</v>
      </c>
      <c r="L131" s="1"/>
      <c r="M131" s="1"/>
      <c r="N131" s="1" t="str">
        <f t="shared" si="15"/>
        <v>No</v>
      </c>
      <c r="O131" s="1">
        <f t="shared" si="16"/>
        <v>57</v>
      </c>
      <c r="P131" s="1">
        <f t="shared" si="17"/>
        <v>140</v>
      </c>
      <c r="Q131" s="1">
        <f t="shared" si="17"/>
        <v>8</v>
      </c>
      <c r="R131" s="1">
        <f t="shared" si="23"/>
        <v>2</v>
      </c>
      <c r="S131" s="34">
        <f t="shared" si="23"/>
        <v>84.28</v>
      </c>
      <c r="T131" s="1" t="str">
        <f t="shared" si="18"/>
        <v>caught</v>
      </c>
      <c r="U131" s="1" t="str">
        <f t="shared" si="19"/>
        <v>1</v>
      </c>
      <c r="V131" s="1" t="str">
        <f t="shared" si="20"/>
        <v xml:space="preserve"> Pakistan</v>
      </c>
      <c r="W131" s="1" t="str">
        <f t="shared" si="21"/>
        <v>Sharjah</v>
      </c>
      <c r="X131" s="1" t="str">
        <f t="shared" si="22"/>
        <v>Yes</v>
      </c>
      <c r="Y131" s="1"/>
    </row>
    <row r="132" spans="1:25" ht="14.25" customHeight="1">
      <c r="A132" s="1"/>
      <c r="B132" s="1">
        <v>115</v>
      </c>
      <c r="C132" s="1" t="s">
        <v>306</v>
      </c>
      <c r="D132" s="1" t="s">
        <v>313</v>
      </c>
      <c r="E132" s="1" t="s">
        <v>151</v>
      </c>
      <c r="F132" s="1" t="s">
        <v>131</v>
      </c>
      <c r="G132" s="1" t="s">
        <v>1019</v>
      </c>
      <c r="H132" s="1" t="s">
        <v>24</v>
      </c>
      <c r="I132" s="1" t="s">
        <v>130</v>
      </c>
      <c r="J132" s="1" t="s">
        <v>191</v>
      </c>
      <c r="K132" s="1" t="s">
        <v>955</v>
      </c>
      <c r="L132" s="1"/>
      <c r="M132" s="1"/>
      <c r="N132" s="1" t="str">
        <f t="shared" si="15"/>
        <v>No</v>
      </c>
      <c r="O132" s="1">
        <f t="shared" si="16"/>
        <v>30</v>
      </c>
      <c r="P132" s="1">
        <f t="shared" si="17"/>
        <v>26</v>
      </c>
      <c r="Q132" s="1">
        <f t="shared" si="17"/>
        <v>2</v>
      </c>
      <c r="R132" s="1">
        <f t="shared" si="23"/>
        <v>0</v>
      </c>
      <c r="S132" s="34">
        <f t="shared" si="23"/>
        <v>65.38</v>
      </c>
      <c r="T132" s="1" t="str">
        <f t="shared" si="18"/>
        <v>caught</v>
      </c>
      <c r="U132" s="1" t="str">
        <f t="shared" si="19"/>
        <v>1</v>
      </c>
      <c r="V132" s="1" t="str">
        <f t="shared" si="20"/>
        <v xml:space="preserve"> South Africa</v>
      </c>
      <c r="W132" s="1" t="str">
        <f t="shared" si="21"/>
        <v>Sharjah</v>
      </c>
      <c r="X132" s="1" t="str">
        <f t="shared" si="22"/>
        <v>Yes</v>
      </c>
      <c r="Y132" s="1"/>
    </row>
    <row r="133" spans="1:25" ht="14.25" customHeight="1">
      <c r="A133" s="1"/>
      <c r="B133" s="1">
        <v>116</v>
      </c>
      <c r="C133" s="1" t="s">
        <v>192</v>
      </c>
      <c r="D133" s="1" t="s">
        <v>193</v>
      </c>
      <c r="E133" s="1" t="s">
        <v>136</v>
      </c>
      <c r="F133" s="1" t="s">
        <v>131</v>
      </c>
      <c r="G133" s="1" t="s">
        <v>194</v>
      </c>
      <c r="H133" s="1" t="s">
        <v>26</v>
      </c>
      <c r="I133" s="1" t="s">
        <v>151</v>
      </c>
      <c r="J133" s="1" t="s">
        <v>191</v>
      </c>
      <c r="K133" s="1" t="s">
        <v>955</v>
      </c>
      <c r="L133" s="1"/>
      <c r="M133" s="1"/>
      <c r="N133" s="1" t="str">
        <f t="shared" si="15"/>
        <v>No</v>
      </c>
      <c r="O133" s="1">
        <f t="shared" si="16"/>
        <v>6</v>
      </c>
      <c r="P133" s="1">
        <f t="shared" si="17"/>
        <v>71</v>
      </c>
      <c r="Q133" s="1">
        <f t="shared" si="17"/>
        <v>6</v>
      </c>
      <c r="R133" s="1">
        <f t="shared" si="23"/>
        <v>0</v>
      </c>
      <c r="S133" s="34">
        <f t="shared" si="23"/>
        <v>80.28</v>
      </c>
      <c r="T133" s="1" t="str">
        <f t="shared" si="18"/>
        <v>run out</v>
      </c>
      <c r="U133" s="1" t="str">
        <f t="shared" si="19"/>
        <v>2</v>
      </c>
      <c r="V133" s="1" t="str">
        <f t="shared" si="20"/>
        <v xml:space="preserve"> South Africa</v>
      </c>
      <c r="W133" s="1" t="str">
        <f t="shared" si="21"/>
        <v>Sharjah</v>
      </c>
      <c r="X133" s="1" t="str">
        <f t="shared" si="22"/>
        <v>Yes</v>
      </c>
      <c r="Y133" s="1"/>
    </row>
    <row r="134" spans="1:25" ht="14.25" customHeight="1">
      <c r="A134" s="1"/>
      <c r="B134" s="1">
        <v>117</v>
      </c>
      <c r="C134" s="1" t="s">
        <v>164</v>
      </c>
      <c r="D134" s="1" t="s">
        <v>170</v>
      </c>
      <c r="E134" s="1" t="s">
        <v>202</v>
      </c>
      <c r="F134" s="1" t="s">
        <v>130</v>
      </c>
      <c r="G134" s="1" t="s">
        <v>1020</v>
      </c>
      <c r="H134" s="1" t="s">
        <v>19</v>
      </c>
      <c r="I134" s="1" t="s">
        <v>151</v>
      </c>
      <c r="J134" s="1" t="s">
        <v>234</v>
      </c>
      <c r="K134" s="1" t="s">
        <v>81</v>
      </c>
      <c r="L134" s="1"/>
      <c r="M134" s="1"/>
      <c r="N134" s="1" t="str">
        <f t="shared" si="15"/>
        <v>No</v>
      </c>
      <c r="O134" s="1">
        <f t="shared" si="16"/>
        <v>1</v>
      </c>
      <c r="P134" s="1">
        <f t="shared" si="17"/>
        <v>19</v>
      </c>
      <c r="Q134" s="1">
        <f t="shared" si="17"/>
        <v>5</v>
      </c>
      <c r="R134" s="1">
        <f t="shared" si="23"/>
        <v>1</v>
      </c>
      <c r="S134" s="34">
        <f t="shared" si="23"/>
        <v>157.88999999999999</v>
      </c>
      <c r="T134" s="1" t="str">
        <f t="shared" si="18"/>
        <v>lbw</v>
      </c>
      <c r="U134" s="1" t="str">
        <f t="shared" si="19"/>
        <v>2</v>
      </c>
      <c r="V134" s="1" t="str">
        <f t="shared" si="20"/>
        <v xml:space="preserve"> England</v>
      </c>
      <c r="W134" s="1" t="str">
        <f t="shared" si="21"/>
        <v>The Oval</v>
      </c>
      <c r="X134" s="1" t="str">
        <f t="shared" si="22"/>
        <v>Yes</v>
      </c>
      <c r="Y134" s="1"/>
    </row>
    <row r="135" spans="1:25" ht="14.25" customHeight="1">
      <c r="A135" s="1"/>
      <c r="B135" s="1">
        <v>118</v>
      </c>
      <c r="C135" s="1" t="s">
        <v>136</v>
      </c>
      <c r="D135" s="1" t="s">
        <v>170</v>
      </c>
      <c r="E135" s="1" t="s">
        <v>131</v>
      </c>
      <c r="F135" s="1" t="s">
        <v>131</v>
      </c>
      <c r="G135" s="1" t="s">
        <v>596</v>
      </c>
      <c r="H135" s="1" t="s">
        <v>26</v>
      </c>
      <c r="I135" s="1" t="s">
        <v>130</v>
      </c>
      <c r="J135" s="1" t="s">
        <v>234</v>
      </c>
      <c r="K135" s="1" t="s">
        <v>109</v>
      </c>
      <c r="L135" s="1"/>
      <c r="M135" s="1"/>
      <c r="N135" s="1" t="str">
        <f t="shared" si="15"/>
        <v>No</v>
      </c>
      <c r="O135" s="1">
        <f t="shared" si="16"/>
        <v>110</v>
      </c>
      <c r="P135" s="1">
        <f t="shared" si="17"/>
        <v>19</v>
      </c>
      <c r="Q135" s="1">
        <f t="shared" si="17"/>
        <v>0</v>
      </c>
      <c r="R135" s="1">
        <f t="shared" si="23"/>
        <v>0</v>
      </c>
      <c r="S135" s="34">
        <f t="shared" si="23"/>
        <v>31.57</v>
      </c>
      <c r="T135" s="1" t="str">
        <f t="shared" si="18"/>
        <v>run out</v>
      </c>
      <c r="U135" s="1" t="str">
        <f t="shared" si="19"/>
        <v>1</v>
      </c>
      <c r="V135" s="1" t="str">
        <f t="shared" si="20"/>
        <v xml:space="preserve"> England</v>
      </c>
      <c r="W135" s="1" t="str">
        <f t="shared" si="21"/>
        <v>Leeds</v>
      </c>
      <c r="X135" s="1" t="str">
        <f t="shared" si="22"/>
        <v>Yes</v>
      </c>
      <c r="Y135" s="1"/>
    </row>
    <row r="136" spans="1:25" ht="14.25" customHeight="1">
      <c r="A136" s="1"/>
      <c r="B136" s="1">
        <v>119</v>
      </c>
      <c r="C136" s="1" t="s">
        <v>130</v>
      </c>
      <c r="D136" s="1" t="s">
        <v>176</v>
      </c>
      <c r="E136" s="1" t="s">
        <v>131</v>
      </c>
      <c r="F136" s="1" t="s">
        <v>131</v>
      </c>
      <c r="G136" s="1" t="s">
        <v>1021</v>
      </c>
      <c r="H136" s="1" t="s">
        <v>24</v>
      </c>
      <c r="I136" s="1" t="s">
        <v>130</v>
      </c>
      <c r="J136" s="1" t="s">
        <v>234</v>
      </c>
      <c r="K136" s="1" t="s">
        <v>115</v>
      </c>
      <c r="L136" s="1"/>
      <c r="M136" s="1"/>
      <c r="N136" s="1" t="str">
        <f t="shared" si="15"/>
        <v>No</v>
      </c>
      <c r="O136" s="1">
        <f t="shared" si="16"/>
        <v>40</v>
      </c>
      <c r="P136" s="1">
        <f t="shared" si="17"/>
        <v>11</v>
      </c>
      <c r="Q136" s="1">
        <f t="shared" si="17"/>
        <v>0</v>
      </c>
      <c r="R136" s="1">
        <f t="shared" si="23"/>
        <v>0</v>
      </c>
      <c r="S136" s="34">
        <f t="shared" si="23"/>
        <v>9.09</v>
      </c>
      <c r="T136" s="1" t="str">
        <f t="shared" si="18"/>
        <v>caught</v>
      </c>
      <c r="U136" s="1" t="str">
        <f t="shared" si="19"/>
        <v>1</v>
      </c>
      <c r="V136" s="1" t="str">
        <f t="shared" si="20"/>
        <v xml:space="preserve"> England</v>
      </c>
      <c r="W136" s="1" t="str">
        <f t="shared" si="21"/>
        <v>Manchester</v>
      </c>
      <c r="X136" s="1" t="str">
        <f t="shared" si="22"/>
        <v>Yes</v>
      </c>
      <c r="Y136" s="1"/>
    </row>
    <row r="137" spans="1:25" ht="14.25" customHeight="1">
      <c r="A137" s="1"/>
      <c r="B137" s="1">
        <v>120</v>
      </c>
      <c r="C137" s="1" t="s">
        <v>500</v>
      </c>
      <c r="D137" s="1" t="s">
        <v>392</v>
      </c>
      <c r="E137" s="1" t="s">
        <v>202</v>
      </c>
      <c r="F137" s="1" t="s">
        <v>130</v>
      </c>
      <c r="G137" s="1" t="s">
        <v>1022</v>
      </c>
      <c r="H137" s="1" t="s">
        <v>26</v>
      </c>
      <c r="I137" s="1" t="s">
        <v>130</v>
      </c>
      <c r="J137" s="1" t="s">
        <v>133</v>
      </c>
      <c r="K137" s="1" t="s">
        <v>27</v>
      </c>
      <c r="L137" s="1"/>
      <c r="M137" s="1"/>
      <c r="N137" s="1" t="str">
        <f t="shared" si="15"/>
        <v>No</v>
      </c>
      <c r="O137" s="1">
        <f t="shared" si="16"/>
        <v>7</v>
      </c>
      <c r="P137" s="1">
        <f t="shared" si="17"/>
        <v>138</v>
      </c>
      <c r="Q137" s="1">
        <f t="shared" si="17"/>
        <v>5</v>
      </c>
      <c r="R137" s="1">
        <f t="shared" si="23"/>
        <v>1</v>
      </c>
      <c r="S137" s="34">
        <f t="shared" si="23"/>
        <v>79.709999999999994</v>
      </c>
      <c r="T137" s="1" t="str">
        <f t="shared" si="18"/>
        <v>run out</v>
      </c>
      <c r="U137" s="1" t="str">
        <f t="shared" si="19"/>
        <v>1</v>
      </c>
      <c r="V137" s="1" t="str">
        <f t="shared" si="20"/>
        <v xml:space="preserve"> Sri Lanka</v>
      </c>
      <c r="W137" s="1" t="str">
        <f t="shared" si="21"/>
        <v>Colombo (RPS)</v>
      </c>
      <c r="X137" s="1" t="str">
        <f t="shared" si="22"/>
        <v>Yes</v>
      </c>
      <c r="Y137" s="1"/>
    </row>
    <row r="138" spans="1:25" ht="14.25" customHeight="1">
      <c r="A138" s="1"/>
      <c r="B138" s="1">
        <v>121</v>
      </c>
      <c r="C138" s="1" t="s">
        <v>359</v>
      </c>
      <c r="D138" s="1" t="s">
        <v>147</v>
      </c>
      <c r="E138" s="1" t="s">
        <v>189</v>
      </c>
      <c r="F138" s="1" t="s">
        <v>131</v>
      </c>
      <c r="G138" s="1" t="s">
        <v>739</v>
      </c>
      <c r="H138" s="1" t="s">
        <v>24</v>
      </c>
      <c r="I138" s="1" t="s">
        <v>151</v>
      </c>
      <c r="J138" s="1" t="s">
        <v>195</v>
      </c>
      <c r="K138" s="1" t="s">
        <v>584</v>
      </c>
      <c r="L138" s="1"/>
      <c r="M138" s="1"/>
      <c r="N138" s="1" t="str">
        <f t="shared" si="15"/>
        <v>No</v>
      </c>
      <c r="O138" s="1">
        <f t="shared" si="16"/>
        <v>89</v>
      </c>
      <c r="P138" s="1">
        <f t="shared" si="17"/>
        <v>46</v>
      </c>
      <c r="Q138" s="1">
        <f t="shared" si="17"/>
        <v>8</v>
      </c>
      <c r="R138" s="1">
        <f t="shared" si="23"/>
        <v>0</v>
      </c>
      <c r="S138" s="34">
        <f t="shared" si="23"/>
        <v>86.95</v>
      </c>
      <c r="T138" s="1" t="str">
        <f t="shared" si="18"/>
        <v>caught</v>
      </c>
      <c r="U138" s="1" t="str">
        <f t="shared" si="19"/>
        <v>2</v>
      </c>
      <c r="V138" s="1" t="str">
        <f t="shared" si="20"/>
        <v xml:space="preserve"> Zimbabwe</v>
      </c>
      <c r="W138" s="1" t="str">
        <f t="shared" si="21"/>
        <v>Colombo (SSC)</v>
      </c>
      <c r="X138" s="1" t="str">
        <f t="shared" si="22"/>
        <v>Yes</v>
      </c>
      <c r="Y138" s="1"/>
    </row>
    <row r="139" spans="1:25" ht="14.25" customHeight="1">
      <c r="A139" s="1"/>
      <c r="B139" s="1">
        <v>122</v>
      </c>
      <c r="C139" s="1" t="s">
        <v>144</v>
      </c>
      <c r="D139" s="1" t="s">
        <v>176</v>
      </c>
      <c r="E139" s="1" t="s">
        <v>130</v>
      </c>
      <c r="F139" s="1" t="s">
        <v>131</v>
      </c>
      <c r="G139" s="1" t="s">
        <v>545</v>
      </c>
      <c r="H139" s="1" t="s">
        <v>24</v>
      </c>
      <c r="I139" s="1" t="s">
        <v>130</v>
      </c>
      <c r="J139" s="1" t="s">
        <v>158</v>
      </c>
      <c r="K139" s="1" t="s">
        <v>584</v>
      </c>
      <c r="L139" s="1"/>
      <c r="M139" s="1"/>
      <c r="N139" s="1" t="str">
        <f t="shared" si="15"/>
        <v>No</v>
      </c>
      <c r="O139" s="1">
        <f t="shared" si="16"/>
        <v>20</v>
      </c>
      <c r="P139" s="1">
        <f t="shared" si="17"/>
        <v>11</v>
      </c>
      <c r="Q139" s="1">
        <f t="shared" si="17"/>
        <v>1</v>
      </c>
      <c r="R139" s="1">
        <f t="shared" si="23"/>
        <v>0</v>
      </c>
      <c r="S139" s="34">
        <f t="shared" si="23"/>
        <v>63.63</v>
      </c>
      <c r="T139" s="1" t="str">
        <f t="shared" si="18"/>
        <v>caught</v>
      </c>
      <c r="U139" s="1" t="str">
        <f t="shared" si="19"/>
        <v>1</v>
      </c>
      <c r="V139" s="1" t="str">
        <f t="shared" si="20"/>
        <v xml:space="preserve"> Australia</v>
      </c>
      <c r="W139" s="1" t="str">
        <f t="shared" si="21"/>
        <v>Colombo (SSC)</v>
      </c>
      <c r="X139" s="1" t="str">
        <f t="shared" si="22"/>
        <v>Yes</v>
      </c>
      <c r="Y139" s="1"/>
    </row>
    <row r="140" spans="1:25" ht="14.25" customHeight="1">
      <c r="A140" s="1"/>
      <c r="B140" s="1">
        <v>123</v>
      </c>
      <c r="C140" s="1" t="s">
        <v>1023</v>
      </c>
      <c r="D140" s="1" t="s">
        <v>486</v>
      </c>
      <c r="E140" s="1" t="s">
        <v>161</v>
      </c>
      <c r="F140" s="1" t="s">
        <v>148</v>
      </c>
      <c r="G140" s="1" t="s">
        <v>152</v>
      </c>
      <c r="H140" s="1" t="s">
        <v>32</v>
      </c>
      <c r="I140" s="1" t="s">
        <v>151</v>
      </c>
      <c r="J140" s="1" t="s">
        <v>156</v>
      </c>
      <c r="K140" s="1" t="s">
        <v>1024</v>
      </c>
      <c r="L140" s="1"/>
      <c r="M140" s="1"/>
      <c r="N140" s="1" t="str">
        <f t="shared" si="15"/>
        <v>No</v>
      </c>
      <c r="O140" s="1">
        <f t="shared" si="16"/>
        <v>2</v>
      </c>
      <c r="P140" s="1">
        <f t="shared" si="17"/>
        <v>89</v>
      </c>
      <c r="Q140" s="1">
        <f t="shared" si="17"/>
        <v>9</v>
      </c>
      <c r="R140" s="1">
        <f t="shared" si="23"/>
        <v>3</v>
      </c>
      <c r="S140" s="34">
        <f t="shared" si="23"/>
        <v>100</v>
      </c>
      <c r="T140" s="1" t="str">
        <f t="shared" si="18"/>
        <v>not out</v>
      </c>
      <c r="U140" s="1" t="str">
        <f t="shared" si="19"/>
        <v>2</v>
      </c>
      <c r="V140" s="1" t="str">
        <f t="shared" si="20"/>
        <v xml:space="preserve"> Pakistan</v>
      </c>
      <c r="W140" s="1" t="str">
        <f t="shared" si="21"/>
        <v>Toronto</v>
      </c>
      <c r="X140" s="1" t="str">
        <f t="shared" si="22"/>
        <v>No</v>
      </c>
      <c r="Y140" s="1"/>
    </row>
    <row r="141" spans="1:25" ht="14.25" customHeight="1">
      <c r="A141" s="1"/>
      <c r="B141" s="1">
        <v>124</v>
      </c>
      <c r="C141" s="1" t="s">
        <v>238</v>
      </c>
      <c r="D141" s="1" t="s">
        <v>304</v>
      </c>
      <c r="E141" s="1" t="s">
        <v>148</v>
      </c>
      <c r="F141" s="1" t="s">
        <v>131</v>
      </c>
      <c r="G141" s="1" t="s">
        <v>739</v>
      </c>
      <c r="H141" s="1" t="s">
        <v>24</v>
      </c>
      <c r="I141" s="1" t="s">
        <v>130</v>
      </c>
      <c r="J141" s="1" t="s">
        <v>156</v>
      </c>
      <c r="K141" s="1" t="s">
        <v>1024</v>
      </c>
      <c r="L141" s="1"/>
      <c r="M141" s="1"/>
      <c r="N141" s="1" t="str">
        <f t="shared" si="15"/>
        <v>No</v>
      </c>
      <c r="O141" s="1">
        <f t="shared" si="16"/>
        <v>3</v>
      </c>
      <c r="P141" s="1">
        <f t="shared" si="17"/>
        <v>23</v>
      </c>
      <c r="Q141" s="1">
        <f t="shared" si="17"/>
        <v>3</v>
      </c>
      <c r="R141" s="1">
        <f t="shared" si="23"/>
        <v>0</v>
      </c>
      <c r="S141" s="34">
        <f t="shared" si="23"/>
        <v>86.95</v>
      </c>
      <c r="T141" s="1" t="str">
        <f t="shared" si="18"/>
        <v>caught</v>
      </c>
      <c r="U141" s="1" t="str">
        <f t="shared" si="19"/>
        <v>1</v>
      </c>
      <c r="V141" s="1" t="str">
        <f t="shared" si="20"/>
        <v xml:space="preserve"> Pakistan</v>
      </c>
      <c r="W141" s="1" t="str">
        <f t="shared" si="21"/>
        <v>Toronto</v>
      </c>
      <c r="X141" s="1" t="str">
        <f t="shared" si="22"/>
        <v>Yes</v>
      </c>
      <c r="Y141" s="1"/>
    </row>
    <row r="142" spans="1:25" ht="14.25" customHeight="1">
      <c r="A142" s="1"/>
      <c r="B142" s="1">
        <v>125</v>
      </c>
      <c r="C142" s="1" t="s">
        <v>151</v>
      </c>
      <c r="D142" s="1" t="s">
        <v>325</v>
      </c>
      <c r="E142" s="1" t="s">
        <v>131</v>
      </c>
      <c r="F142" s="1" t="s">
        <v>131</v>
      </c>
      <c r="G142" s="1" t="s">
        <v>887</v>
      </c>
      <c r="H142" s="1" t="s">
        <v>24</v>
      </c>
      <c r="I142" s="1" t="s">
        <v>130</v>
      </c>
      <c r="J142" s="1" t="s">
        <v>156</v>
      </c>
      <c r="K142" s="1" t="s">
        <v>1024</v>
      </c>
      <c r="L142" s="1"/>
      <c r="M142" s="1"/>
      <c r="N142" s="1" t="str">
        <f t="shared" si="15"/>
        <v>No</v>
      </c>
      <c r="O142" s="1">
        <f t="shared" si="16"/>
        <v>23</v>
      </c>
      <c r="P142" s="1">
        <f t="shared" si="17"/>
        <v>13</v>
      </c>
      <c r="Q142" s="1">
        <f t="shared" si="17"/>
        <v>0</v>
      </c>
      <c r="R142" s="1">
        <f t="shared" si="23"/>
        <v>0</v>
      </c>
      <c r="S142" s="34">
        <f t="shared" si="23"/>
        <v>15.38</v>
      </c>
      <c r="T142" s="1" t="str">
        <f t="shared" si="18"/>
        <v>caught</v>
      </c>
      <c r="U142" s="1" t="str">
        <f t="shared" si="19"/>
        <v>1</v>
      </c>
      <c r="V142" s="1" t="str">
        <f t="shared" si="20"/>
        <v xml:space="preserve"> Pakistan</v>
      </c>
      <c r="W142" s="1" t="str">
        <f t="shared" si="21"/>
        <v>Toronto</v>
      </c>
      <c r="X142" s="1" t="str">
        <f t="shared" si="22"/>
        <v>Yes</v>
      </c>
      <c r="Y142" s="1"/>
    </row>
    <row r="143" spans="1:25" ht="14.25" customHeight="1">
      <c r="A143" s="1"/>
      <c r="B143" s="1">
        <v>126</v>
      </c>
      <c r="C143" s="1" t="s">
        <v>148</v>
      </c>
      <c r="D143" s="1" t="s">
        <v>161</v>
      </c>
      <c r="E143" s="1" t="s">
        <v>131</v>
      </c>
      <c r="F143" s="1" t="s">
        <v>131</v>
      </c>
      <c r="G143" s="1" t="s">
        <v>229</v>
      </c>
      <c r="H143" s="1" t="s">
        <v>24</v>
      </c>
      <c r="I143" s="1" t="s">
        <v>151</v>
      </c>
      <c r="J143" s="1" t="s">
        <v>156</v>
      </c>
      <c r="K143" s="1" t="s">
        <v>1024</v>
      </c>
      <c r="L143" s="1"/>
      <c r="M143" s="1"/>
      <c r="N143" s="1" t="str">
        <f t="shared" si="15"/>
        <v>No</v>
      </c>
      <c r="O143" s="1">
        <f t="shared" si="16"/>
        <v>11</v>
      </c>
      <c r="P143" s="1">
        <f t="shared" si="17"/>
        <v>9</v>
      </c>
      <c r="Q143" s="1">
        <f t="shared" si="17"/>
        <v>0</v>
      </c>
      <c r="R143" s="1">
        <f t="shared" si="23"/>
        <v>0</v>
      </c>
      <c r="S143" s="34">
        <f t="shared" si="23"/>
        <v>33.33</v>
      </c>
      <c r="T143" s="1" t="str">
        <f t="shared" si="18"/>
        <v>caught</v>
      </c>
      <c r="U143" s="1" t="str">
        <f t="shared" si="19"/>
        <v>2</v>
      </c>
      <c r="V143" s="1" t="str">
        <f t="shared" si="20"/>
        <v xml:space="preserve"> Pakistan</v>
      </c>
      <c r="W143" s="1" t="str">
        <f t="shared" si="21"/>
        <v>Toronto</v>
      </c>
      <c r="X143" s="1" t="str">
        <f t="shared" si="22"/>
        <v>Yes</v>
      </c>
      <c r="Y143" s="1"/>
    </row>
    <row r="144" spans="1:25" ht="14.25" customHeight="1">
      <c r="A144" s="1"/>
      <c r="B144" s="1">
        <v>127</v>
      </c>
      <c r="C144" s="1" t="s">
        <v>304</v>
      </c>
      <c r="D144" s="1" t="s">
        <v>369</v>
      </c>
      <c r="E144" s="1" t="s">
        <v>131</v>
      </c>
      <c r="F144" s="1" t="s">
        <v>130</v>
      </c>
      <c r="G144" s="1" t="s">
        <v>1025</v>
      </c>
      <c r="H144" s="1" t="s">
        <v>26</v>
      </c>
      <c r="I144" s="1" t="s">
        <v>151</v>
      </c>
      <c r="J144" s="1" t="s">
        <v>156</v>
      </c>
      <c r="K144" s="1" t="s">
        <v>1024</v>
      </c>
      <c r="L144" s="1"/>
      <c r="M144" s="1"/>
      <c r="N144" s="1" t="str">
        <f t="shared" si="15"/>
        <v>No</v>
      </c>
      <c r="O144" s="1">
        <f t="shared" si="16"/>
        <v>88</v>
      </c>
      <c r="P144" s="1">
        <f t="shared" si="17"/>
        <v>44</v>
      </c>
      <c r="Q144" s="1">
        <f t="shared" si="17"/>
        <v>0</v>
      </c>
      <c r="R144" s="1">
        <f t="shared" si="23"/>
        <v>1</v>
      </c>
      <c r="S144" s="34">
        <f t="shared" si="23"/>
        <v>52.27</v>
      </c>
      <c r="T144" s="1" t="str">
        <f t="shared" si="18"/>
        <v>run out</v>
      </c>
      <c r="U144" s="1" t="str">
        <f t="shared" si="19"/>
        <v>2</v>
      </c>
      <c r="V144" s="1" t="str">
        <f t="shared" si="20"/>
        <v xml:space="preserve"> Pakistan</v>
      </c>
      <c r="W144" s="1" t="str">
        <f t="shared" si="21"/>
        <v>Toronto</v>
      </c>
      <c r="X144" s="1" t="str">
        <f t="shared" si="22"/>
        <v>Yes</v>
      </c>
      <c r="Y144" s="1"/>
    </row>
    <row r="145" spans="1:25" ht="14.25" customHeight="1">
      <c r="A145" s="1"/>
      <c r="B145" s="1">
        <v>128</v>
      </c>
      <c r="C145" s="1" t="s">
        <v>176</v>
      </c>
      <c r="D145" s="1" t="s">
        <v>189</v>
      </c>
      <c r="E145" s="1" t="s">
        <v>151</v>
      </c>
      <c r="F145" s="1" t="s">
        <v>131</v>
      </c>
      <c r="G145" s="1" t="s">
        <v>567</v>
      </c>
      <c r="H145" s="1" t="s">
        <v>24</v>
      </c>
      <c r="I145" s="1" t="s">
        <v>151</v>
      </c>
      <c r="J145" s="1" t="s">
        <v>191</v>
      </c>
      <c r="K145" s="1" t="s">
        <v>990</v>
      </c>
      <c r="L145" s="1"/>
      <c r="M145" s="1"/>
      <c r="N145" s="1" t="str">
        <f t="shared" si="15"/>
        <v>No</v>
      </c>
      <c r="O145" s="1">
        <f t="shared" si="16"/>
        <v>64</v>
      </c>
      <c r="P145" s="1">
        <f t="shared" si="17"/>
        <v>8</v>
      </c>
      <c r="Q145" s="1">
        <f t="shared" si="17"/>
        <v>2</v>
      </c>
      <c r="R145" s="1">
        <f t="shared" si="23"/>
        <v>0</v>
      </c>
      <c r="S145" s="34">
        <f t="shared" si="23"/>
        <v>137.5</v>
      </c>
      <c r="T145" s="1" t="str">
        <f t="shared" si="18"/>
        <v>caught</v>
      </c>
      <c r="U145" s="1" t="str">
        <f t="shared" si="19"/>
        <v>2</v>
      </c>
      <c r="V145" s="1" t="str">
        <f t="shared" si="20"/>
        <v xml:space="preserve"> South Africa</v>
      </c>
      <c r="W145" s="1" t="str">
        <f t="shared" si="21"/>
        <v>Hyderabad (Deccan)</v>
      </c>
      <c r="X145" s="1" t="str">
        <f t="shared" si="22"/>
        <v>Yes</v>
      </c>
      <c r="Y145" s="1"/>
    </row>
    <row r="146" spans="1:25" ht="14.25" customHeight="1">
      <c r="A146" s="1"/>
      <c r="B146" s="1">
        <v>129</v>
      </c>
      <c r="C146" s="1" t="s">
        <v>332</v>
      </c>
      <c r="D146" s="1" t="s">
        <v>346</v>
      </c>
      <c r="E146" s="1" t="s">
        <v>161</v>
      </c>
      <c r="F146" s="1" t="s">
        <v>131</v>
      </c>
      <c r="G146" s="1" t="s">
        <v>1026</v>
      </c>
      <c r="H146" s="1" t="s">
        <v>19</v>
      </c>
      <c r="I146" s="1" t="s">
        <v>151</v>
      </c>
      <c r="J146" s="1" t="s">
        <v>158</v>
      </c>
      <c r="K146" s="1" t="s">
        <v>67</v>
      </c>
      <c r="L146" s="1"/>
      <c r="M146" s="1"/>
      <c r="N146" s="1" t="str">
        <f t="shared" ref="N146:N209" si="24">IF(OR(C146="DNB",C146="TDNB"),"Yes","No")</f>
        <v>No</v>
      </c>
      <c r="O146" s="1">
        <f t="shared" ref="O146:O209" si="25">IF(N148="Yes", "NA",SUBSTITUTE(C148,"*","")*1)</f>
        <v>28</v>
      </c>
      <c r="P146" s="1">
        <f t="shared" si="17"/>
        <v>111</v>
      </c>
      <c r="Q146" s="1">
        <f t="shared" si="17"/>
        <v>9</v>
      </c>
      <c r="R146" s="1">
        <f t="shared" si="23"/>
        <v>0</v>
      </c>
      <c r="S146" s="34">
        <f t="shared" si="23"/>
        <v>79.27</v>
      </c>
      <c r="T146" s="1" t="str">
        <f t="shared" si="18"/>
        <v>lbw</v>
      </c>
      <c r="U146" s="1" t="str">
        <f t="shared" si="19"/>
        <v>2</v>
      </c>
      <c r="V146" s="1" t="str">
        <f t="shared" si="20"/>
        <v xml:space="preserve"> Australia</v>
      </c>
      <c r="W146" s="1" t="str">
        <f t="shared" si="21"/>
        <v>Bengaluru</v>
      </c>
      <c r="X146" s="1" t="str">
        <f t="shared" si="22"/>
        <v>Yes</v>
      </c>
      <c r="Y146" s="1"/>
    </row>
    <row r="147" spans="1:25" ht="14.25" customHeight="1">
      <c r="A147" s="1"/>
      <c r="B147" s="1">
        <v>130</v>
      </c>
      <c r="C147" s="1" t="s">
        <v>218</v>
      </c>
      <c r="D147" s="1" t="s">
        <v>260</v>
      </c>
      <c r="E147" s="1" t="s">
        <v>148</v>
      </c>
      <c r="F147" s="1" t="s">
        <v>131</v>
      </c>
      <c r="G147" s="1" t="s">
        <v>1027</v>
      </c>
      <c r="H147" s="1" t="s">
        <v>24</v>
      </c>
      <c r="I147" s="1" t="s">
        <v>151</v>
      </c>
      <c r="J147" s="1" t="s">
        <v>191</v>
      </c>
      <c r="K147" s="1" t="s">
        <v>56</v>
      </c>
      <c r="L147" s="1"/>
      <c r="M147" s="1"/>
      <c r="N147" s="1" t="str">
        <f t="shared" si="24"/>
        <v>No</v>
      </c>
      <c r="O147" s="1">
        <f t="shared" si="25"/>
        <v>62</v>
      </c>
      <c r="P147" s="1">
        <f t="shared" ref="P147:Q210" si="26">IF(D147="-","NA",D147*1)</f>
        <v>93</v>
      </c>
      <c r="Q147" s="1">
        <f t="shared" si="26"/>
        <v>3</v>
      </c>
      <c r="R147" s="1">
        <f t="shared" si="23"/>
        <v>0</v>
      </c>
      <c r="S147" s="34">
        <f t="shared" si="23"/>
        <v>68.81</v>
      </c>
      <c r="T147" s="1" t="str">
        <f t="shared" ref="T147:T210" si="27">IF(H147="-","NA",H147)</f>
        <v>caught</v>
      </c>
      <c r="U147" s="1" t="str">
        <f t="shared" ref="U147:U210" si="28">I147</f>
        <v>2</v>
      </c>
      <c r="V147" s="1" t="str">
        <f t="shared" ref="V147:V210" si="29">SUBSTITUTE(J147,"v","")</f>
        <v xml:space="preserve"> South Africa</v>
      </c>
      <c r="W147" s="1" t="str">
        <f t="shared" ref="W147:W210" si="30">K147</f>
        <v>Jaipur</v>
      </c>
      <c r="X147" s="1" t="str">
        <f t="shared" ref="X147:X210" si="31">IF(N147="Yes","No",IF(T147="not out","No","Yes"))</f>
        <v>Yes</v>
      </c>
      <c r="Y147" s="1"/>
    </row>
    <row r="148" spans="1:25" ht="14.25" customHeight="1">
      <c r="A148" s="1"/>
      <c r="B148" s="1">
        <v>131</v>
      </c>
      <c r="C148" s="1" t="s">
        <v>207</v>
      </c>
      <c r="D148" s="1" t="s">
        <v>139</v>
      </c>
      <c r="E148" s="1" t="s">
        <v>202</v>
      </c>
      <c r="F148" s="1" t="s">
        <v>131</v>
      </c>
      <c r="G148" s="1" t="s">
        <v>522</v>
      </c>
      <c r="H148" s="1" t="s">
        <v>19</v>
      </c>
      <c r="I148" s="1" t="s">
        <v>130</v>
      </c>
      <c r="J148" s="1" t="s">
        <v>191</v>
      </c>
      <c r="K148" s="1" t="s">
        <v>48</v>
      </c>
      <c r="L148" s="1"/>
      <c r="M148" s="1"/>
      <c r="N148" s="1" t="str">
        <f t="shared" si="24"/>
        <v>No</v>
      </c>
      <c r="O148" s="1">
        <f t="shared" si="25"/>
        <v>67</v>
      </c>
      <c r="P148" s="1">
        <f t="shared" si="26"/>
        <v>38</v>
      </c>
      <c r="Q148" s="1">
        <f t="shared" si="26"/>
        <v>5</v>
      </c>
      <c r="R148" s="1">
        <f t="shared" si="23"/>
        <v>0</v>
      </c>
      <c r="S148" s="34">
        <f t="shared" si="23"/>
        <v>73.680000000000007</v>
      </c>
      <c r="T148" s="1" t="str">
        <f t="shared" si="27"/>
        <v>lbw</v>
      </c>
      <c r="U148" s="1" t="str">
        <f t="shared" si="28"/>
        <v>1</v>
      </c>
      <c r="V148" s="1" t="str">
        <f t="shared" si="29"/>
        <v xml:space="preserve"> South Africa</v>
      </c>
      <c r="W148" s="1" t="str">
        <f t="shared" si="30"/>
        <v>Rajkot</v>
      </c>
      <c r="X148" s="1" t="str">
        <f t="shared" si="31"/>
        <v>Yes</v>
      </c>
      <c r="Y148" s="1"/>
    </row>
    <row r="149" spans="1:25" ht="14.25" customHeight="1">
      <c r="A149" s="1"/>
      <c r="B149" s="1">
        <v>132</v>
      </c>
      <c r="C149" s="1" t="s">
        <v>364</v>
      </c>
      <c r="D149" s="1" t="s">
        <v>334</v>
      </c>
      <c r="E149" s="1" t="s">
        <v>189</v>
      </c>
      <c r="F149" s="1" t="s">
        <v>131</v>
      </c>
      <c r="G149" s="1" t="s">
        <v>1028</v>
      </c>
      <c r="H149" s="1" t="s">
        <v>24</v>
      </c>
      <c r="I149" s="1" t="s">
        <v>130</v>
      </c>
      <c r="J149" s="1" t="s">
        <v>158</v>
      </c>
      <c r="K149" s="1" t="s">
        <v>46</v>
      </c>
      <c r="L149" s="1"/>
      <c r="M149" s="1"/>
      <c r="N149" s="1" t="str">
        <f t="shared" si="24"/>
        <v>No</v>
      </c>
      <c r="O149" s="1">
        <f t="shared" si="25"/>
        <v>114</v>
      </c>
      <c r="P149" s="1">
        <f t="shared" si="26"/>
        <v>61</v>
      </c>
      <c r="Q149" s="1">
        <f t="shared" si="26"/>
        <v>8</v>
      </c>
      <c r="R149" s="1">
        <f t="shared" si="23"/>
        <v>0</v>
      </c>
      <c r="S149" s="34">
        <f t="shared" si="23"/>
        <v>101.63</v>
      </c>
      <c r="T149" s="1" t="str">
        <f t="shared" si="27"/>
        <v>caught</v>
      </c>
      <c r="U149" s="1" t="str">
        <f t="shared" si="28"/>
        <v>1</v>
      </c>
      <c r="V149" s="1" t="str">
        <f t="shared" si="29"/>
        <v xml:space="preserve"> Australia</v>
      </c>
      <c r="W149" s="1" t="str">
        <f t="shared" si="30"/>
        <v>Mohali</v>
      </c>
      <c r="X149" s="1" t="str">
        <f t="shared" si="31"/>
        <v>Yes</v>
      </c>
      <c r="Y149" s="1"/>
    </row>
    <row r="150" spans="1:25" ht="14.25" customHeight="1">
      <c r="A150" s="1"/>
      <c r="B150" s="1">
        <v>133</v>
      </c>
      <c r="C150" s="1" t="s">
        <v>135</v>
      </c>
      <c r="D150" s="1" t="s">
        <v>332</v>
      </c>
      <c r="E150" s="1" t="s">
        <v>136</v>
      </c>
      <c r="F150" s="1" t="s">
        <v>131</v>
      </c>
      <c r="G150" s="1" t="s">
        <v>1029</v>
      </c>
      <c r="H150" s="1" t="s">
        <v>24</v>
      </c>
      <c r="I150" s="1" t="s">
        <v>130</v>
      </c>
      <c r="J150" s="1" t="s">
        <v>191</v>
      </c>
      <c r="K150" s="1" t="s">
        <v>75</v>
      </c>
      <c r="L150" s="1"/>
      <c r="M150" s="1"/>
      <c r="N150" s="1" t="str">
        <f t="shared" si="24"/>
        <v>No</v>
      </c>
      <c r="O150" s="1">
        <f t="shared" si="25"/>
        <v>0</v>
      </c>
      <c r="P150" s="1">
        <f t="shared" si="26"/>
        <v>88</v>
      </c>
      <c r="Q150" s="1">
        <f t="shared" si="26"/>
        <v>6</v>
      </c>
      <c r="R150" s="1">
        <f t="shared" si="23"/>
        <v>0</v>
      </c>
      <c r="S150" s="34">
        <f t="shared" si="23"/>
        <v>76.13</v>
      </c>
      <c r="T150" s="1" t="str">
        <f t="shared" si="27"/>
        <v>caught</v>
      </c>
      <c r="U150" s="1" t="str">
        <f t="shared" si="28"/>
        <v>1</v>
      </c>
      <c r="V150" s="1" t="str">
        <f t="shared" si="29"/>
        <v xml:space="preserve"> South Africa</v>
      </c>
      <c r="W150" s="1" t="str">
        <f t="shared" si="30"/>
        <v>Wankhede</v>
      </c>
      <c r="X150" s="1" t="str">
        <f t="shared" si="31"/>
        <v>Yes</v>
      </c>
      <c r="Y150" s="1"/>
    </row>
    <row r="151" spans="1:25" ht="14.25" customHeight="1">
      <c r="A151" s="1"/>
      <c r="B151" s="1">
        <v>134</v>
      </c>
      <c r="C151" s="1" t="s">
        <v>175</v>
      </c>
      <c r="D151" s="1" t="s">
        <v>374</v>
      </c>
      <c r="E151" s="1" t="s">
        <v>205</v>
      </c>
      <c r="F151" s="1" t="s">
        <v>131</v>
      </c>
      <c r="G151" s="1" t="s">
        <v>726</v>
      </c>
      <c r="H151" s="1" t="s">
        <v>63</v>
      </c>
      <c r="I151" s="1" t="s">
        <v>130</v>
      </c>
      <c r="J151" s="1" t="s">
        <v>191</v>
      </c>
      <c r="K151" s="1" t="s">
        <v>75</v>
      </c>
      <c r="L151" s="1"/>
      <c r="M151" s="1"/>
      <c r="N151" s="1" t="str">
        <f t="shared" si="24"/>
        <v>No</v>
      </c>
      <c r="O151" s="1">
        <f t="shared" si="25"/>
        <v>6</v>
      </c>
      <c r="P151" s="1">
        <f t="shared" si="26"/>
        <v>126</v>
      </c>
      <c r="Q151" s="1">
        <f t="shared" si="26"/>
        <v>14</v>
      </c>
      <c r="R151" s="1">
        <f t="shared" si="23"/>
        <v>0</v>
      </c>
      <c r="S151" s="34">
        <f t="shared" si="23"/>
        <v>90.47</v>
      </c>
      <c r="T151" s="1" t="str">
        <f t="shared" si="27"/>
        <v>stumped</v>
      </c>
      <c r="U151" s="1" t="str">
        <f t="shared" si="28"/>
        <v>1</v>
      </c>
      <c r="V151" s="1" t="str">
        <f t="shared" si="29"/>
        <v xml:space="preserve"> South Africa</v>
      </c>
      <c r="W151" s="1" t="str">
        <f t="shared" si="30"/>
        <v>Wankhede</v>
      </c>
      <c r="X151" s="1" t="str">
        <f t="shared" si="31"/>
        <v>Yes</v>
      </c>
      <c r="Y151" s="1"/>
    </row>
    <row r="152" spans="1:25" ht="14.25" customHeight="1">
      <c r="A152" s="1"/>
      <c r="B152" s="1">
        <v>135</v>
      </c>
      <c r="C152" s="1" t="s">
        <v>131</v>
      </c>
      <c r="D152" s="1" t="s">
        <v>140</v>
      </c>
      <c r="E152" s="1" t="s">
        <v>131</v>
      </c>
      <c r="F152" s="1" t="s">
        <v>131</v>
      </c>
      <c r="G152" s="1" t="s">
        <v>210</v>
      </c>
      <c r="H152" s="1" t="s">
        <v>29</v>
      </c>
      <c r="I152" s="1" t="s">
        <v>151</v>
      </c>
      <c r="J152" s="1" t="s">
        <v>191</v>
      </c>
      <c r="K152" s="1" t="s">
        <v>979</v>
      </c>
      <c r="L152" s="1"/>
      <c r="M152" s="1"/>
      <c r="N152" s="1" t="str">
        <f t="shared" si="24"/>
        <v>No</v>
      </c>
      <c r="O152" s="1">
        <f t="shared" si="25"/>
        <v>1</v>
      </c>
      <c r="P152" s="1">
        <f t="shared" si="26"/>
        <v>4</v>
      </c>
      <c r="Q152" s="1">
        <f t="shared" si="26"/>
        <v>0</v>
      </c>
      <c r="R152" s="1">
        <f t="shared" si="23"/>
        <v>0</v>
      </c>
      <c r="S152" s="34">
        <f t="shared" si="23"/>
        <v>0</v>
      </c>
      <c r="T152" s="1" t="str">
        <f t="shared" si="27"/>
        <v>bowled</v>
      </c>
      <c r="U152" s="1" t="str">
        <f t="shared" si="28"/>
        <v>2</v>
      </c>
      <c r="V152" s="1" t="str">
        <f t="shared" si="29"/>
        <v xml:space="preserve"> South Africa</v>
      </c>
      <c r="W152" s="1" t="str">
        <f t="shared" si="30"/>
        <v>Bloemfontein</v>
      </c>
      <c r="X152" s="1" t="str">
        <f t="shared" si="31"/>
        <v>Yes</v>
      </c>
      <c r="Y152" s="1"/>
    </row>
    <row r="153" spans="1:25" ht="14.25" customHeight="1">
      <c r="A153" s="1"/>
      <c r="B153" s="1">
        <v>136</v>
      </c>
      <c r="C153" s="1" t="s">
        <v>136</v>
      </c>
      <c r="D153" s="1" t="s">
        <v>189</v>
      </c>
      <c r="E153" s="1" t="s">
        <v>130</v>
      </c>
      <c r="F153" s="1" t="s">
        <v>131</v>
      </c>
      <c r="G153" s="1" t="s">
        <v>178</v>
      </c>
      <c r="H153" s="1" t="s">
        <v>24</v>
      </c>
      <c r="I153" s="1" t="s">
        <v>151</v>
      </c>
      <c r="J153" s="1" t="s">
        <v>195</v>
      </c>
      <c r="K153" s="1" t="s">
        <v>117</v>
      </c>
      <c r="L153" s="1"/>
      <c r="M153" s="1"/>
      <c r="N153" s="1" t="str">
        <f t="shared" si="24"/>
        <v>No</v>
      </c>
      <c r="O153" s="1">
        <f t="shared" si="25"/>
        <v>14</v>
      </c>
      <c r="P153" s="1">
        <f t="shared" si="26"/>
        <v>8</v>
      </c>
      <c r="Q153" s="1">
        <f t="shared" si="26"/>
        <v>1</v>
      </c>
      <c r="R153" s="1">
        <f t="shared" si="23"/>
        <v>0</v>
      </c>
      <c r="S153" s="34">
        <f t="shared" si="23"/>
        <v>75</v>
      </c>
      <c r="T153" s="1" t="str">
        <f t="shared" si="27"/>
        <v>caught</v>
      </c>
      <c r="U153" s="1" t="str">
        <f t="shared" si="28"/>
        <v>2</v>
      </c>
      <c r="V153" s="1" t="str">
        <f t="shared" si="29"/>
        <v xml:space="preserve"> Zimbabwe</v>
      </c>
      <c r="W153" s="1" t="str">
        <f t="shared" si="30"/>
        <v>Paarl</v>
      </c>
      <c r="X153" s="1" t="str">
        <f t="shared" si="31"/>
        <v>Yes</v>
      </c>
      <c r="Y153" s="1"/>
    </row>
    <row r="154" spans="1:25" ht="14.25" customHeight="1">
      <c r="A154" s="1"/>
      <c r="B154" s="1">
        <v>137</v>
      </c>
      <c r="C154" s="1" t="s">
        <v>130</v>
      </c>
      <c r="D154" s="1" t="s">
        <v>205</v>
      </c>
      <c r="E154" s="1" t="s">
        <v>131</v>
      </c>
      <c r="F154" s="1" t="s">
        <v>131</v>
      </c>
      <c r="G154" s="1" t="s">
        <v>1030</v>
      </c>
      <c r="H154" s="1" t="s">
        <v>29</v>
      </c>
      <c r="I154" s="1" t="s">
        <v>130</v>
      </c>
      <c r="J154" s="1" t="s">
        <v>191</v>
      </c>
      <c r="K154" s="1" t="s">
        <v>71</v>
      </c>
      <c r="L154" s="1"/>
      <c r="M154" s="1"/>
      <c r="N154" s="1" t="str">
        <f t="shared" si="24"/>
        <v>No</v>
      </c>
      <c r="O154" s="1">
        <f t="shared" si="25"/>
        <v>41</v>
      </c>
      <c r="P154" s="1">
        <f t="shared" si="26"/>
        <v>14</v>
      </c>
      <c r="Q154" s="1">
        <f t="shared" si="26"/>
        <v>0</v>
      </c>
      <c r="R154" s="1">
        <f t="shared" si="23"/>
        <v>0</v>
      </c>
      <c r="S154" s="34">
        <f t="shared" si="23"/>
        <v>7.14</v>
      </c>
      <c r="T154" s="1" t="str">
        <f t="shared" si="27"/>
        <v>bowled</v>
      </c>
      <c r="U154" s="1" t="str">
        <f t="shared" si="28"/>
        <v>1</v>
      </c>
      <c r="V154" s="1" t="str">
        <f t="shared" si="29"/>
        <v xml:space="preserve"> South Africa</v>
      </c>
      <c r="W154" s="1" t="str">
        <f t="shared" si="30"/>
        <v>Gqeberha</v>
      </c>
      <c r="X154" s="1" t="str">
        <f t="shared" si="31"/>
        <v>Yes</v>
      </c>
      <c r="Y154" s="1"/>
    </row>
    <row r="155" spans="1:25" ht="14.25" customHeight="1">
      <c r="A155" s="1"/>
      <c r="B155" s="1">
        <v>138</v>
      </c>
      <c r="C155" s="1" t="s">
        <v>205</v>
      </c>
      <c r="D155" s="1" t="s">
        <v>154</v>
      </c>
      <c r="E155" s="1" t="s">
        <v>151</v>
      </c>
      <c r="F155" s="1" t="s">
        <v>131</v>
      </c>
      <c r="G155" s="1" t="s">
        <v>1031</v>
      </c>
      <c r="H155" s="1" t="s">
        <v>24</v>
      </c>
      <c r="I155" s="1" t="s">
        <v>130</v>
      </c>
      <c r="J155" s="1" t="s">
        <v>191</v>
      </c>
      <c r="K155" s="1" t="s">
        <v>981</v>
      </c>
      <c r="L155" s="1"/>
      <c r="M155" s="1"/>
      <c r="N155" s="1" t="str">
        <f t="shared" si="24"/>
        <v>No</v>
      </c>
      <c r="O155" s="1">
        <f t="shared" si="25"/>
        <v>104</v>
      </c>
      <c r="P155" s="1">
        <f t="shared" si="26"/>
        <v>24</v>
      </c>
      <c r="Q155" s="1">
        <f t="shared" si="26"/>
        <v>2</v>
      </c>
      <c r="R155" s="1">
        <f t="shared" si="23"/>
        <v>0</v>
      </c>
      <c r="S155" s="34">
        <f t="shared" si="23"/>
        <v>58.33</v>
      </c>
      <c r="T155" s="1" t="str">
        <f t="shared" si="27"/>
        <v>caught</v>
      </c>
      <c r="U155" s="1" t="str">
        <f t="shared" si="28"/>
        <v>1</v>
      </c>
      <c r="V155" s="1" t="str">
        <f t="shared" si="29"/>
        <v xml:space="preserve"> South Africa</v>
      </c>
      <c r="W155" s="1" t="str">
        <f t="shared" si="30"/>
        <v>East London</v>
      </c>
      <c r="X155" s="1" t="str">
        <f t="shared" si="31"/>
        <v>Yes</v>
      </c>
      <c r="Y155" s="1"/>
    </row>
    <row r="156" spans="1:25" ht="14.25" customHeight="1">
      <c r="A156" s="1"/>
      <c r="B156" s="1">
        <v>139</v>
      </c>
      <c r="C156" s="1" t="s">
        <v>165</v>
      </c>
      <c r="D156" s="1" t="s">
        <v>452</v>
      </c>
      <c r="E156" s="1" t="s">
        <v>130</v>
      </c>
      <c r="F156" s="1" t="s">
        <v>130</v>
      </c>
      <c r="G156" s="1" t="s">
        <v>1032</v>
      </c>
      <c r="H156" s="1" t="s">
        <v>24</v>
      </c>
      <c r="I156" s="1" t="s">
        <v>130</v>
      </c>
      <c r="J156" s="1" t="s">
        <v>195</v>
      </c>
      <c r="K156" s="1" t="s">
        <v>36</v>
      </c>
      <c r="L156" s="1"/>
      <c r="M156" s="1"/>
      <c r="N156" s="1" t="str">
        <f t="shared" si="24"/>
        <v>No</v>
      </c>
      <c r="O156" s="1">
        <f t="shared" si="25"/>
        <v>32</v>
      </c>
      <c r="P156" s="1">
        <f t="shared" si="26"/>
        <v>56</v>
      </c>
      <c r="Q156" s="1">
        <f t="shared" si="26"/>
        <v>1</v>
      </c>
      <c r="R156" s="1">
        <f t="shared" si="23"/>
        <v>1</v>
      </c>
      <c r="S156" s="34">
        <f t="shared" si="23"/>
        <v>73.209999999999994</v>
      </c>
      <c r="T156" s="1" t="str">
        <f t="shared" si="27"/>
        <v>caught</v>
      </c>
      <c r="U156" s="1" t="str">
        <f t="shared" si="28"/>
        <v>1</v>
      </c>
      <c r="V156" s="1" t="str">
        <f t="shared" si="29"/>
        <v xml:space="preserve"> Zimbabwe</v>
      </c>
      <c r="W156" s="1" t="str">
        <f t="shared" si="30"/>
        <v>Centurion</v>
      </c>
      <c r="X156" s="1" t="str">
        <f t="shared" si="31"/>
        <v>Yes</v>
      </c>
      <c r="Y156" s="1"/>
    </row>
    <row r="157" spans="1:25" ht="14.25" customHeight="1">
      <c r="A157" s="1"/>
      <c r="B157" s="1">
        <v>140</v>
      </c>
      <c r="C157" s="1" t="s">
        <v>160</v>
      </c>
      <c r="D157" s="1" t="s">
        <v>395</v>
      </c>
      <c r="E157" s="1" t="s">
        <v>189</v>
      </c>
      <c r="F157" s="1" t="s">
        <v>130</v>
      </c>
      <c r="G157" s="1" t="s">
        <v>1033</v>
      </c>
      <c r="H157" s="1" t="s">
        <v>24</v>
      </c>
      <c r="I157" s="1" t="s">
        <v>151</v>
      </c>
      <c r="J157" s="1" t="s">
        <v>195</v>
      </c>
      <c r="K157" s="1" t="s">
        <v>1034</v>
      </c>
      <c r="L157" s="1"/>
      <c r="M157" s="1"/>
      <c r="N157" s="1" t="str">
        <f t="shared" si="24"/>
        <v>No</v>
      </c>
      <c r="O157" s="1">
        <f t="shared" si="25"/>
        <v>45</v>
      </c>
      <c r="P157" s="1">
        <f t="shared" si="26"/>
        <v>97</v>
      </c>
      <c r="Q157" s="1">
        <f t="shared" si="26"/>
        <v>8</v>
      </c>
      <c r="R157" s="1">
        <f t="shared" si="23"/>
        <v>1</v>
      </c>
      <c r="S157" s="34">
        <f t="shared" si="23"/>
        <v>107.21</v>
      </c>
      <c r="T157" s="1" t="str">
        <f t="shared" si="27"/>
        <v>caught</v>
      </c>
      <c r="U157" s="1" t="str">
        <f t="shared" si="28"/>
        <v>2</v>
      </c>
      <c r="V157" s="1" t="str">
        <f t="shared" si="29"/>
        <v xml:space="preserve"> Zimbabwe</v>
      </c>
      <c r="W157" s="1" t="str">
        <f t="shared" si="30"/>
        <v>Benoni</v>
      </c>
      <c r="X157" s="1" t="str">
        <f t="shared" si="31"/>
        <v>Yes</v>
      </c>
      <c r="Y157" s="1"/>
    </row>
    <row r="158" spans="1:25" ht="14.25" customHeight="1">
      <c r="A158" s="1"/>
      <c r="B158" s="1">
        <v>141</v>
      </c>
      <c r="C158" s="1" t="s">
        <v>521</v>
      </c>
      <c r="D158" s="1" t="s">
        <v>169</v>
      </c>
      <c r="E158" s="1" t="s">
        <v>136</v>
      </c>
      <c r="F158" s="1" t="s">
        <v>131</v>
      </c>
      <c r="G158" s="1" t="s">
        <v>1035</v>
      </c>
      <c r="H158" s="1" t="s">
        <v>24</v>
      </c>
      <c r="I158" s="1" t="s">
        <v>130</v>
      </c>
      <c r="J158" s="1" t="s">
        <v>191</v>
      </c>
      <c r="K158" s="1" t="s">
        <v>69</v>
      </c>
      <c r="L158" s="1"/>
      <c r="M158" s="1"/>
      <c r="N158" s="1" t="str">
        <f t="shared" si="24"/>
        <v>No</v>
      </c>
      <c r="O158" s="1">
        <f t="shared" si="25"/>
        <v>13</v>
      </c>
      <c r="P158" s="1">
        <f t="shared" si="26"/>
        <v>27</v>
      </c>
      <c r="Q158" s="1">
        <f t="shared" si="26"/>
        <v>6</v>
      </c>
      <c r="R158" s="1">
        <f t="shared" si="23"/>
        <v>0</v>
      </c>
      <c r="S158" s="34">
        <f t="shared" si="23"/>
        <v>118.51</v>
      </c>
      <c r="T158" s="1" t="str">
        <f t="shared" si="27"/>
        <v>caught</v>
      </c>
      <c r="U158" s="1" t="str">
        <f t="shared" si="28"/>
        <v>1</v>
      </c>
      <c r="V158" s="1" t="str">
        <f t="shared" si="29"/>
        <v xml:space="preserve"> South Africa</v>
      </c>
      <c r="W158" s="1" t="str">
        <f t="shared" si="30"/>
        <v>Durban</v>
      </c>
      <c r="X158" s="1" t="str">
        <f t="shared" si="31"/>
        <v>Yes</v>
      </c>
      <c r="Y158" s="1"/>
    </row>
    <row r="159" spans="1:25" ht="14.25" customHeight="1">
      <c r="A159" s="1"/>
      <c r="B159" s="1">
        <v>142</v>
      </c>
      <c r="C159" s="1" t="s">
        <v>405</v>
      </c>
      <c r="D159" s="1" t="s">
        <v>244</v>
      </c>
      <c r="E159" s="1" t="s">
        <v>144</v>
      </c>
      <c r="F159" s="1" t="s">
        <v>130</v>
      </c>
      <c r="G159" s="1" t="s">
        <v>541</v>
      </c>
      <c r="H159" s="1" t="s">
        <v>24</v>
      </c>
      <c r="I159" s="1" t="s">
        <v>151</v>
      </c>
      <c r="J159" s="1" t="s">
        <v>191</v>
      </c>
      <c r="K159" s="1" t="s">
        <v>69</v>
      </c>
      <c r="L159" s="1"/>
      <c r="M159" s="1"/>
      <c r="N159" s="1" t="str">
        <f t="shared" si="24"/>
        <v>No</v>
      </c>
      <c r="O159" s="1">
        <f t="shared" si="25"/>
        <v>44</v>
      </c>
      <c r="P159" s="1">
        <f t="shared" si="26"/>
        <v>33</v>
      </c>
      <c r="Q159" s="1">
        <f t="shared" si="26"/>
        <v>7</v>
      </c>
      <c r="R159" s="1">
        <f t="shared" si="23"/>
        <v>1</v>
      </c>
      <c r="S159" s="34">
        <f t="shared" si="23"/>
        <v>136.36000000000001</v>
      </c>
      <c r="T159" s="1" t="str">
        <f t="shared" si="27"/>
        <v>caught</v>
      </c>
      <c r="U159" s="1" t="str">
        <f t="shared" si="28"/>
        <v>2</v>
      </c>
      <c r="V159" s="1" t="str">
        <f t="shared" si="29"/>
        <v xml:space="preserve"> South Africa</v>
      </c>
      <c r="W159" s="1" t="str">
        <f t="shared" si="30"/>
        <v>Durban</v>
      </c>
      <c r="X159" s="1" t="str">
        <f t="shared" si="31"/>
        <v>Yes</v>
      </c>
      <c r="Y159" s="1"/>
    </row>
    <row r="160" spans="1:25" ht="14.25" customHeight="1">
      <c r="A160" s="1"/>
      <c r="B160" s="1">
        <v>143</v>
      </c>
      <c r="C160" s="1" t="s">
        <v>325</v>
      </c>
      <c r="D160" s="1" t="s">
        <v>283</v>
      </c>
      <c r="E160" s="1" t="s">
        <v>131</v>
      </c>
      <c r="F160" s="1" t="s">
        <v>130</v>
      </c>
      <c r="G160" s="1" t="s">
        <v>641</v>
      </c>
      <c r="H160" s="1" t="s">
        <v>24</v>
      </c>
      <c r="I160" s="1" t="s">
        <v>130</v>
      </c>
      <c r="J160" s="1" t="s">
        <v>195</v>
      </c>
      <c r="K160" s="1" t="s">
        <v>61</v>
      </c>
      <c r="L160" s="1"/>
      <c r="M160" s="1"/>
      <c r="N160" s="1" t="str">
        <f t="shared" si="24"/>
        <v>No</v>
      </c>
      <c r="O160" s="1">
        <f t="shared" si="25"/>
        <v>65</v>
      </c>
      <c r="P160" s="1">
        <f t="shared" si="26"/>
        <v>15</v>
      </c>
      <c r="Q160" s="1">
        <f t="shared" si="26"/>
        <v>0</v>
      </c>
      <c r="R160" s="1">
        <f t="shared" si="23"/>
        <v>1</v>
      </c>
      <c r="S160" s="34">
        <f t="shared" si="23"/>
        <v>86.66</v>
      </c>
      <c r="T160" s="1" t="str">
        <f t="shared" si="27"/>
        <v>caught</v>
      </c>
      <c r="U160" s="1" t="str">
        <f t="shared" si="28"/>
        <v>1</v>
      </c>
      <c r="V160" s="1" t="str">
        <f t="shared" si="29"/>
        <v xml:space="preserve"> Zimbabwe</v>
      </c>
      <c r="W160" s="1" t="str">
        <f t="shared" si="30"/>
        <v>Bulawayo</v>
      </c>
      <c r="X160" s="1" t="str">
        <f t="shared" si="31"/>
        <v>Yes</v>
      </c>
      <c r="Y160" s="1"/>
    </row>
    <row r="161" spans="1:25" ht="14.25" customHeight="1">
      <c r="A161" s="1"/>
      <c r="B161" s="1">
        <v>144</v>
      </c>
      <c r="C161" s="1" t="s">
        <v>369</v>
      </c>
      <c r="D161" s="1" t="s">
        <v>321</v>
      </c>
      <c r="E161" s="1" t="s">
        <v>167</v>
      </c>
      <c r="F161" s="1" t="s">
        <v>131</v>
      </c>
      <c r="G161" s="1" t="s">
        <v>1036</v>
      </c>
      <c r="H161" s="1" t="s">
        <v>24</v>
      </c>
      <c r="I161" s="1" t="s">
        <v>130</v>
      </c>
      <c r="J161" s="1" t="s">
        <v>163</v>
      </c>
      <c r="K161" s="1" t="s">
        <v>76</v>
      </c>
      <c r="L161" s="1"/>
      <c r="M161" s="1"/>
      <c r="N161" s="1" t="str">
        <f t="shared" si="24"/>
        <v>No</v>
      </c>
      <c r="O161" s="1">
        <f t="shared" si="25"/>
        <v>9</v>
      </c>
      <c r="P161" s="1">
        <f t="shared" si="26"/>
        <v>43</v>
      </c>
      <c r="Q161" s="1">
        <f t="shared" si="26"/>
        <v>10</v>
      </c>
      <c r="R161" s="1">
        <f t="shared" si="23"/>
        <v>0</v>
      </c>
      <c r="S161" s="34">
        <f t="shared" si="23"/>
        <v>102.32</v>
      </c>
      <c r="T161" s="1" t="str">
        <f t="shared" si="27"/>
        <v>caught</v>
      </c>
      <c r="U161" s="1" t="str">
        <f t="shared" si="28"/>
        <v>1</v>
      </c>
      <c r="V161" s="1" t="str">
        <f t="shared" si="29"/>
        <v xml:space="preserve"> West Indies</v>
      </c>
      <c r="W161" s="1" t="str">
        <f t="shared" si="30"/>
        <v>Port of Spain</v>
      </c>
      <c r="X161" s="1" t="str">
        <f t="shared" si="31"/>
        <v>Yes</v>
      </c>
      <c r="Y161" s="1"/>
    </row>
    <row r="162" spans="1:25" ht="14.25" customHeight="1">
      <c r="A162" s="1"/>
      <c r="B162" s="1">
        <v>145</v>
      </c>
      <c r="C162" s="1" t="s">
        <v>1037</v>
      </c>
      <c r="D162" s="1" t="s">
        <v>222</v>
      </c>
      <c r="E162" s="1" t="s">
        <v>144</v>
      </c>
      <c r="F162" s="1" t="s">
        <v>131</v>
      </c>
      <c r="G162" s="1" t="s">
        <v>462</v>
      </c>
      <c r="H162" s="1" t="s">
        <v>32</v>
      </c>
      <c r="I162" s="1" t="s">
        <v>151</v>
      </c>
      <c r="J162" s="1" t="s">
        <v>163</v>
      </c>
      <c r="K162" s="1" t="s">
        <v>76</v>
      </c>
      <c r="L162" s="1"/>
      <c r="M162" s="1"/>
      <c r="N162" s="1" t="str">
        <f t="shared" si="24"/>
        <v>No</v>
      </c>
      <c r="O162" s="1">
        <f t="shared" si="25"/>
        <v>1</v>
      </c>
      <c r="P162" s="1">
        <f t="shared" si="26"/>
        <v>70</v>
      </c>
      <c r="Q162" s="1">
        <f t="shared" si="26"/>
        <v>7</v>
      </c>
      <c r="R162" s="1">
        <f t="shared" ref="R162:S225" si="32">IF(F162="-","NA",F162*1)</f>
        <v>0</v>
      </c>
      <c r="S162" s="34">
        <f t="shared" si="32"/>
        <v>92.85</v>
      </c>
      <c r="T162" s="1" t="str">
        <f t="shared" si="27"/>
        <v>not out</v>
      </c>
      <c r="U162" s="1" t="str">
        <f t="shared" si="28"/>
        <v>2</v>
      </c>
      <c r="V162" s="1" t="str">
        <f t="shared" si="29"/>
        <v xml:space="preserve"> West Indies</v>
      </c>
      <c r="W162" s="1" t="str">
        <f t="shared" si="30"/>
        <v>Port of Spain</v>
      </c>
      <c r="X162" s="1" t="str">
        <f t="shared" si="31"/>
        <v>No</v>
      </c>
      <c r="Y162" s="1"/>
    </row>
    <row r="163" spans="1:25" ht="14.25" customHeight="1">
      <c r="A163" s="1"/>
      <c r="B163" s="1">
        <v>146</v>
      </c>
      <c r="C163" s="1" t="s">
        <v>161</v>
      </c>
      <c r="D163" s="1" t="s">
        <v>283</v>
      </c>
      <c r="E163" s="1" t="s">
        <v>130</v>
      </c>
      <c r="F163" s="1" t="s">
        <v>131</v>
      </c>
      <c r="G163" s="1" t="s">
        <v>239</v>
      </c>
      <c r="H163" s="1" t="s">
        <v>29</v>
      </c>
      <c r="I163" s="1" t="s">
        <v>151</v>
      </c>
      <c r="J163" s="1" t="s">
        <v>163</v>
      </c>
      <c r="K163" s="1" t="s">
        <v>1038</v>
      </c>
      <c r="L163" s="1"/>
      <c r="M163" s="1"/>
      <c r="N163" s="1" t="str">
        <f t="shared" si="24"/>
        <v>No</v>
      </c>
      <c r="O163" s="1">
        <f t="shared" si="25"/>
        <v>117</v>
      </c>
      <c r="P163" s="1">
        <f t="shared" si="26"/>
        <v>15</v>
      </c>
      <c r="Q163" s="1">
        <f t="shared" si="26"/>
        <v>1</v>
      </c>
      <c r="R163" s="1">
        <f t="shared" si="32"/>
        <v>0</v>
      </c>
      <c r="S163" s="34">
        <f t="shared" si="32"/>
        <v>60</v>
      </c>
      <c r="T163" s="1" t="str">
        <f t="shared" si="27"/>
        <v>bowled</v>
      </c>
      <c r="U163" s="1" t="str">
        <f t="shared" si="28"/>
        <v>2</v>
      </c>
      <c r="V163" s="1" t="str">
        <f t="shared" si="29"/>
        <v xml:space="preserve"> West Indies</v>
      </c>
      <c r="W163" s="1" t="str">
        <f t="shared" si="30"/>
        <v>Kingstown</v>
      </c>
      <c r="X163" s="1" t="str">
        <f t="shared" si="31"/>
        <v>Yes</v>
      </c>
      <c r="Y163" s="1"/>
    </row>
    <row r="164" spans="1:25" ht="14.25" customHeight="1">
      <c r="A164" s="1"/>
      <c r="B164" s="1">
        <v>147</v>
      </c>
      <c r="C164" s="1" t="s">
        <v>130</v>
      </c>
      <c r="D164" s="1" t="s">
        <v>176</v>
      </c>
      <c r="E164" s="1" t="s">
        <v>131</v>
      </c>
      <c r="F164" s="1" t="s">
        <v>131</v>
      </c>
      <c r="G164" s="1" t="s">
        <v>1021</v>
      </c>
      <c r="H164" s="1" t="s">
        <v>24</v>
      </c>
      <c r="I164" s="1" t="s">
        <v>130</v>
      </c>
      <c r="J164" s="1" t="s">
        <v>163</v>
      </c>
      <c r="K164" s="1" t="s">
        <v>120</v>
      </c>
      <c r="L164" s="1"/>
      <c r="M164" s="1"/>
      <c r="N164" s="1" t="str">
        <f t="shared" si="24"/>
        <v>No</v>
      </c>
      <c r="O164" s="1">
        <f t="shared" si="25"/>
        <v>2</v>
      </c>
      <c r="P164" s="1">
        <f t="shared" si="26"/>
        <v>11</v>
      </c>
      <c r="Q164" s="1">
        <f t="shared" si="26"/>
        <v>0</v>
      </c>
      <c r="R164" s="1">
        <f t="shared" si="32"/>
        <v>0</v>
      </c>
      <c r="S164" s="34">
        <f t="shared" si="32"/>
        <v>9.09</v>
      </c>
      <c r="T164" s="1" t="str">
        <f t="shared" si="27"/>
        <v>caught</v>
      </c>
      <c r="U164" s="1" t="str">
        <f t="shared" si="28"/>
        <v>1</v>
      </c>
      <c r="V164" s="1" t="str">
        <f t="shared" si="29"/>
        <v xml:space="preserve"> West Indies</v>
      </c>
      <c r="W164" s="1" t="str">
        <f t="shared" si="30"/>
        <v>Bridgetown</v>
      </c>
      <c r="X164" s="1" t="str">
        <f t="shared" si="31"/>
        <v>Yes</v>
      </c>
      <c r="Y164" s="1"/>
    </row>
    <row r="165" spans="1:25" ht="14.25" customHeight="1">
      <c r="A165" s="1"/>
      <c r="B165" s="1">
        <v>148</v>
      </c>
      <c r="C165" s="1" t="s">
        <v>271</v>
      </c>
      <c r="D165" s="1" t="s">
        <v>861</v>
      </c>
      <c r="E165" s="1" t="s">
        <v>325</v>
      </c>
      <c r="F165" s="1" t="s">
        <v>151</v>
      </c>
      <c r="G165" s="1" t="s">
        <v>1039</v>
      </c>
      <c r="H165" s="1" t="s">
        <v>29</v>
      </c>
      <c r="I165" s="1" t="s">
        <v>151</v>
      </c>
      <c r="J165" s="1" t="s">
        <v>211</v>
      </c>
      <c r="K165" s="1" t="s">
        <v>67</v>
      </c>
      <c r="L165" s="1"/>
      <c r="M165" s="1"/>
      <c r="N165" s="1" t="str">
        <f t="shared" si="24"/>
        <v>No</v>
      </c>
      <c r="O165" s="1">
        <f t="shared" si="25"/>
        <v>4</v>
      </c>
      <c r="P165" s="1">
        <f t="shared" si="26"/>
        <v>137</v>
      </c>
      <c r="Q165" s="1">
        <f t="shared" si="26"/>
        <v>13</v>
      </c>
      <c r="R165" s="1">
        <f t="shared" si="32"/>
        <v>2</v>
      </c>
      <c r="S165" s="34">
        <f t="shared" si="32"/>
        <v>85.4</v>
      </c>
      <c r="T165" s="1" t="str">
        <f t="shared" si="27"/>
        <v>bowled</v>
      </c>
      <c r="U165" s="1" t="str">
        <f t="shared" si="28"/>
        <v>2</v>
      </c>
      <c r="V165" s="1" t="str">
        <f t="shared" si="29"/>
        <v xml:space="preserve"> New Zealand</v>
      </c>
      <c r="W165" s="1" t="str">
        <f t="shared" si="30"/>
        <v>Bengaluru</v>
      </c>
      <c r="X165" s="1" t="str">
        <f t="shared" si="31"/>
        <v>Yes</v>
      </c>
      <c r="Y165" s="1"/>
    </row>
    <row r="166" spans="1:25" ht="14.25" customHeight="1">
      <c r="A166" s="1"/>
      <c r="B166" s="1">
        <v>149</v>
      </c>
      <c r="C166" s="1" t="s">
        <v>151</v>
      </c>
      <c r="D166" s="1" t="s">
        <v>140</v>
      </c>
      <c r="E166" s="1" t="s">
        <v>131</v>
      </c>
      <c r="F166" s="1" t="s">
        <v>131</v>
      </c>
      <c r="G166" s="1" t="s">
        <v>204</v>
      </c>
      <c r="H166" s="1" t="s">
        <v>24</v>
      </c>
      <c r="I166" s="1" t="s">
        <v>130</v>
      </c>
      <c r="J166" s="1" t="s">
        <v>133</v>
      </c>
      <c r="K166" s="1" t="s">
        <v>75</v>
      </c>
      <c r="L166" s="1"/>
      <c r="M166" s="1"/>
      <c r="N166" s="1" t="str">
        <f t="shared" si="24"/>
        <v>No</v>
      </c>
      <c r="O166" s="1">
        <f t="shared" si="25"/>
        <v>21</v>
      </c>
      <c r="P166" s="1">
        <f t="shared" si="26"/>
        <v>4</v>
      </c>
      <c r="Q166" s="1">
        <f t="shared" si="26"/>
        <v>0</v>
      </c>
      <c r="R166" s="1">
        <f t="shared" si="32"/>
        <v>0</v>
      </c>
      <c r="S166" s="34">
        <f t="shared" si="32"/>
        <v>50</v>
      </c>
      <c r="T166" s="1" t="str">
        <f t="shared" si="27"/>
        <v>caught</v>
      </c>
      <c r="U166" s="1" t="str">
        <f t="shared" si="28"/>
        <v>1</v>
      </c>
      <c r="V166" s="1" t="str">
        <f t="shared" si="29"/>
        <v xml:space="preserve"> Sri Lanka</v>
      </c>
      <c r="W166" s="1" t="str">
        <f t="shared" si="30"/>
        <v>Wankhede</v>
      </c>
      <c r="X166" s="1" t="str">
        <f t="shared" si="31"/>
        <v>Yes</v>
      </c>
      <c r="Y166" s="1"/>
    </row>
    <row r="167" spans="1:25" ht="14.25" customHeight="1">
      <c r="A167" s="1"/>
      <c r="B167" s="1">
        <v>150</v>
      </c>
      <c r="C167" s="1" t="s">
        <v>140</v>
      </c>
      <c r="D167" s="1" t="s">
        <v>144</v>
      </c>
      <c r="E167" s="1" t="s">
        <v>130</v>
      </c>
      <c r="F167" s="1" t="s">
        <v>131</v>
      </c>
      <c r="G167" s="1" t="s">
        <v>503</v>
      </c>
      <c r="H167" s="1" t="s">
        <v>24</v>
      </c>
      <c r="I167" s="1" t="s">
        <v>151</v>
      </c>
      <c r="J167" s="1" t="s">
        <v>156</v>
      </c>
      <c r="K167" s="1" t="s">
        <v>68</v>
      </c>
      <c r="L167" s="1"/>
      <c r="M167" s="1"/>
      <c r="N167" s="1" t="str">
        <f t="shared" si="24"/>
        <v>No</v>
      </c>
      <c r="O167" s="1" t="str">
        <f t="shared" si="25"/>
        <v>NA</v>
      </c>
      <c r="P167" s="1">
        <f t="shared" si="26"/>
        <v>7</v>
      </c>
      <c r="Q167" s="1">
        <f t="shared" si="26"/>
        <v>1</v>
      </c>
      <c r="R167" s="1">
        <f t="shared" si="32"/>
        <v>0</v>
      </c>
      <c r="S167" s="34">
        <f t="shared" si="32"/>
        <v>57.14</v>
      </c>
      <c r="T167" s="1" t="str">
        <f t="shared" si="27"/>
        <v>caught</v>
      </c>
      <c r="U167" s="1" t="str">
        <f t="shared" si="28"/>
        <v>2</v>
      </c>
      <c r="V167" s="1" t="str">
        <f t="shared" si="29"/>
        <v xml:space="preserve"> Pakistan</v>
      </c>
      <c r="W167" s="1" t="str">
        <f t="shared" si="30"/>
        <v>Chennai</v>
      </c>
      <c r="X167" s="1" t="str">
        <f t="shared" si="31"/>
        <v>Yes</v>
      </c>
      <c r="Y167" s="1"/>
    </row>
    <row r="168" spans="1:25" ht="14.25" customHeight="1">
      <c r="A168" s="1"/>
      <c r="B168" s="1">
        <v>151</v>
      </c>
      <c r="C168" s="1" t="s">
        <v>246</v>
      </c>
      <c r="D168" s="1" t="s">
        <v>207</v>
      </c>
      <c r="E168" s="1" t="s">
        <v>148</v>
      </c>
      <c r="F168" s="1" t="s">
        <v>131</v>
      </c>
      <c r="G168" s="1" t="s">
        <v>178</v>
      </c>
      <c r="H168" s="1" t="s">
        <v>29</v>
      </c>
      <c r="I168" s="1" t="s">
        <v>130</v>
      </c>
      <c r="J168" s="1" t="s">
        <v>133</v>
      </c>
      <c r="K168" s="1" t="s">
        <v>27</v>
      </c>
      <c r="L168" s="1"/>
      <c r="M168" s="1"/>
      <c r="N168" s="1" t="str">
        <f t="shared" si="24"/>
        <v>No</v>
      </c>
      <c r="O168" s="1">
        <f t="shared" si="25"/>
        <v>28</v>
      </c>
      <c r="P168" s="1">
        <f t="shared" si="26"/>
        <v>28</v>
      </c>
      <c r="Q168" s="1">
        <f t="shared" si="26"/>
        <v>3</v>
      </c>
      <c r="R168" s="1">
        <f t="shared" si="32"/>
        <v>0</v>
      </c>
      <c r="S168" s="34">
        <f t="shared" si="32"/>
        <v>75</v>
      </c>
      <c r="T168" s="1" t="str">
        <f t="shared" si="27"/>
        <v>bowled</v>
      </c>
      <c r="U168" s="1" t="str">
        <f t="shared" si="28"/>
        <v>1</v>
      </c>
      <c r="V168" s="1" t="str">
        <f t="shared" si="29"/>
        <v xml:space="preserve"> Sri Lanka</v>
      </c>
      <c r="W168" s="1" t="str">
        <f t="shared" si="30"/>
        <v>Colombo (RPS)</v>
      </c>
      <c r="X168" s="1" t="str">
        <f t="shared" si="31"/>
        <v>Yes</v>
      </c>
      <c r="Y168" s="1"/>
    </row>
    <row r="169" spans="1:25" ht="14.25" customHeight="1">
      <c r="A169" s="1"/>
      <c r="B169" s="1">
        <v>152</v>
      </c>
      <c r="C169" s="1" t="s">
        <v>38</v>
      </c>
      <c r="D169" s="1" t="s">
        <v>157</v>
      </c>
      <c r="E169" s="1" t="s">
        <v>157</v>
      </c>
      <c r="F169" s="1" t="s">
        <v>157</v>
      </c>
      <c r="G169" s="1" t="s">
        <v>157</v>
      </c>
      <c r="H169" s="1" t="s">
        <v>157</v>
      </c>
      <c r="I169" s="1" t="s">
        <v>157</v>
      </c>
      <c r="J169" s="1" t="s">
        <v>156</v>
      </c>
      <c r="K169" s="1" t="s">
        <v>584</v>
      </c>
      <c r="L169" s="1"/>
      <c r="M169" s="1"/>
      <c r="N169" s="1" t="str">
        <f t="shared" si="24"/>
        <v>Yes</v>
      </c>
      <c r="O169" s="1">
        <f t="shared" si="25"/>
        <v>53</v>
      </c>
      <c r="P169" s="1" t="str">
        <f t="shared" si="26"/>
        <v>NA</v>
      </c>
      <c r="Q169" s="1" t="str">
        <f t="shared" si="26"/>
        <v>NA</v>
      </c>
      <c r="R169" s="1" t="str">
        <f t="shared" si="32"/>
        <v>NA</v>
      </c>
      <c r="S169" s="34" t="str">
        <f t="shared" si="32"/>
        <v>NA</v>
      </c>
      <c r="T169" s="1" t="str">
        <f t="shared" si="27"/>
        <v>NA</v>
      </c>
      <c r="U169" s="1" t="str">
        <f t="shared" si="28"/>
        <v>-</v>
      </c>
      <c r="V169" s="1" t="str">
        <f t="shared" si="29"/>
        <v xml:space="preserve"> Pakistan</v>
      </c>
      <c r="W169" s="1" t="str">
        <f t="shared" si="30"/>
        <v>Colombo (SSC)</v>
      </c>
      <c r="X169" s="1" t="str">
        <f t="shared" si="31"/>
        <v>No</v>
      </c>
      <c r="Y169" s="1"/>
    </row>
    <row r="170" spans="1:25" ht="14.25" customHeight="1">
      <c r="A170" s="1"/>
      <c r="B170" s="1">
        <v>153</v>
      </c>
      <c r="C170" s="1" t="s">
        <v>207</v>
      </c>
      <c r="D170" s="1" t="s">
        <v>246</v>
      </c>
      <c r="E170" s="1" t="s">
        <v>202</v>
      </c>
      <c r="F170" s="1" t="s">
        <v>131</v>
      </c>
      <c r="G170" s="1" t="s">
        <v>502</v>
      </c>
      <c r="H170" s="1" t="s">
        <v>29</v>
      </c>
      <c r="I170" s="1" t="s">
        <v>151</v>
      </c>
      <c r="J170" s="1" t="s">
        <v>182</v>
      </c>
      <c r="K170" s="1" t="s">
        <v>584</v>
      </c>
      <c r="L170" s="1"/>
      <c r="M170" s="1"/>
      <c r="N170" s="1" t="str">
        <f t="shared" si="24"/>
        <v>No</v>
      </c>
      <c r="O170" s="1">
        <f t="shared" si="25"/>
        <v>27</v>
      </c>
      <c r="P170" s="1">
        <f t="shared" si="26"/>
        <v>21</v>
      </c>
      <c r="Q170" s="1">
        <f t="shared" si="26"/>
        <v>5</v>
      </c>
      <c r="R170" s="1">
        <f t="shared" si="32"/>
        <v>0</v>
      </c>
      <c r="S170" s="34">
        <f t="shared" si="32"/>
        <v>133.33000000000001</v>
      </c>
      <c r="T170" s="1" t="str">
        <f t="shared" si="27"/>
        <v>bowled</v>
      </c>
      <c r="U170" s="1" t="str">
        <f t="shared" si="28"/>
        <v>2</v>
      </c>
      <c r="V170" s="1" t="str">
        <f t="shared" si="29"/>
        <v xml:space="preserve"> Bangladesh</v>
      </c>
      <c r="W170" s="1" t="str">
        <f t="shared" si="30"/>
        <v>Colombo (SSC)</v>
      </c>
      <c r="X170" s="1" t="str">
        <f t="shared" si="31"/>
        <v>Yes</v>
      </c>
      <c r="Y170" s="1"/>
    </row>
    <row r="171" spans="1:25" ht="14.25" customHeight="1">
      <c r="A171" s="1"/>
      <c r="B171" s="1">
        <v>154</v>
      </c>
      <c r="C171" s="1" t="s">
        <v>235</v>
      </c>
      <c r="D171" s="1" t="s">
        <v>135</v>
      </c>
      <c r="E171" s="1" t="s">
        <v>151</v>
      </c>
      <c r="F171" s="1" t="s">
        <v>131</v>
      </c>
      <c r="G171" s="1" t="s">
        <v>1040</v>
      </c>
      <c r="H171" s="1" t="s">
        <v>24</v>
      </c>
      <c r="I171" s="1" t="s">
        <v>130</v>
      </c>
      <c r="J171" s="1" t="s">
        <v>133</v>
      </c>
      <c r="K171" s="1" t="s">
        <v>27</v>
      </c>
      <c r="L171" s="1"/>
      <c r="M171" s="1"/>
      <c r="N171" s="1" t="str">
        <f t="shared" si="24"/>
        <v>No</v>
      </c>
      <c r="O171" s="1">
        <f t="shared" si="25"/>
        <v>6</v>
      </c>
      <c r="P171" s="1">
        <f t="shared" si="26"/>
        <v>67</v>
      </c>
      <c r="Q171" s="1">
        <f t="shared" si="26"/>
        <v>2</v>
      </c>
      <c r="R171" s="1">
        <f t="shared" si="32"/>
        <v>0</v>
      </c>
      <c r="S171" s="34">
        <f t="shared" si="32"/>
        <v>79.099999999999994</v>
      </c>
      <c r="T171" s="1" t="str">
        <f t="shared" si="27"/>
        <v>caught</v>
      </c>
      <c r="U171" s="1" t="str">
        <f t="shared" si="28"/>
        <v>1</v>
      </c>
      <c r="V171" s="1" t="str">
        <f t="shared" si="29"/>
        <v xml:space="preserve"> Sri Lanka</v>
      </c>
      <c r="W171" s="1" t="str">
        <f t="shared" si="30"/>
        <v>Colombo (RPS)</v>
      </c>
      <c r="X171" s="1" t="str">
        <f t="shared" si="31"/>
        <v>Yes</v>
      </c>
      <c r="Y171" s="1"/>
    </row>
    <row r="172" spans="1:25" ht="14.25" customHeight="1">
      <c r="A172" s="1"/>
      <c r="B172" s="1">
        <v>155</v>
      </c>
      <c r="C172" s="1" t="s">
        <v>169</v>
      </c>
      <c r="D172" s="1" t="s">
        <v>207</v>
      </c>
      <c r="E172" s="1" t="s">
        <v>148</v>
      </c>
      <c r="F172" s="1" t="s">
        <v>131</v>
      </c>
      <c r="G172" s="1" t="s">
        <v>1041</v>
      </c>
      <c r="H172" s="1" t="s">
        <v>24</v>
      </c>
      <c r="I172" s="1" t="s">
        <v>151</v>
      </c>
      <c r="J172" s="1" t="s">
        <v>133</v>
      </c>
      <c r="K172" s="1" t="s">
        <v>27</v>
      </c>
      <c r="L172" s="1"/>
      <c r="M172" s="1"/>
      <c r="N172" s="1" t="str">
        <f t="shared" si="24"/>
        <v>No</v>
      </c>
      <c r="O172" s="1">
        <f t="shared" si="25"/>
        <v>27</v>
      </c>
      <c r="P172" s="1">
        <f t="shared" si="26"/>
        <v>28</v>
      </c>
      <c r="Q172" s="1">
        <f t="shared" si="26"/>
        <v>3</v>
      </c>
      <c r="R172" s="1">
        <f t="shared" si="32"/>
        <v>0</v>
      </c>
      <c r="S172" s="34">
        <f t="shared" si="32"/>
        <v>96.42</v>
      </c>
      <c r="T172" s="1" t="str">
        <f t="shared" si="27"/>
        <v>caught</v>
      </c>
      <c r="U172" s="1" t="str">
        <f t="shared" si="28"/>
        <v>2</v>
      </c>
      <c r="V172" s="1" t="str">
        <f t="shared" si="29"/>
        <v xml:space="preserve"> Sri Lanka</v>
      </c>
      <c r="W172" s="1" t="str">
        <f t="shared" si="30"/>
        <v>Colombo (RPS)</v>
      </c>
      <c r="X172" s="1" t="str">
        <f t="shared" si="31"/>
        <v>Yes</v>
      </c>
      <c r="Y172" s="1"/>
    </row>
    <row r="173" spans="1:25" ht="14.25" customHeight="1">
      <c r="A173" s="1"/>
      <c r="B173" s="1">
        <v>156</v>
      </c>
      <c r="C173" s="1" t="s">
        <v>136</v>
      </c>
      <c r="D173" s="1" t="s">
        <v>136</v>
      </c>
      <c r="E173" s="1" t="s">
        <v>130</v>
      </c>
      <c r="F173" s="1" t="s">
        <v>131</v>
      </c>
      <c r="G173" s="1" t="s">
        <v>152</v>
      </c>
      <c r="H173" s="1" t="s">
        <v>19</v>
      </c>
      <c r="I173" s="1" t="s">
        <v>130</v>
      </c>
      <c r="J173" s="1" t="s">
        <v>133</v>
      </c>
      <c r="K173" s="1" t="s">
        <v>27</v>
      </c>
      <c r="L173" s="1"/>
      <c r="M173" s="1"/>
      <c r="N173" s="1" t="str">
        <f t="shared" si="24"/>
        <v>No</v>
      </c>
      <c r="O173" s="1">
        <f t="shared" si="25"/>
        <v>39</v>
      </c>
      <c r="P173" s="1">
        <f t="shared" si="26"/>
        <v>6</v>
      </c>
      <c r="Q173" s="1">
        <f t="shared" si="26"/>
        <v>1</v>
      </c>
      <c r="R173" s="1">
        <f t="shared" si="32"/>
        <v>0</v>
      </c>
      <c r="S173" s="34">
        <f t="shared" si="32"/>
        <v>100</v>
      </c>
      <c r="T173" s="1" t="str">
        <f t="shared" si="27"/>
        <v>lbw</v>
      </c>
      <c r="U173" s="1" t="str">
        <f t="shared" si="28"/>
        <v>1</v>
      </c>
      <c r="V173" s="1" t="str">
        <f t="shared" si="29"/>
        <v xml:space="preserve"> Sri Lanka</v>
      </c>
      <c r="W173" s="1" t="str">
        <f t="shared" si="30"/>
        <v>Colombo (RPS)</v>
      </c>
      <c r="X173" s="1" t="str">
        <f t="shared" si="31"/>
        <v>Yes</v>
      </c>
      <c r="Y173" s="1"/>
    </row>
    <row r="174" spans="1:25" ht="14.25" customHeight="1">
      <c r="A174" s="1"/>
      <c r="B174" s="1">
        <v>157</v>
      </c>
      <c r="C174" s="1" t="s">
        <v>169</v>
      </c>
      <c r="D174" s="1" t="s">
        <v>146</v>
      </c>
      <c r="E174" s="1" t="s">
        <v>140</v>
      </c>
      <c r="F174" s="1" t="s">
        <v>131</v>
      </c>
      <c r="G174" s="1" t="s">
        <v>929</v>
      </c>
      <c r="H174" s="1" t="s">
        <v>24</v>
      </c>
      <c r="I174" s="1" t="s">
        <v>130</v>
      </c>
      <c r="J174" s="1" t="s">
        <v>133</v>
      </c>
      <c r="K174" s="1" t="s">
        <v>584</v>
      </c>
      <c r="L174" s="1"/>
      <c r="M174" s="1"/>
      <c r="N174" s="1" t="str">
        <f t="shared" si="24"/>
        <v>No</v>
      </c>
      <c r="O174" s="1">
        <f t="shared" si="25"/>
        <v>17</v>
      </c>
      <c r="P174" s="1">
        <f t="shared" si="26"/>
        <v>31</v>
      </c>
      <c r="Q174" s="1">
        <f t="shared" si="26"/>
        <v>4</v>
      </c>
      <c r="R174" s="1">
        <f t="shared" si="32"/>
        <v>0</v>
      </c>
      <c r="S174" s="34">
        <f t="shared" si="32"/>
        <v>87.09</v>
      </c>
      <c r="T174" s="1" t="str">
        <f t="shared" si="27"/>
        <v>caught</v>
      </c>
      <c r="U174" s="1" t="str">
        <f t="shared" si="28"/>
        <v>1</v>
      </c>
      <c r="V174" s="1" t="str">
        <f t="shared" si="29"/>
        <v xml:space="preserve"> Sri Lanka</v>
      </c>
      <c r="W174" s="1" t="str">
        <f t="shared" si="30"/>
        <v>Colombo (SSC)</v>
      </c>
      <c r="X174" s="1" t="str">
        <f t="shared" si="31"/>
        <v>Yes</v>
      </c>
      <c r="Y174" s="1"/>
    </row>
    <row r="175" spans="1:25" ht="14.25" customHeight="1">
      <c r="A175" s="1"/>
      <c r="B175" s="1">
        <v>158</v>
      </c>
      <c r="C175" s="1" t="s">
        <v>436</v>
      </c>
      <c r="D175" s="1" t="s">
        <v>521</v>
      </c>
      <c r="E175" s="1" t="s">
        <v>148</v>
      </c>
      <c r="F175" s="1" t="s">
        <v>151</v>
      </c>
      <c r="G175" s="1" t="s">
        <v>648</v>
      </c>
      <c r="H175" s="1" t="s">
        <v>24</v>
      </c>
      <c r="I175" s="1" t="s">
        <v>151</v>
      </c>
      <c r="J175" s="1" t="s">
        <v>133</v>
      </c>
      <c r="K175" s="1" t="s">
        <v>584</v>
      </c>
      <c r="L175" s="1"/>
      <c r="M175" s="1"/>
      <c r="N175" s="1" t="str">
        <f t="shared" si="24"/>
        <v>No</v>
      </c>
      <c r="O175" s="1">
        <f t="shared" si="25"/>
        <v>25</v>
      </c>
      <c r="P175" s="1">
        <f t="shared" si="26"/>
        <v>32</v>
      </c>
      <c r="Q175" s="1">
        <f t="shared" si="26"/>
        <v>3</v>
      </c>
      <c r="R175" s="1">
        <f t="shared" si="32"/>
        <v>2</v>
      </c>
      <c r="S175" s="34">
        <f t="shared" si="32"/>
        <v>121.87</v>
      </c>
      <c r="T175" s="1" t="str">
        <f t="shared" si="27"/>
        <v>caught</v>
      </c>
      <c r="U175" s="1" t="str">
        <f t="shared" si="28"/>
        <v>2</v>
      </c>
      <c r="V175" s="1" t="str">
        <f t="shared" si="29"/>
        <v xml:space="preserve"> Sri Lanka</v>
      </c>
      <c r="W175" s="1" t="str">
        <f t="shared" si="30"/>
        <v>Colombo (SSC)</v>
      </c>
      <c r="X175" s="1" t="str">
        <f t="shared" si="31"/>
        <v>Yes</v>
      </c>
      <c r="Y175" s="1"/>
    </row>
    <row r="176" spans="1:25" ht="14.25" customHeight="1">
      <c r="A176" s="1"/>
      <c r="B176" s="1">
        <v>159</v>
      </c>
      <c r="C176" s="1" t="s">
        <v>306</v>
      </c>
      <c r="D176" s="1" t="s">
        <v>142</v>
      </c>
      <c r="E176" s="1" t="s">
        <v>151</v>
      </c>
      <c r="F176" s="1" t="s">
        <v>131</v>
      </c>
      <c r="G176" s="1" t="s">
        <v>629</v>
      </c>
      <c r="H176" s="1" t="s">
        <v>24</v>
      </c>
      <c r="I176" s="1" t="s">
        <v>130</v>
      </c>
      <c r="J176" s="1" t="s">
        <v>156</v>
      </c>
      <c r="K176" s="1" t="s">
        <v>1024</v>
      </c>
      <c r="L176" s="1"/>
      <c r="M176" s="1"/>
      <c r="N176" s="1" t="str">
        <f t="shared" si="24"/>
        <v>No</v>
      </c>
      <c r="O176" s="1" t="str">
        <f t="shared" si="25"/>
        <v>NA</v>
      </c>
      <c r="P176" s="1">
        <f t="shared" si="26"/>
        <v>54</v>
      </c>
      <c r="Q176" s="1">
        <f t="shared" si="26"/>
        <v>2</v>
      </c>
      <c r="R176" s="1">
        <f t="shared" si="32"/>
        <v>0</v>
      </c>
      <c r="S176" s="34">
        <f t="shared" si="32"/>
        <v>31.48</v>
      </c>
      <c r="T176" s="1" t="str">
        <f t="shared" si="27"/>
        <v>caught</v>
      </c>
      <c r="U176" s="1" t="str">
        <f t="shared" si="28"/>
        <v>1</v>
      </c>
      <c r="V176" s="1" t="str">
        <f t="shared" si="29"/>
        <v xml:space="preserve"> Pakistan</v>
      </c>
      <c r="W176" s="1" t="str">
        <f t="shared" si="30"/>
        <v>Toronto</v>
      </c>
      <c r="X176" s="1" t="str">
        <f t="shared" si="31"/>
        <v>Yes</v>
      </c>
      <c r="Y176" s="1"/>
    </row>
    <row r="177" spans="1:25" ht="14.25" customHeight="1">
      <c r="A177" s="1"/>
      <c r="B177" s="1">
        <v>160</v>
      </c>
      <c r="C177" s="1" t="s">
        <v>732</v>
      </c>
      <c r="D177" s="1" t="s">
        <v>405</v>
      </c>
      <c r="E177" s="1" t="s">
        <v>148</v>
      </c>
      <c r="F177" s="1" t="s">
        <v>131</v>
      </c>
      <c r="G177" s="1" t="s">
        <v>417</v>
      </c>
      <c r="H177" s="1" t="s">
        <v>32</v>
      </c>
      <c r="I177" s="1" t="s">
        <v>151</v>
      </c>
      <c r="J177" s="1" t="s">
        <v>156</v>
      </c>
      <c r="K177" s="1" t="s">
        <v>1024</v>
      </c>
      <c r="L177" s="1"/>
      <c r="M177" s="1"/>
      <c r="N177" s="1" t="str">
        <f t="shared" si="24"/>
        <v>No</v>
      </c>
      <c r="O177" s="1">
        <f t="shared" si="25"/>
        <v>0</v>
      </c>
      <c r="P177" s="1">
        <f t="shared" si="26"/>
        <v>45</v>
      </c>
      <c r="Q177" s="1">
        <f t="shared" si="26"/>
        <v>3</v>
      </c>
      <c r="R177" s="1">
        <f t="shared" si="32"/>
        <v>0</v>
      </c>
      <c r="S177" s="34">
        <f t="shared" si="32"/>
        <v>55.55</v>
      </c>
      <c r="T177" s="1" t="str">
        <f t="shared" si="27"/>
        <v>not out</v>
      </c>
      <c r="U177" s="1" t="str">
        <f t="shared" si="28"/>
        <v>2</v>
      </c>
      <c r="V177" s="1" t="str">
        <f t="shared" si="29"/>
        <v xml:space="preserve"> Pakistan</v>
      </c>
      <c r="W177" s="1" t="str">
        <f t="shared" si="30"/>
        <v>Toronto</v>
      </c>
      <c r="X177" s="1" t="str">
        <f t="shared" si="31"/>
        <v>No</v>
      </c>
      <c r="Y177" s="1"/>
    </row>
    <row r="178" spans="1:25" ht="14.25" customHeight="1">
      <c r="A178" s="1"/>
      <c r="B178" s="1">
        <v>161</v>
      </c>
      <c r="C178" s="1" t="s">
        <v>38</v>
      </c>
      <c r="D178" s="1" t="s">
        <v>157</v>
      </c>
      <c r="E178" s="1" t="s">
        <v>157</v>
      </c>
      <c r="F178" s="1" t="s">
        <v>157</v>
      </c>
      <c r="G178" s="1" t="s">
        <v>157</v>
      </c>
      <c r="H178" s="1" t="s">
        <v>157</v>
      </c>
      <c r="I178" s="1" t="s">
        <v>157</v>
      </c>
      <c r="J178" s="1" t="s">
        <v>156</v>
      </c>
      <c r="K178" s="1" t="s">
        <v>1024</v>
      </c>
      <c r="L178" s="1"/>
      <c r="M178" s="1"/>
      <c r="N178" s="1" t="str">
        <f t="shared" si="24"/>
        <v>Yes</v>
      </c>
      <c r="O178" s="1">
        <f t="shared" si="25"/>
        <v>6</v>
      </c>
      <c r="P178" s="1" t="str">
        <f t="shared" si="26"/>
        <v>NA</v>
      </c>
      <c r="Q178" s="1" t="str">
        <f t="shared" si="26"/>
        <v>NA</v>
      </c>
      <c r="R178" s="1" t="str">
        <f t="shared" si="32"/>
        <v>NA</v>
      </c>
      <c r="S178" s="34" t="str">
        <f t="shared" si="32"/>
        <v>NA</v>
      </c>
      <c r="T178" s="1" t="str">
        <f t="shared" si="27"/>
        <v>NA</v>
      </c>
      <c r="U178" s="1" t="str">
        <f t="shared" si="28"/>
        <v>-</v>
      </c>
      <c r="V178" s="1" t="str">
        <f t="shared" si="29"/>
        <v xml:space="preserve"> Pakistan</v>
      </c>
      <c r="W178" s="1" t="str">
        <f t="shared" si="30"/>
        <v>Toronto</v>
      </c>
      <c r="X178" s="1" t="str">
        <f t="shared" si="31"/>
        <v>No</v>
      </c>
      <c r="Y178" s="1"/>
    </row>
    <row r="179" spans="1:25" ht="14.25" customHeight="1">
      <c r="A179" s="1"/>
      <c r="B179" s="1">
        <v>162</v>
      </c>
      <c r="C179" s="1" t="s">
        <v>131</v>
      </c>
      <c r="D179" s="1" t="s">
        <v>167</v>
      </c>
      <c r="E179" s="1" t="s">
        <v>131</v>
      </c>
      <c r="F179" s="1" t="s">
        <v>131</v>
      </c>
      <c r="G179" s="1" t="s">
        <v>210</v>
      </c>
      <c r="H179" s="1" t="s">
        <v>24</v>
      </c>
      <c r="I179" s="1" t="s">
        <v>130</v>
      </c>
      <c r="J179" s="1" t="s">
        <v>156</v>
      </c>
      <c r="K179" s="1" t="s">
        <v>1024</v>
      </c>
      <c r="L179" s="1"/>
      <c r="M179" s="1"/>
      <c r="N179" s="1" t="str">
        <f t="shared" si="24"/>
        <v>No</v>
      </c>
      <c r="O179" s="1">
        <f t="shared" si="25"/>
        <v>51</v>
      </c>
      <c r="P179" s="1">
        <f t="shared" si="26"/>
        <v>10</v>
      </c>
      <c r="Q179" s="1">
        <f t="shared" si="26"/>
        <v>0</v>
      </c>
      <c r="R179" s="1">
        <f t="shared" si="32"/>
        <v>0</v>
      </c>
      <c r="S179" s="34">
        <f t="shared" si="32"/>
        <v>0</v>
      </c>
      <c r="T179" s="1" t="str">
        <f t="shared" si="27"/>
        <v>caught</v>
      </c>
      <c r="U179" s="1" t="str">
        <f t="shared" si="28"/>
        <v>1</v>
      </c>
      <c r="V179" s="1" t="str">
        <f t="shared" si="29"/>
        <v xml:space="preserve"> Pakistan</v>
      </c>
      <c r="W179" s="1" t="str">
        <f t="shared" si="30"/>
        <v>Toronto</v>
      </c>
      <c r="X179" s="1" t="str">
        <f t="shared" si="31"/>
        <v>Yes</v>
      </c>
      <c r="Y179" s="1"/>
    </row>
    <row r="180" spans="1:25" ht="14.25" customHeight="1">
      <c r="A180" s="1"/>
      <c r="B180" s="1">
        <v>163</v>
      </c>
      <c r="C180" s="1" t="s">
        <v>136</v>
      </c>
      <c r="D180" s="1" t="s">
        <v>144</v>
      </c>
      <c r="E180" s="1" t="s">
        <v>130</v>
      </c>
      <c r="F180" s="1" t="s">
        <v>131</v>
      </c>
      <c r="G180" s="1" t="s">
        <v>520</v>
      </c>
      <c r="H180" s="1" t="s">
        <v>24</v>
      </c>
      <c r="I180" s="1" t="s">
        <v>151</v>
      </c>
      <c r="J180" s="1" t="s">
        <v>156</v>
      </c>
      <c r="K180" s="1" t="s">
        <v>1024</v>
      </c>
      <c r="L180" s="1"/>
      <c r="M180" s="1"/>
      <c r="N180" s="1" t="str">
        <f t="shared" si="24"/>
        <v>No</v>
      </c>
      <c r="O180" s="1">
        <f t="shared" si="25"/>
        <v>2</v>
      </c>
      <c r="P180" s="1">
        <f t="shared" si="26"/>
        <v>7</v>
      </c>
      <c r="Q180" s="1">
        <f t="shared" si="26"/>
        <v>1</v>
      </c>
      <c r="R180" s="1">
        <f t="shared" si="32"/>
        <v>0</v>
      </c>
      <c r="S180" s="34">
        <f t="shared" si="32"/>
        <v>85.71</v>
      </c>
      <c r="T180" s="1" t="str">
        <f t="shared" si="27"/>
        <v>caught</v>
      </c>
      <c r="U180" s="1" t="str">
        <f t="shared" si="28"/>
        <v>2</v>
      </c>
      <c r="V180" s="1" t="str">
        <f t="shared" si="29"/>
        <v xml:space="preserve"> Pakistan</v>
      </c>
      <c r="W180" s="1" t="str">
        <f t="shared" si="30"/>
        <v>Toronto</v>
      </c>
      <c r="X180" s="1" t="str">
        <f t="shared" si="31"/>
        <v>Yes</v>
      </c>
      <c r="Y180" s="1"/>
    </row>
    <row r="181" spans="1:25" ht="14.25" customHeight="1">
      <c r="A181" s="1"/>
      <c r="B181" s="1">
        <v>164</v>
      </c>
      <c r="C181" s="1" t="s">
        <v>356</v>
      </c>
      <c r="D181" s="1" t="s">
        <v>218</v>
      </c>
      <c r="E181" s="1" t="s">
        <v>140</v>
      </c>
      <c r="F181" s="1" t="s">
        <v>130</v>
      </c>
      <c r="G181" s="1" t="s">
        <v>1042</v>
      </c>
      <c r="H181" s="1" t="s">
        <v>19</v>
      </c>
      <c r="I181" s="1" t="s">
        <v>130</v>
      </c>
      <c r="J181" s="1" t="s">
        <v>156</v>
      </c>
      <c r="K181" s="1" t="s">
        <v>1024</v>
      </c>
      <c r="L181" s="1"/>
      <c r="M181" s="1"/>
      <c r="N181" s="1" t="str">
        <f t="shared" si="24"/>
        <v>No</v>
      </c>
      <c r="O181" s="1">
        <f t="shared" si="25"/>
        <v>21</v>
      </c>
      <c r="P181" s="1">
        <f t="shared" si="26"/>
        <v>64</v>
      </c>
      <c r="Q181" s="1">
        <f t="shared" si="26"/>
        <v>4</v>
      </c>
      <c r="R181" s="1">
        <f t="shared" si="32"/>
        <v>1</v>
      </c>
      <c r="S181" s="34">
        <f t="shared" si="32"/>
        <v>79.680000000000007</v>
      </c>
      <c r="T181" s="1" t="str">
        <f t="shared" si="27"/>
        <v>lbw</v>
      </c>
      <c r="U181" s="1" t="str">
        <f t="shared" si="28"/>
        <v>1</v>
      </c>
      <c r="V181" s="1" t="str">
        <f t="shared" si="29"/>
        <v xml:space="preserve"> Pakistan</v>
      </c>
      <c r="W181" s="1" t="str">
        <f t="shared" si="30"/>
        <v>Toronto</v>
      </c>
      <c r="X181" s="1" t="str">
        <f t="shared" si="31"/>
        <v>Yes</v>
      </c>
      <c r="Y181" s="1"/>
    </row>
    <row r="182" spans="1:25" ht="14.25" customHeight="1">
      <c r="A182" s="1"/>
      <c r="B182" s="1">
        <v>165</v>
      </c>
      <c r="C182" s="1" t="s">
        <v>151</v>
      </c>
      <c r="D182" s="1" t="s">
        <v>176</v>
      </c>
      <c r="E182" s="1" t="s">
        <v>131</v>
      </c>
      <c r="F182" s="1" t="s">
        <v>131</v>
      </c>
      <c r="G182" s="1" t="s">
        <v>1043</v>
      </c>
      <c r="H182" s="1" t="s">
        <v>29</v>
      </c>
      <c r="I182" s="1" t="s">
        <v>130</v>
      </c>
      <c r="J182" s="1" t="s">
        <v>156</v>
      </c>
      <c r="K182" s="1" t="s">
        <v>1044</v>
      </c>
      <c r="L182" s="1"/>
      <c r="M182" s="1"/>
      <c r="N182" s="1" t="str">
        <f t="shared" si="24"/>
        <v>No</v>
      </c>
      <c r="O182" s="1">
        <f t="shared" si="25"/>
        <v>7</v>
      </c>
      <c r="P182" s="1">
        <f t="shared" si="26"/>
        <v>11</v>
      </c>
      <c r="Q182" s="1">
        <f t="shared" si="26"/>
        <v>0</v>
      </c>
      <c r="R182" s="1">
        <f t="shared" si="32"/>
        <v>0</v>
      </c>
      <c r="S182" s="34">
        <f t="shared" si="32"/>
        <v>18.18</v>
      </c>
      <c r="T182" s="1" t="str">
        <f t="shared" si="27"/>
        <v>bowled</v>
      </c>
      <c r="U182" s="1" t="str">
        <f t="shared" si="28"/>
        <v>1</v>
      </c>
      <c r="V182" s="1" t="str">
        <f t="shared" si="29"/>
        <v xml:space="preserve"> Pakistan</v>
      </c>
      <c r="W182" s="1" t="str">
        <f t="shared" si="30"/>
        <v>Hyderabad (Sind)</v>
      </c>
      <c r="X182" s="1" t="str">
        <f t="shared" si="31"/>
        <v>Yes</v>
      </c>
      <c r="Y182" s="1"/>
    </row>
    <row r="183" spans="1:25" ht="14.25" customHeight="1">
      <c r="A183" s="1"/>
      <c r="B183" s="1">
        <v>166</v>
      </c>
      <c r="C183" s="1" t="s">
        <v>246</v>
      </c>
      <c r="D183" s="1" t="s">
        <v>199</v>
      </c>
      <c r="E183" s="1" t="s">
        <v>151</v>
      </c>
      <c r="F183" s="1" t="s">
        <v>130</v>
      </c>
      <c r="G183" s="1" t="s">
        <v>267</v>
      </c>
      <c r="H183" s="1" t="s">
        <v>24</v>
      </c>
      <c r="I183" s="1" t="s">
        <v>151</v>
      </c>
      <c r="J183" s="1" t="s">
        <v>156</v>
      </c>
      <c r="K183" s="1" t="s">
        <v>568</v>
      </c>
      <c r="L183" s="1"/>
      <c r="M183" s="1"/>
      <c r="N183" s="1" t="str">
        <f t="shared" si="24"/>
        <v>No</v>
      </c>
      <c r="O183" s="1">
        <f t="shared" si="25"/>
        <v>91</v>
      </c>
      <c r="P183" s="1">
        <f t="shared" si="26"/>
        <v>18</v>
      </c>
      <c r="Q183" s="1">
        <f t="shared" si="26"/>
        <v>2</v>
      </c>
      <c r="R183" s="1">
        <f t="shared" si="32"/>
        <v>1</v>
      </c>
      <c r="S183" s="34">
        <f t="shared" si="32"/>
        <v>116.66</v>
      </c>
      <c r="T183" s="1" t="str">
        <f t="shared" si="27"/>
        <v>caught</v>
      </c>
      <c r="U183" s="1" t="str">
        <f t="shared" si="28"/>
        <v>2</v>
      </c>
      <c r="V183" s="1" t="str">
        <f t="shared" si="29"/>
        <v xml:space="preserve"> Pakistan</v>
      </c>
      <c r="W183" s="1" t="str">
        <f t="shared" si="30"/>
        <v>Karachi</v>
      </c>
      <c r="X183" s="1" t="str">
        <f t="shared" si="31"/>
        <v>Yes</v>
      </c>
      <c r="Y183" s="1"/>
    </row>
    <row r="184" spans="1:25" ht="14.25" customHeight="1">
      <c r="A184" s="1"/>
      <c r="B184" s="1">
        <v>167</v>
      </c>
      <c r="C184" s="1" t="s">
        <v>144</v>
      </c>
      <c r="D184" s="1" t="s">
        <v>176</v>
      </c>
      <c r="E184" s="1" t="s">
        <v>130</v>
      </c>
      <c r="F184" s="1" t="s">
        <v>131</v>
      </c>
      <c r="G184" s="1" t="s">
        <v>545</v>
      </c>
      <c r="H184" s="1" t="s">
        <v>24</v>
      </c>
      <c r="I184" s="1" t="s">
        <v>130</v>
      </c>
      <c r="J184" s="1" t="s">
        <v>156</v>
      </c>
      <c r="K184" s="1" t="s">
        <v>565</v>
      </c>
      <c r="L184" s="1"/>
      <c r="M184" s="1"/>
      <c r="N184" s="1" t="str">
        <f t="shared" si="24"/>
        <v>No</v>
      </c>
      <c r="O184" s="1">
        <f t="shared" si="25"/>
        <v>3</v>
      </c>
      <c r="P184" s="1">
        <f t="shared" si="26"/>
        <v>11</v>
      </c>
      <c r="Q184" s="1">
        <f t="shared" si="26"/>
        <v>1</v>
      </c>
      <c r="R184" s="1">
        <f t="shared" si="32"/>
        <v>0</v>
      </c>
      <c r="S184" s="34">
        <f t="shared" si="32"/>
        <v>63.63</v>
      </c>
      <c r="T184" s="1" t="str">
        <f t="shared" si="27"/>
        <v>caught</v>
      </c>
      <c r="U184" s="1" t="str">
        <f t="shared" si="28"/>
        <v>1</v>
      </c>
      <c r="V184" s="1" t="str">
        <f t="shared" si="29"/>
        <v xml:space="preserve"> Pakistan</v>
      </c>
      <c r="W184" s="1" t="str">
        <f t="shared" si="30"/>
        <v>Lahore</v>
      </c>
      <c r="X184" s="1" t="str">
        <f t="shared" si="31"/>
        <v>Yes</v>
      </c>
      <c r="Y184" s="1"/>
    </row>
    <row r="185" spans="1:25" ht="14.25" customHeight="1">
      <c r="A185" s="1"/>
      <c r="B185" s="1">
        <v>168</v>
      </c>
      <c r="C185" s="1" t="s">
        <v>179</v>
      </c>
      <c r="D185" s="1" t="s">
        <v>421</v>
      </c>
      <c r="E185" s="1" t="s">
        <v>140</v>
      </c>
      <c r="F185" s="1" t="s">
        <v>151</v>
      </c>
      <c r="G185" s="1" t="s">
        <v>1045</v>
      </c>
      <c r="H185" s="1" t="s">
        <v>63</v>
      </c>
      <c r="I185" s="1" t="s">
        <v>151</v>
      </c>
      <c r="J185" s="1" t="s">
        <v>234</v>
      </c>
      <c r="K185" s="1" t="s">
        <v>955</v>
      </c>
      <c r="L185" s="1"/>
      <c r="M185" s="1"/>
      <c r="N185" s="1" t="str">
        <f t="shared" si="24"/>
        <v>No</v>
      </c>
      <c r="O185" s="1">
        <f t="shared" si="25"/>
        <v>1</v>
      </c>
      <c r="P185" s="1">
        <f t="shared" si="26"/>
        <v>87</v>
      </c>
      <c r="Q185" s="1">
        <f t="shared" si="26"/>
        <v>4</v>
      </c>
      <c r="R185" s="1">
        <f t="shared" si="32"/>
        <v>2</v>
      </c>
      <c r="S185" s="34">
        <f t="shared" si="32"/>
        <v>104.59</v>
      </c>
      <c r="T185" s="1" t="str">
        <f t="shared" si="27"/>
        <v>stumped</v>
      </c>
      <c r="U185" s="1" t="str">
        <f t="shared" si="28"/>
        <v>2</v>
      </c>
      <c r="V185" s="1" t="str">
        <f t="shared" si="29"/>
        <v xml:space="preserve"> England</v>
      </c>
      <c r="W185" s="1" t="str">
        <f t="shared" si="30"/>
        <v>Sharjah</v>
      </c>
      <c r="X185" s="1" t="str">
        <f t="shared" si="31"/>
        <v>Yes</v>
      </c>
      <c r="Y185" s="1"/>
    </row>
    <row r="186" spans="1:25" ht="14.25" customHeight="1">
      <c r="A186" s="1"/>
      <c r="B186" s="1">
        <v>169</v>
      </c>
      <c r="C186" s="1" t="s">
        <v>148</v>
      </c>
      <c r="D186" s="1" t="s">
        <v>140</v>
      </c>
      <c r="E186" s="1" t="s">
        <v>131</v>
      </c>
      <c r="F186" s="1" t="s">
        <v>131</v>
      </c>
      <c r="G186" s="1" t="s">
        <v>178</v>
      </c>
      <c r="H186" s="1" t="s">
        <v>24</v>
      </c>
      <c r="I186" s="1" t="s">
        <v>130</v>
      </c>
      <c r="J186" s="1" t="s">
        <v>156</v>
      </c>
      <c r="K186" s="1" t="s">
        <v>955</v>
      </c>
      <c r="L186" s="1"/>
      <c r="M186" s="1"/>
      <c r="N186" s="1" t="str">
        <f t="shared" si="24"/>
        <v>No</v>
      </c>
      <c r="O186" s="1">
        <f t="shared" si="25"/>
        <v>82</v>
      </c>
      <c r="P186" s="1">
        <f t="shared" si="26"/>
        <v>4</v>
      </c>
      <c r="Q186" s="1">
        <f t="shared" si="26"/>
        <v>0</v>
      </c>
      <c r="R186" s="1">
        <f t="shared" si="32"/>
        <v>0</v>
      </c>
      <c r="S186" s="34">
        <f t="shared" si="32"/>
        <v>75</v>
      </c>
      <c r="T186" s="1" t="str">
        <f t="shared" si="27"/>
        <v>caught</v>
      </c>
      <c r="U186" s="1" t="str">
        <f t="shared" si="28"/>
        <v>1</v>
      </c>
      <c r="V186" s="1" t="str">
        <f t="shared" si="29"/>
        <v xml:space="preserve"> Pakistan</v>
      </c>
      <c r="W186" s="1" t="str">
        <f t="shared" si="30"/>
        <v>Sharjah</v>
      </c>
      <c r="X186" s="1" t="str">
        <f t="shared" si="31"/>
        <v>Yes</v>
      </c>
      <c r="Y186" s="1"/>
    </row>
    <row r="187" spans="1:25" ht="14.25" customHeight="1">
      <c r="A187" s="1"/>
      <c r="B187" s="1">
        <v>170</v>
      </c>
      <c r="C187" s="1" t="s">
        <v>130</v>
      </c>
      <c r="D187" s="1" t="s">
        <v>151</v>
      </c>
      <c r="E187" s="1" t="s">
        <v>131</v>
      </c>
      <c r="F187" s="1" t="s">
        <v>131</v>
      </c>
      <c r="G187" s="1" t="s">
        <v>204</v>
      </c>
      <c r="H187" s="1" t="s">
        <v>26</v>
      </c>
      <c r="I187" s="1" t="s">
        <v>151</v>
      </c>
      <c r="J187" s="1" t="s">
        <v>163</v>
      </c>
      <c r="K187" s="1" t="s">
        <v>955</v>
      </c>
      <c r="L187" s="1"/>
      <c r="M187" s="1"/>
      <c r="N187" s="1" t="str">
        <f t="shared" si="24"/>
        <v>No</v>
      </c>
      <c r="O187" s="1" t="str">
        <f t="shared" si="25"/>
        <v>NA</v>
      </c>
      <c r="P187" s="1">
        <f t="shared" si="26"/>
        <v>2</v>
      </c>
      <c r="Q187" s="1">
        <f t="shared" si="26"/>
        <v>0</v>
      </c>
      <c r="R187" s="1">
        <f t="shared" si="32"/>
        <v>0</v>
      </c>
      <c r="S187" s="34">
        <f t="shared" si="32"/>
        <v>50</v>
      </c>
      <c r="T187" s="1" t="str">
        <f t="shared" si="27"/>
        <v>run out</v>
      </c>
      <c r="U187" s="1" t="str">
        <f t="shared" si="28"/>
        <v>2</v>
      </c>
      <c r="V187" s="1" t="str">
        <f t="shared" si="29"/>
        <v xml:space="preserve"> West Indies</v>
      </c>
      <c r="W187" s="1" t="str">
        <f t="shared" si="30"/>
        <v>Sharjah</v>
      </c>
      <c r="X187" s="1" t="str">
        <f t="shared" si="31"/>
        <v>Yes</v>
      </c>
      <c r="Y187" s="1"/>
    </row>
    <row r="188" spans="1:25" ht="14.25" customHeight="1">
      <c r="A188" s="1"/>
      <c r="B188" s="1">
        <v>171</v>
      </c>
      <c r="C188" s="1" t="s">
        <v>425</v>
      </c>
      <c r="D188" s="1" t="s">
        <v>288</v>
      </c>
      <c r="E188" s="1" t="s">
        <v>136</v>
      </c>
      <c r="F188" s="1" t="s">
        <v>131</v>
      </c>
      <c r="G188" s="1" t="s">
        <v>877</v>
      </c>
      <c r="H188" s="1" t="s">
        <v>32</v>
      </c>
      <c r="I188" s="1" t="s">
        <v>151</v>
      </c>
      <c r="J188" s="1" t="s">
        <v>133</v>
      </c>
      <c r="K188" s="1" t="s">
        <v>66</v>
      </c>
      <c r="L188" s="1"/>
      <c r="M188" s="1"/>
      <c r="N188" s="1" t="str">
        <f t="shared" si="24"/>
        <v>No</v>
      </c>
      <c r="O188" s="1">
        <f t="shared" si="25"/>
        <v>6</v>
      </c>
      <c r="P188" s="1">
        <f t="shared" si="26"/>
        <v>86</v>
      </c>
      <c r="Q188" s="1">
        <f t="shared" si="26"/>
        <v>6</v>
      </c>
      <c r="R188" s="1">
        <f t="shared" si="32"/>
        <v>0</v>
      </c>
      <c r="S188" s="34">
        <f t="shared" si="32"/>
        <v>95.34</v>
      </c>
      <c r="T188" s="1" t="str">
        <f t="shared" si="27"/>
        <v>not out</v>
      </c>
      <c r="U188" s="1" t="str">
        <f t="shared" si="28"/>
        <v>2</v>
      </c>
      <c r="V188" s="1" t="str">
        <f t="shared" si="29"/>
        <v xml:space="preserve"> Sri Lanka</v>
      </c>
      <c r="W188" s="1" t="str">
        <f t="shared" si="30"/>
        <v>Guwahati</v>
      </c>
      <c r="X188" s="1" t="str">
        <f t="shared" si="31"/>
        <v>No</v>
      </c>
      <c r="Y188" s="1"/>
    </row>
    <row r="189" spans="1:25" ht="14.25" customHeight="1">
      <c r="A189" s="1"/>
      <c r="B189" s="1">
        <v>172</v>
      </c>
      <c r="C189" s="1" t="s">
        <v>38</v>
      </c>
      <c r="D189" s="1" t="s">
        <v>157</v>
      </c>
      <c r="E189" s="1" t="s">
        <v>157</v>
      </c>
      <c r="F189" s="1" t="s">
        <v>157</v>
      </c>
      <c r="G189" s="1" t="s">
        <v>157</v>
      </c>
      <c r="H189" s="1" t="s">
        <v>157</v>
      </c>
      <c r="I189" s="1" t="s">
        <v>157</v>
      </c>
      <c r="J189" s="1" t="s">
        <v>133</v>
      </c>
      <c r="K189" s="1" t="s">
        <v>87</v>
      </c>
      <c r="L189" s="1"/>
      <c r="M189" s="1"/>
      <c r="N189" s="1" t="str">
        <f t="shared" si="24"/>
        <v>Yes</v>
      </c>
      <c r="O189" s="1">
        <f t="shared" si="25"/>
        <v>54</v>
      </c>
      <c r="P189" s="1" t="str">
        <f t="shared" si="26"/>
        <v>NA</v>
      </c>
      <c r="Q189" s="1" t="str">
        <f t="shared" si="26"/>
        <v>NA</v>
      </c>
      <c r="R189" s="1" t="str">
        <f t="shared" si="32"/>
        <v>NA</v>
      </c>
      <c r="S189" s="34" t="str">
        <f t="shared" si="32"/>
        <v>NA</v>
      </c>
      <c r="T189" s="1" t="str">
        <f t="shared" si="27"/>
        <v>NA</v>
      </c>
      <c r="U189" s="1" t="str">
        <f t="shared" si="28"/>
        <v>-</v>
      </c>
      <c r="V189" s="1" t="str">
        <f t="shared" si="29"/>
        <v xml:space="preserve"> Sri Lanka</v>
      </c>
      <c r="W189" s="1" t="str">
        <f t="shared" si="30"/>
        <v>Indore</v>
      </c>
      <c r="X189" s="1" t="str">
        <f t="shared" si="31"/>
        <v>No</v>
      </c>
      <c r="Y189" s="1"/>
    </row>
    <row r="190" spans="1:25" ht="14.25" customHeight="1">
      <c r="A190" s="1"/>
      <c r="B190" s="1">
        <v>173</v>
      </c>
      <c r="C190" s="1" t="s">
        <v>136</v>
      </c>
      <c r="D190" s="1" t="s">
        <v>325</v>
      </c>
      <c r="E190" s="1" t="s">
        <v>131</v>
      </c>
      <c r="F190" s="1" t="s">
        <v>131</v>
      </c>
      <c r="G190" s="1" t="s">
        <v>559</v>
      </c>
      <c r="H190" s="1" t="s">
        <v>24</v>
      </c>
      <c r="I190" s="1" t="s">
        <v>130</v>
      </c>
      <c r="J190" s="1" t="s">
        <v>133</v>
      </c>
      <c r="K190" s="1" t="s">
        <v>573</v>
      </c>
      <c r="L190" s="1"/>
      <c r="M190" s="1"/>
      <c r="N190" s="1" t="str">
        <f t="shared" si="24"/>
        <v>No</v>
      </c>
      <c r="O190" s="1">
        <f t="shared" si="25"/>
        <v>67</v>
      </c>
      <c r="P190" s="1">
        <f t="shared" si="26"/>
        <v>13</v>
      </c>
      <c r="Q190" s="1">
        <f t="shared" si="26"/>
        <v>0</v>
      </c>
      <c r="R190" s="1">
        <f t="shared" si="32"/>
        <v>0</v>
      </c>
      <c r="S190" s="34">
        <f t="shared" si="32"/>
        <v>46.15</v>
      </c>
      <c r="T190" s="1" t="str">
        <f t="shared" si="27"/>
        <v>caught</v>
      </c>
      <c r="U190" s="1" t="str">
        <f t="shared" si="28"/>
        <v>1</v>
      </c>
      <c r="V190" s="1" t="str">
        <f t="shared" si="29"/>
        <v xml:space="preserve"> Sri Lanka</v>
      </c>
      <c r="W190" s="1" t="str">
        <f t="shared" si="30"/>
        <v>Margao</v>
      </c>
      <c r="X190" s="1" t="str">
        <f t="shared" si="31"/>
        <v>Yes</v>
      </c>
      <c r="Y190" s="1"/>
    </row>
    <row r="191" spans="1:25" ht="14.25" customHeight="1">
      <c r="A191" s="1"/>
      <c r="B191" s="1">
        <v>174</v>
      </c>
      <c r="C191" s="1" t="s">
        <v>142</v>
      </c>
      <c r="D191" s="1" t="s">
        <v>242</v>
      </c>
      <c r="E191" s="1" t="s">
        <v>140</v>
      </c>
      <c r="F191" s="1" t="s">
        <v>131</v>
      </c>
      <c r="G191" s="1" t="s">
        <v>1046</v>
      </c>
      <c r="H191" s="1" t="s">
        <v>24</v>
      </c>
      <c r="I191" s="1" t="s">
        <v>151</v>
      </c>
      <c r="J191" s="1" t="s">
        <v>182</v>
      </c>
      <c r="K191" s="1" t="s">
        <v>531</v>
      </c>
      <c r="L191" s="1"/>
      <c r="M191" s="1"/>
      <c r="N191" s="1" t="str">
        <f t="shared" si="24"/>
        <v>No</v>
      </c>
      <c r="O191" s="1">
        <f t="shared" si="25"/>
        <v>95</v>
      </c>
      <c r="P191" s="1">
        <f t="shared" si="26"/>
        <v>76</v>
      </c>
      <c r="Q191" s="1">
        <f t="shared" si="26"/>
        <v>4</v>
      </c>
      <c r="R191" s="1">
        <f t="shared" si="32"/>
        <v>0</v>
      </c>
      <c r="S191" s="34">
        <f t="shared" si="32"/>
        <v>71.05</v>
      </c>
      <c r="T191" s="1" t="str">
        <f t="shared" si="27"/>
        <v>caught</v>
      </c>
      <c r="U191" s="1" t="str">
        <f t="shared" si="28"/>
        <v>2</v>
      </c>
      <c r="V191" s="1" t="str">
        <f t="shared" si="29"/>
        <v xml:space="preserve"> Bangladesh</v>
      </c>
      <c r="W191" s="1" t="str">
        <f t="shared" si="30"/>
        <v>Dhaka</v>
      </c>
      <c r="X191" s="1" t="str">
        <f t="shared" si="31"/>
        <v>Yes</v>
      </c>
      <c r="Y191" s="1"/>
    </row>
    <row r="192" spans="1:25" ht="14.25" customHeight="1">
      <c r="A192" s="1"/>
      <c r="B192" s="1">
        <v>175</v>
      </c>
      <c r="C192" s="1" t="s">
        <v>135</v>
      </c>
      <c r="D192" s="1" t="s">
        <v>369</v>
      </c>
      <c r="E192" s="1" t="s">
        <v>176</v>
      </c>
      <c r="F192" s="1" t="s">
        <v>131</v>
      </c>
      <c r="G192" s="1" t="s">
        <v>1047</v>
      </c>
      <c r="H192" s="1" t="s">
        <v>63</v>
      </c>
      <c r="I192" s="1" t="s">
        <v>130</v>
      </c>
      <c r="J192" s="1" t="s">
        <v>156</v>
      </c>
      <c r="K192" s="1" t="s">
        <v>531</v>
      </c>
      <c r="L192" s="1"/>
      <c r="M192" s="1"/>
      <c r="N192" s="1" t="str">
        <f t="shared" si="24"/>
        <v>No</v>
      </c>
      <c r="O192" s="1">
        <f t="shared" si="25"/>
        <v>1</v>
      </c>
      <c r="P192" s="1">
        <f t="shared" si="26"/>
        <v>44</v>
      </c>
      <c r="Q192" s="1">
        <f t="shared" si="26"/>
        <v>11</v>
      </c>
      <c r="R192" s="1">
        <f t="shared" si="32"/>
        <v>0</v>
      </c>
      <c r="S192" s="34">
        <f t="shared" si="32"/>
        <v>152.27000000000001</v>
      </c>
      <c r="T192" s="1" t="str">
        <f t="shared" si="27"/>
        <v>stumped</v>
      </c>
      <c r="U192" s="1" t="str">
        <f t="shared" si="28"/>
        <v>1</v>
      </c>
      <c r="V192" s="1" t="str">
        <f t="shared" si="29"/>
        <v xml:space="preserve"> Pakistan</v>
      </c>
      <c r="W192" s="1" t="str">
        <f t="shared" si="30"/>
        <v>Dhaka</v>
      </c>
      <c r="X192" s="1" t="str">
        <f t="shared" si="31"/>
        <v>Yes</v>
      </c>
      <c r="Y192" s="1"/>
    </row>
    <row r="193" spans="1:25" ht="14.25" customHeight="1">
      <c r="A193" s="1"/>
      <c r="B193" s="1">
        <v>176</v>
      </c>
      <c r="C193" s="1" t="s">
        <v>187</v>
      </c>
      <c r="D193" s="1" t="s">
        <v>348</v>
      </c>
      <c r="E193" s="1" t="s">
        <v>136</v>
      </c>
      <c r="F193" s="1" t="s">
        <v>202</v>
      </c>
      <c r="G193" s="1" t="s">
        <v>1048</v>
      </c>
      <c r="H193" s="1" t="s">
        <v>29</v>
      </c>
      <c r="I193" s="1" t="s">
        <v>151</v>
      </c>
      <c r="J193" s="1" t="s">
        <v>156</v>
      </c>
      <c r="K193" s="1" t="s">
        <v>531</v>
      </c>
      <c r="L193" s="1"/>
      <c r="M193" s="1"/>
      <c r="N193" s="1" t="str">
        <f t="shared" si="24"/>
        <v>No</v>
      </c>
      <c r="O193" s="1">
        <f t="shared" si="25"/>
        <v>41</v>
      </c>
      <c r="P193" s="1">
        <f t="shared" si="26"/>
        <v>78</v>
      </c>
      <c r="Q193" s="1">
        <f t="shared" si="26"/>
        <v>6</v>
      </c>
      <c r="R193" s="1">
        <f t="shared" si="32"/>
        <v>5</v>
      </c>
      <c r="S193" s="34">
        <f t="shared" si="32"/>
        <v>121.79</v>
      </c>
      <c r="T193" s="1" t="str">
        <f t="shared" si="27"/>
        <v>bowled</v>
      </c>
      <c r="U193" s="1" t="str">
        <f t="shared" si="28"/>
        <v>2</v>
      </c>
      <c r="V193" s="1" t="str">
        <f t="shared" si="29"/>
        <v xml:space="preserve"> Pakistan</v>
      </c>
      <c r="W193" s="1" t="str">
        <f t="shared" si="30"/>
        <v>Dhaka</v>
      </c>
      <c r="X193" s="1" t="str">
        <f t="shared" si="31"/>
        <v>Yes</v>
      </c>
      <c r="Y193" s="1"/>
    </row>
    <row r="194" spans="1:25" ht="14.25" customHeight="1">
      <c r="A194" s="1"/>
      <c r="B194" s="1">
        <v>177</v>
      </c>
      <c r="C194" s="1" t="s">
        <v>130</v>
      </c>
      <c r="D194" s="1" t="s">
        <v>136</v>
      </c>
      <c r="E194" s="1" t="s">
        <v>131</v>
      </c>
      <c r="F194" s="1" t="s">
        <v>131</v>
      </c>
      <c r="G194" s="1" t="s">
        <v>481</v>
      </c>
      <c r="H194" s="1" t="s">
        <v>29</v>
      </c>
      <c r="I194" s="1" t="s">
        <v>130</v>
      </c>
      <c r="J194" s="1" t="s">
        <v>156</v>
      </c>
      <c r="K194" s="1" t="s">
        <v>531</v>
      </c>
      <c r="L194" s="1"/>
      <c r="M194" s="1"/>
      <c r="N194" s="1" t="str">
        <f t="shared" si="24"/>
        <v>No</v>
      </c>
      <c r="O194" s="1">
        <f t="shared" si="25"/>
        <v>8</v>
      </c>
      <c r="P194" s="1">
        <f t="shared" si="26"/>
        <v>6</v>
      </c>
      <c r="Q194" s="1">
        <f t="shared" si="26"/>
        <v>0</v>
      </c>
      <c r="R194" s="1">
        <f t="shared" si="32"/>
        <v>0</v>
      </c>
      <c r="S194" s="34">
        <f t="shared" si="32"/>
        <v>16.66</v>
      </c>
      <c r="T194" s="1" t="str">
        <f t="shared" si="27"/>
        <v>bowled</v>
      </c>
      <c r="U194" s="1" t="str">
        <f t="shared" si="28"/>
        <v>1</v>
      </c>
      <c r="V194" s="1" t="str">
        <f t="shared" si="29"/>
        <v xml:space="preserve"> Pakistan</v>
      </c>
      <c r="W194" s="1" t="str">
        <f t="shared" si="30"/>
        <v>Dhaka</v>
      </c>
      <c r="X194" s="1" t="str">
        <f t="shared" si="31"/>
        <v>Yes</v>
      </c>
      <c r="Y194" s="1"/>
    </row>
    <row r="195" spans="1:25" ht="14.25" customHeight="1">
      <c r="A195" s="1"/>
      <c r="B195" s="1">
        <v>178</v>
      </c>
      <c r="C195" s="1" t="s">
        <v>165</v>
      </c>
      <c r="D195" s="1" t="s">
        <v>313</v>
      </c>
      <c r="E195" s="1" t="s">
        <v>144</v>
      </c>
      <c r="F195" s="1" t="s">
        <v>130</v>
      </c>
      <c r="G195" s="1" t="s">
        <v>1049</v>
      </c>
      <c r="H195" s="1" t="s">
        <v>24</v>
      </c>
      <c r="I195" s="1" t="s">
        <v>151</v>
      </c>
      <c r="J195" s="1" t="s">
        <v>156</v>
      </c>
      <c r="K195" s="1" t="s">
        <v>531</v>
      </c>
      <c r="L195" s="1"/>
      <c r="M195" s="1"/>
      <c r="N195" s="1" t="str">
        <f t="shared" si="24"/>
        <v>No</v>
      </c>
      <c r="O195" s="1">
        <f t="shared" si="25"/>
        <v>5</v>
      </c>
      <c r="P195" s="1">
        <f t="shared" si="26"/>
        <v>26</v>
      </c>
      <c r="Q195" s="1">
        <f t="shared" si="26"/>
        <v>7</v>
      </c>
      <c r="R195" s="1">
        <f t="shared" si="32"/>
        <v>1</v>
      </c>
      <c r="S195" s="34">
        <f t="shared" si="32"/>
        <v>157.69</v>
      </c>
      <c r="T195" s="1" t="str">
        <f t="shared" si="27"/>
        <v>caught</v>
      </c>
      <c r="U195" s="1" t="str">
        <f t="shared" si="28"/>
        <v>2</v>
      </c>
      <c r="V195" s="1" t="str">
        <f t="shared" si="29"/>
        <v xml:space="preserve"> Pakistan</v>
      </c>
      <c r="W195" s="1" t="str">
        <f t="shared" si="30"/>
        <v>Dhaka</v>
      </c>
      <c r="X195" s="1" t="str">
        <f t="shared" si="31"/>
        <v>Yes</v>
      </c>
      <c r="Y195" s="1"/>
    </row>
    <row r="196" spans="1:25" ht="14.25" customHeight="1">
      <c r="A196" s="1"/>
      <c r="B196" s="1">
        <v>179</v>
      </c>
      <c r="C196" s="1" t="s">
        <v>189</v>
      </c>
      <c r="D196" s="1" t="s">
        <v>176</v>
      </c>
      <c r="E196" s="1" t="s">
        <v>130</v>
      </c>
      <c r="F196" s="1" t="s">
        <v>131</v>
      </c>
      <c r="G196" s="1" t="s">
        <v>245</v>
      </c>
      <c r="H196" s="1" t="s">
        <v>24</v>
      </c>
      <c r="I196" s="1" t="s">
        <v>130</v>
      </c>
      <c r="J196" s="1" t="s">
        <v>158</v>
      </c>
      <c r="K196" s="1" t="s">
        <v>96</v>
      </c>
      <c r="L196" s="1"/>
      <c r="M196" s="1"/>
      <c r="N196" s="1" t="str">
        <f t="shared" si="24"/>
        <v>No</v>
      </c>
      <c r="O196" s="1">
        <f t="shared" si="25"/>
        <v>100</v>
      </c>
      <c r="P196" s="1">
        <f t="shared" si="26"/>
        <v>11</v>
      </c>
      <c r="Q196" s="1">
        <f t="shared" si="26"/>
        <v>1</v>
      </c>
      <c r="R196" s="1">
        <f t="shared" si="32"/>
        <v>0</v>
      </c>
      <c r="S196" s="34">
        <f t="shared" si="32"/>
        <v>72.72</v>
      </c>
      <c r="T196" s="1" t="str">
        <f t="shared" si="27"/>
        <v>caught</v>
      </c>
      <c r="U196" s="1" t="str">
        <f t="shared" si="28"/>
        <v>1</v>
      </c>
      <c r="V196" s="1" t="str">
        <f t="shared" si="29"/>
        <v xml:space="preserve"> Australia</v>
      </c>
      <c r="W196" s="1" t="str">
        <f t="shared" si="30"/>
        <v>Kochi</v>
      </c>
      <c r="X196" s="1" t="str">
        <f t="shared" si="31"/>
        <v>Yes</v>
      </c>
      <c r="Y196" s="1"/>
    </row>
    <row r="197" spans="1:25" ht="14.25" customHeight="1">
      <c r="A197" s="1"/>
      <c r="B197" s="1">
        <v>180</v>
      </c>
      <c r="C197" s="1" t="s">
        <v>202</v>
      </c>
      <c r="D197" s="1" t="s">
        <v>306</v>
      </c>
      <c r="E197" s="1" t="s">
        <v>131</v>
      </c>
      <c r="F197" s="1" t="s">
        <v>131</v>
      </c>
      <c r="G197" s="1" t="s">
        <v>1050</v>
      </c>
      <c r="H197" s="1" t="s">
        <v>26</v>
      </c>
      <c r="I197" s="1" t="s">
        <v>130</v>
      </c>
      <c r="J197" s="1" t="s">
        <v>195</v>
      </c>
      <c r="K197" s="1" t="s">
        <v>44</v>
      </c>
      <c r="L197" s="1"/>
      <c r="M197" s="1"/>
      <c r="N197" s="1" t="str">
        <f t="shared" si="24"/>
        <v>No</v>
      </c>
      <c r="O197" s="1">
        <f t="shared" si="25"/>
        <v>1</v>
      </c>
      <c r="P197" s="1">
        <f t="shared" si="26"/>
        <v>17</v>
      </c>
      <c r="Q197" s="1">
        <f t="shared" si="26"/>
        <v>0</v>
      </c>
      <c r="R197" s="1">
        <f t="shared" si="32"/>
        <v>0</v>
      </c>
      <c r="S197" s="34">
        <f t="shared" si="32"/>
        <v>29.41</v>
      </c>
      <c r="T197" s="1" t="str">
        <f t="shared" si="27"/>
        <v>run out</v>
      </c>
      <c r="U197" s="1" t="str">
        <f t="shared" si="28"/>
        <v>1</v>
      </c>
      <c r="V197" s="1" t="str">
        <f t="shared" si="29"/>
        <v xml:space="preserve"> Zimbabwe</v>
      </c>
      <c r="W197" s="1" t="str">
        <f t="shared" si="30"/>
        <v>Vadodara</v>
      </c>
      <c r="X197" s="1" t="str">
        <f t="shared" si="31"/>
        <v>Yes</v>
      </c>
      <c r="Y197" s="1"/>
    </row>
    <row r="198" spans="1:25" ht="14.25" customHeight="1">
      <c r="A198" s="1"/>
      <c r="B198" s="1">
        <v>181</v>
      </c>
      <c r="C198" s="1" t="s">
        <v>342</v>
      </c>
      <c r="D198" s="1" t="s">
        <v>486</v>
      </c>
      <c r="E198" s="1" t="s">
        <v>202</v>
      </c>
      <c r="F198" s="1" t="s">
        <v>144</v>
      </c>
      <c r="G198" s="1" t="s">
        <v>1051</v>
      </c>
      <c r="H198" s="1" t="s">
        <v>24</v>
      </c>
      <c r="I198" s="1" t="s">
        <v>151</v>
      </c>
      <c r="J198" s="1" t="s">
        <v>158</v>
      </c>
      <c r="K198" s="1" t="s">
        <v>101</v>
      </c>
      <c r="L198" s="1"/>
      <c r="M198" s="1"/>
      <c r="N198" s="1" t="str">
        <f t="shared" si="24"/>
        <v>No</v>
      </c>
      <c r="O198" s="1">
        <f t="shared" si="25"/>
        <v>15</v>
      </c>
      <c r="P198" s="1">
        <f t="shared" si="26"/>
        <v>89</v>
      </c>
      <c r="Q198" s="1">
        <f t="shared" si="26"/>
        <v>5</v>
      </c>
      <c r="R198" s="1">
        <f t="shared" si="32"/>
        <v>7</v>
      </c>
      <c r="S198" s="34">
        <f t="shared" si="32"/>
        <v>112.35</v>
      </c>
      <c r="T198" s="1" t="str">
        <f t="shared" si="27"/>
        <v>caught</v>
      </c>
      <c r="U198" s="1" t="str">
        <f t="shared" si="28"/>
        <v>2</v>
      </c>
      <c r="V198" s="1" t="str">
        <f t="shared" si="29"/>
        <v xml:space="preserve"> Australia</v>
      </c>
      <c r="W198" s="1" t="str">
        <f t="shared" si="30"/>
        <v>Kanpur</v>
      </c>
      <c r="X198" s="1" t="str">
        <f t="shared" si="31"/>
        <v>Yes</v>
      </c>
      <c r="Y198" s="1"/>
    </row>
    <row r="199" spans="1:25" ht="14.25" customHeight="1">
      <c r="A199" s="1"/>
      <c r="B199" s="1">
        <v>182</v>
      </c>
      <c r="C199" s="1" t="s">
        <v>130</v>
      </c>
      <c r="D199" s="1" t="s">
        <v>151</v>
      </c>
      <c r="E199" s="1" t="s">
        <v>131</v>
      </c>
      <c r="F199" s="1" t="s">
        <v>131</v>
      </c>
      <c r="G199" s="1" t="s">
        <v>204</v>
      </c>
      <c r="H199" s="1" t="s">
        <v>24</v>
      </c>
      <c r="I199" s="1" t="s">
        <v>130</v>
      </c>
      <c r="J199" s="1" t="s">
        <v>195</v>
      </c>
      <c r="K199" s="1" t="s">
        <v>86</v>
      </c>
      <c r="L199" s="1"/>
      <c r="M199" s="1"/>
      <c r="N199" s="1" t="str">
        <f t="shared" si="24"/>
        <v>No</v>
      </c>
      <c r="O199" s="1">
        <f t="shared" si="25"/>
        <v>40</v>
      </c>
      <c r="P199" s="1">
        <f t="shared" si="26"/>
        <v>2</v>
      </c>
      <c r="Q199" s="1">
        <f t="shared" si="26"/>
        <v>0</v>
      </c>
      <c r="R199" s="1">
        <f t="shared" si="32"/>
        <v>0</v>
      </c>
      <c r="S199" s="34">
        <f t="shared" si="32"/>
        <v>50</v>
      </c>
      <c r="T199" s="1" t="str">
        <f t="shared" si="27"/>
        <v>caught</v>
      </c>
      <c r="U199" s="1" t="str">
        <f t="shared" si="28"/>
        <v>1</v>
      </c>
      <c r="V199" s="1" t="str">
        <f t="shared" si="29"/>
        <v xml:space="preserve"> Zimbabwe</v>
      </c>
      <c r="W199" s="1" t="str">
        <f t="shared" si="30"/>
        <v>Cuttack</v>
      </c>
      <c r="X199" s="1" t="str">
        <f t="shared" si="31"/>
        <v>Yes</v>
      </c>
      <c r="Y199" s="1"/>
    </row>
    <row r="200" spans="1:25" ht="14.25" customHeight="1">
      <c r="A200" s="1"/>
      <c r="B200" s="1">
        <v>183</v>
      </c>
      <c r="C200" s="1" t="s">
        <v>283</v>
      </c>
      <c r="D200" s="1" t="s">
        <v>154</v>
      </c>
      <c r="E200" s="1" t="s">
        <v>151</v>
      </c>
      <c r="F200" s="1" t="s">
        <v>131</v>
      </c>
      <c r="G200" s="1" t="s">
        <v>168</v>
      </c>
      <c r="H200" s="1" t="s">
        <v>24</v>
      </c>
      <c r="I200" s="1" t="s">
        <v>130</v>
      </c>
      <c r="J200" s="1" t="s">
        <v>158</v>
      </c>
      <c r="K200" s="1" t="s">
        <v>52</v>
      </c>
      <c r="L200" s="1"/>
      <c r="M200" s="1"/>
      <c r="N200" s="1" t="str">
        <f t="shared" si="24"/>
        <v>No</v>
      </c>
      <c r="O200" s="1">
        <f t="shared" si="25"/>
        <v>80</v>
      </c>
      <c r="P200" s="1">
        <f t="shared" si="26"/>
        <v>24</v>
      </c>
      <c r="Q200" s="1">
        <f t="shared" si="26"/>
        <v>2</v>
      </c>
      <c r="R200" s="1">
        <f t="shared" si="32"/>
        <v>0</v>
      </c>
      <c r="S200" s="34">
        <f t="shared" si="32"/>
        <v>62.5</v>
      </c>
      <c r="T200" s="1" t="str">
        <f t="shared" si="27"/>
        <v>caught</v>
      </c>
      <c r="U200" s="1" t="str">
        <f t="shared" si="28"/>
        <v>1</v>
      </c>
      <c r="V200" s="1" t="str">
        <f t="shared" si="29"/>
        <v xml:space="preserve"> Australia</v>
      </c>
      <c r="W200" s="1" t="str">
        <f t="shared" si="30"/>
        <v>Delhi</v>
      </c>
      <c r="X200" s="1" t="str">
        <f t="shared" si="31"/>
        <v>Yes</v>
      </c>
      <c r="Y200" s="1"/>
    </row>
    <row r="201" spans="1:25" ht="14.25" customHeight="1">
      <c r="A201" s="1"/>
      <c r="B201" s="1">
        <v>184</v>
      </c>
      <c r="C201" s="1" t="s">
        <v>359</v>
      </c>
      <c r="D201" s="1" t="s">
        <v>165</v>
      </c>
      <c r="E201" s="1" t="s">
        <v>202</v>
      </c>
      <c r="F201" s="1" t="s">
        <v>130</v>
      </c>
      <c r="G201" s="1" t="s">
        <v>1052</v>
      </c>
      <c r="H201" s="1" t="s">
        <v>24</v>
      </c>
      <c r="I201" s="1" t="s">
        <v>130</v>
      </c>
      <c r="J201" s="1" t="s">
        <v>211</v>
      </c>
      <c r="K201" s="1" t="s">
        <v>955</v>
      </c>
      <c r="L201" s="1"/>
      <c r="M201" s="1"/>
      <c r="N201" s="1" t="str">
        <f t="shared" si="24"/>
        <v>No</v>
      </c>
      <c r="O201" s="1">
        <f t="shared" si="25"/>
        <v>38</v>
      </c>
      <c r="P201" s="1">
        <f t="shared" si="26"/>
        <v>41</v>
      </c>
      <c r="Q201" s="1">
        <f t="shared" si="26"/>
        <v>5</v>
      </c>
      <c r="R201" s="1">
        <f t="shared" si="32"/>
        <v>1</v>
      </c>
      <c r="S201" s="34">
        <f t="shared" si="32"/>
        <v>97.56</v>
      </c>
      <c r="T201" s="1" t="str">
        <f t="shared" si="27"/>
        <v>caught</v>
      </c>
      <c r="U201" s="1" t="str">
        <f t="shared" si="28"/>
        <v>1</v>
      </c>
      <c r="V201" s="1" t="str">
        <f t="shared" si="29"/>
        <v xml:space="preserve"> New Zealand</v>
      </c>
      <c r="W201" s="1" t="str">
        <f t="shared" si="30"/>
        <v>Sharjah</v>
      </c>
      <c r="X201" s="1" t="str">
        <f t="shared" si="31"/>
        <v>Yes</v>
      </c>
      <c r="Y201" s="1"/>
    </row>
    <row r="202" spans="1:25" ht="14.25" customHeight="1">
      <c r="A202" s="1"/>
      <c r="B202" s="1">
        <v>185</v>
      </c>
      <c r="C202" s="1" t="s">
        <v>276</v>
      </c>
      <c r="D202" s="1" t="s">
        <v>454</v>
      </c>
      <c r="E202" s="1" t="s">
        <v>161</v>
      </c>
      <c r="F202" s="1" t="s">
        <v>131</v>
      </c>
      <c r="G202" s="1" t="s">
        <v>523</v>
      </c>
      <c r="H202" s="1" t="s">
        <v>24</v>
      </c>
      <c r="I202" s="1" t="s">
        <v>151</v>
      </c>
      <c r="J202" s="1" t="s">
        <v>158</v>
      </c>
      <c r="K202" s="1" t="s">
        <v>955</v>
      </c>
      <c r="L202" s="1"/>
      <c r="M202" s="1"/>
      <c r="N202" s="1" t="str">
        <f t="shared" si="24"/>
        <v>No</v>
      </c>
      <c r="O202" s="1">
        <f t="shared" si="25"/>
        <v>143</v>
      </c>
      <c r="P202" s="1">
        <f t="shared" si="26"/>
        <v>72</v>
      </c>
      <c r="Q202" s="1">
        <f t="shared" si="26"/>
        <v>9</v>
      </c>
      <c r="R202" s="1">
        <f t="shared" si="32"/>
        <v>0</v>
      </c>
      <c r="S202" s="34">
        <f t="shared" si="32"/>
        <v>111.11</v>
      </c>
      <c r="T202" s="1" t="str">
        <f t="shared" si="27"/>
        <v>caught</v>
      </c>
      <c r="U202" s="1" t="str">
        <f t="shared" si="28"/>
        <v>2</v>
      </c>
      <c r="V202" s="1" t="str">
        <f t="shared" si="29"/>
        <v xml:space="preserve"> Australia</v>
      </c>
      <c r="W202" s="1" t="str">
        <f t="shared" si="30"/>
        <v>Sharjah</v>
      </c>
      <c r="X202" s="1" t="str">
        <f t="shared" si="31"/>
        <v>Yes</v>
      </c>
      <c r="Y202" s="1"/>
    </row>
    <row r="203" spans="1:25" ht="14.25" customHeight="1">
      <c r="A203" s="1"/>
      <c r="B203" s="1">
        <v>186</v>
      </c>
      <c r="C203" s="1" t="s">
        <v>139</v>
      </c>
      <c r="D203" s="1" t="s">
        <v>582</v>
      </c>
      <c r="E203" s="1" t="s">
        <v>151</v>
      </c>
      <c r="F203" s="1" t="s">
        <v>131</v>
      </c>
      <c r="G203" s="1" t="s">
        <v>1053</v>
      </c>
      <c r="H203" s="1" t="s">
        <v>26</v>
      </c>
      <c r="I203" s="1" t="s">
        <v>130</v>
      </c>
      <c r="J203" s="1" t="s">
        <v>211</v>
      </c>
      <c r="K203" s="1" t="s">
        <v>955</v>
      </c>
      <c r="L203" s="1"/>
      <c r="M203" s="1"/>
      <c r="N203" s="1" t="str">
        <f t="shared" si="24"/>
        <v>No</v>
      </c>
      <c r="O203" s="1">
        <f t="shared" si="25"/>
        <v>134</v>
      </c>
      <c r="P203" s="1">
        <f t="shared" si="26"/>
        <v>58</v>
      </c>
      <c r="Q203" s="1">
        <f t="shared" si="26"/>
        <v>2</v>
      </c>
      <c r="R203" s="1">
        <f t="shared" si="32"/>
        <v>0</v>
      </c>
      <c r="S203" s="34">
        <f t="shared" si="32"/>
        <v>65.510000000000005</v>
      </c>
      <c r="T203" s="1" t="str">
        <f t="shared" si="27"/>
        <v>run out</v>
      </c>
      <c r="U203" s="1" t="str">
        <f t="shared" si="28"/>
        <v>1</v>
      </c>
      <c r="V203" s="1" t="str">
        <f t="shared" si="29"/>
        <v xml:space="preserve"> New Zealand</v>
      </c>
      <c r="W203" s="1" t="str">
        <f t="shared" si="30"/>
        <v>Sharjah</v>
      </c>
      <c r="X203" s="1" t="str">
        <f t="shared" si="31"/>
        <v>Yes</v>
      </c>
      <c r="Y203" s="1"/>
    </row>
    <row r="204" spans="1:25" ht="14.25" customHeight="1">
      <c r="A204" s="1"/>
      <c r="B204" s="1">
        <v>187</v>
      </c>
      <c r="C204" s="1" t="s">
        <v>1054</v>
      </c>
      <c r="D204" s="1" t="s">
        <v>429</v>
      </c>
      <c r="E204" s="1" t="s">
        <v>161</v>
      </c>
      <c r="F204" s="1" t="s">
        <v>202</v>
      </c>
      <c r="G204" s="1" t="s">
        <v>1055</v>
      </c>
      <c r="H204" s="1" t="s">
        <v>24</v>
      </c>
      <c r="I204" s="1" t="s">
        <v>151</v>
      </c>
      <c r="J204" s="1" t="s">
        <v>158</v>
      </c>
      <c r="K204" s="1" t="s">
        <v>955</v>
      </c>
      <c r="L204" s="1"/>
      <c r="M204" s="1"/>
      <c r="N204" s="1" t="str">
        <f t="shared" si="24"/>
        <v>No</v>
      </c>
      <c r="O204" s="1">
        <f t="shared" si="25"/>
        <v>33</v>
      </c>
      <c r="P204" s="1">
        <f t="shared" si="26"/>
        <v>131</v>
      </c>
      <c r="Q204" s="1">
        <f t="shared" si="26"/>
        <v>9</v>
      </c>
      <c r="R204" s="1">
        <f t="shared" si="32"/>
        <v>5</v>
      </c>
      <c r="S204" s="34">
        <f t="shared" si="32"/>
        <v>109.16</v>
      </c>
      <c r="T204" s="1" t="str">
        <f t="shared" si="27"/>
        <v>caught</v>
      </c>
      <c r="U204" s="1" t="str">
        <f t="shared" si="28"/>
        <v>2</v>
      </c>
      <c r="V204" s="1" t="str">
        <f t="shared" si="29"/>
        <v xml:space="preserve"> Australia</v>
      </c>
      <c r="W204" s="1" t="str">
        <f t="shared" si="30"/>
        <v>Sharjah</v>
      </c>
      <c r="X204" s="1" t="str">
        <f t="shared" si="31"/>
        <v>Yes</v>
      </c>
      <c r="Y204" s="1"/>
    </row>
    <row r="205" spans="1:25" ht="14.25" customHeight="1">
      <c r="A205" s="1"/>
      <c r="B205" s="1">
        <v>188</v>
      </c>
      <c r="C205" s="1" t="s">
        <v>403</v>
      </c>
      <c r="D205" s="1" t="s">
        <v>429</v>
      </c>
      <c r="E205" s="1" t="s">
        <v>128</v>
      </c>
      <c r="F205" s="1" t="s">
        <v>148</v>
      </c>
      <c r="G205" s="1" t="s">
        <v>489</v>
      </c>
      <c r="H205" s="1" t="s">
        <v>19</v>
      </c>
      <c r="I205" s="1" t="s">
        <v>151</v>
      </c>
      <c r="J205" s="1" t="s">
        <v>158</v>
      </c>
      <c r="K205" s="1" t="s">
        <v>955</v>
      </c>
      <c r="L205" s="1"/>
      <c r="M205" s="1"/>
      <c r="N205" s="1" t="str">
        <f t="shared" si="24"/>
        <v>No</v>
      </c>
      <c r="O205" s="1">
        <f t="shared" si="25"/>
        <v>18</v>
      </c>
      <c r="P205" s="1">
        <f t="shared" si="26"/>
        <v>131</v>
      </c>
      <c r="Q205" s="1">
        <f t="shared" si="26"/>
        <v>12</v>
      </c>
      <c r="R205" s="1">
        <f t="shared" si="32"/>
        <v>3</v>
      </c>
      <c r="S205" s="34">
        <f t="shared" si="32"/>
        <v>102.29</v>
      </c>
      <c r="T205" s="1" t="str">
        <f t="shared" si="27"/>
        <v>lbw</v>
      </c>
      <c r="U205" s="1" t="str">
        <f t="shared" si="28"/>
        <v>2</v>
      </c>
      <c r="V205" s="1" t="str">
        <f t="shared" si="29"/>
        <v xml:space="preserve"> Australia</v>
      </c>
      <c r="W205" s="1" t="str">
        <f t="shared" si="30"/>
        <v>Sharjah</v>
      </c>
      <c r="X205" s="1" t="str">
        <f t="shared" si="31"/>
        <v>Yes</v>
      </c>
      <c r="Y205" s="1"/>
    </row>
    <row r="206" spans="1:25" ht="14.25" customHeight="1">
      <c r="A206" s="1"/>
      <c r="B206" s="1">
        <v>189</v>
      </c>
      <c r="C206" s="1" t="s">
        <v>244</v>
      </c>
      <c r="D206" s="1" t="s">
        <v>200</v>
      </c>
      <c r="E206" s="1" t="s">
        <v>136</v>
      </c>
      <c r="F206" s="1" t="s">
        <v>131</v>
      </c>
      <c r="G206" s="1" t="s">
        <v>461</v>
      </c>
      <c r="H206" s="1" t="s">
        <v>24</v>
      </c>
      <c r="I206" s="1" t="s">
        <v>151</v>
      </c>
      <c r="J206" s="1" t="s">
        <v>182</v>
      </c>
      <c r="K206" s="1" t="s">
        <v>75</v>
      </c>
      <c r="L206" s="1"/>
      <c r="M206" s="1"/>
      <c r="N206" s="1" t="str">
        <f t="shared" si="24"/>
        <v>No</v>
      </c>
      <c r="O206" s="1">
        <f t="shared" si="25"/>
        <v>100</v>
      </c>
      <c r="P206" s="1">
        <f t="shared" si="26"/>
        <v>29</v>
      </c>
      <c r="Q206" s="1">
        <f t="shared" si="26"/>
        <v>6</v>
      </c>
      <c r="R206" s="1">
        <f t="shared" si="32"/>
        <v>0</v>
      </c>
      <c r="S206" s="34">
        <f t="shared" si="32"/>
        <v>113.79</v>
      </c>
      <c r="T206" s="1" t="str">
        <f t="shared" si="27"/>
        <v>caught</v>
      </c>
      <c r="U206" s="1" t="str">
        <f t="shared" si="28"/>
        <v>2</v>
      </c>
      <c r="V206" s="1" t="str">
        <f t="shared" si="29"/>
        <v xml:space="preserve"> Bangladesh</v>
      </c>
      <c r="W206" s="1" t="str">
        <f t="shared" si="30"/>
        <v>Wankhede</v>
      </c>
      <c r="X206" s="1" t="str">
        <f t="shared" si="31"/>
        <v>Yes</v>
      </c>
      <c r="Y206" s="1"/>
    </row>
    <row r="207" spans="1:25" ht="14.25" customHeight="1">
      <c r="A207" s="1"/>
      <c r="B207" s="1">
        <v>190</v>
      </c>
      <c r="C207" s="1" t="s">
        <v>199</v>
      </c>
      <c r="D207" s="1" t="s">
        <v>138</v>
      </c>
      <c r="E207" s="1" t="s">
        <v>151</v>
      </c>
      <c r="F207" s="1" t="s">
        <v>131</v>
      </c>
      <c r="G207" s="1" t="s">
        <v>1056</v>
      </c>
      <c r="H207" s="1" t="s">
        <v>24</v>
      </c>
      <c r="I207" s="1" t="s">
        <v>151</v>
      </c>
      <c r="J207" s="1" t="s">
        <v>1012</v>
      </c>
      <c r="K207" s="1" t="s">
        <v>58</v>
      </c>
      <c r="L207" s="1"/>
      <c r="M207" s="1"/>
      <c r="N207" s="1" t="str">
        <f t="shared" si="24"/>
        <v>No</v>
      </c>
      <c r="O207" s="1">
        <f t="shared" si="25"/>
        <v>65</v>
      </c>
      <c r="P207" s="1">
        <f t="shared" si="26"/>
        <v>25</v>
      </c>
      <c r="Q207" s="1">
        <f t="shared" si="26"/>
        <v>2</v>
      </c>
      <c r="R207" s="1">
        <f t="shared" si="32"/>
        <v>0</v>
      </c>
      <c r="S207" s="34">
        <f t="shared" si="32"/>
        <v>72</v>
      </c>
      <c r="T207" s="1" t="str">
        <f t="shared" si="27"/>
        <v>caught</v>
      </c>
      <c r="U207" s="1" t="str">
        <f t="shared" si="28"/>
        <v>2</v>
      </c>
      <c r="V207" s="1" t="str">
        <f t="shared" si="29"/>
        <v xml:space="preserve"> Kenya</v>
      </c>
      <c r="W207" s="1" t="str">
        <f t="shared" si="30"/>
        <v>Gwalior</v>
      </c>
      <c r="X207" s="1" t="str">
        <f t="shared" si="31"/>
        <v>Yes</v>
      </c>
      <c r="Y207" s="1"/>
    </row>
    <row r="208" spans="1:25" ht="14.25" customHeight="1">
      <c r="A208" s="1"/>
      <c r="B208" s="1">
        <v>191</v>
      </c>
      <c r="C208" s="1" t="s">
        <v>230</v>
      </c>
      <c r="D208" s="1" t="s">
        <v>251</v>
      </c>
      <c r="E208" s="1" t="s">
        <v>325</v>
      </c>
      <c r="F208" s="1" t="s">
        <v>131</v>
      </c>
      <c r="G208" s="1" t="s">
        <v>1057</v>
      </c>
      <c r="H208" s="1" t="s">
        <v>32</v>
      </c>
      <c r="I208" s="1" t="s">
        <v>151</v>
      </c>
      <c r="J208" s="1" t="s">
        <v>1012</v>
      </c>
      <c r="K208" s="1" t="s">
        <v>51</v>
      </c>
      <c r="L208" s="1"/>
      <c r="M208" s="1"/>
      <c r="N208" s="1" t="str">
        <f t="shared" si="24"/>
        <v>No</v>
      </c>
      <c r="O208" s="1">
        <f t="shared" si="25"/>
        <v>53</v>
      </c>
      <c r="P208" s="1">
        <f t="shared" si="26"/>
        <v>103</v>
      </c>
      <c r="Q208" s="1">
        <f t="shared" si="26"/>
        <v>13</v>
      </c>
      <c r="R208" s="1">
        <f t="shared" si="32"/>
        <v>0</v>
      </c>
      <c r="S208" s="34">
        <f t="shared" si="32"/>
        <v>97.08</v>
      </c>
      <c r="T208" s="1" t="str">
        <f t="shared" si="27"/>
        <v>not out</v>
      </c>
      <c r="U208" s="1" t="str">
        <f t="shared" si="28"/>
        <v>2</v>
      </c>
      <c r="V208" s="1" t="str">
        <f t="shared" si="29"/>
        <v xml:space="preserve"> Kenya</v>
      </c>
      <c r="W208" s="1" t="str">
        <f t="shared" si="30"/>
        <v>Eden Gardens</v>
      </c>
      <c r="X208" s="1" t="str">
        <f t="shared" si="31"/>
        <v>No</v>
      </c>
      <c r="Y208" s="1"/>
    </row>
    <row r="209" spans="1:25" ht="14.25" customHeight="1">
      <c r="A209" s="1"/>
      <c r="B209" s="1">
        <v>192</v>
      </c>
      <c r="C209" s="1" t="s">
        <v>172</v>
      </c>
      <c r="D209" s="1" t="s">
        <v>360</v>
      </c>
      <c r="E209" s="1" t="s">
        <v>161</v>
      </c>
      <c r="F209" s="1" t="s">
        <v>131</v>
      </c>
      <c r="G209" s="1" t="s">
        <v>770</v>
      </c>
      <c r="H209" s="1" t="s">
        <v>24</v>
      </c>
      <c r="I209" s="1" t="s">
        <v>151</v>
      </c>
      <c r="J209" s="1" t="s">
        <v>133</v>
      </c>
      <c r="K209" s="1" t="s">
        <v>27</v>
      </c>
      <c r="L209" s="1"/>
      <c r="M209" s="1"/>
      <c r="N209" s="1" t="str">
        <f t="shared" si="24"/>
        <v>No</v>
      </c>
      <c r="O209" s="1">
        <f t="shared" si="25"/>
        <v>17</v>
      </c>
      <c r="P209" s="1">
        <f t="shared" si="26"/>
        <v>50</v>
      </c>
      <c r="Q209" s="1">
        <f t="shared" si="26"/>
        <v>9</v>
      </c>
      <c r="R209" s="1">
        <f t="shared" si="32"/>
        <v>0</v>
      </c>
      <c r="S209" s="34">
        <f t="shared" si="32"/>
        <v>130</v>
      </c>
      <c r="T209" s="1" t="str">
        <f t="shared" si="27"/>
        <v>caught</v>
      </c>
      <c r="U209" s="1" t="str">
        <f t="shared" si="28"/>
        <v>2</v>
      </c>
      <c r="V209" s="1" t="str">
        <f t="shared" si="29"/>
        <v xml:space="preserve"> Sri Lanka</v>
      </c>
      <c r="W209" s="1" t="str">
        <f t="shared" si="30"/>
        <v>Colombo (RPS)</v>
      </c>
      <c r="X209" s="1" t="str">
        <f t="shared" si="31"/>
        <v>Yes</v>
      </c>
      <c r="Y209" s="1"/>
    </row>
    <row r="210" spans="1:25" ht="14.25" customHeight="1">
      <c r="A210" s="1"/>
      <c r="B210" s="1">
        <v>193</v>
      </c>
      <c r="C210" s="1" t="s">
        <v>235</v>
      </c>
      <c r="D210" s="1" t="s">
        <v>258</v>
      </c>
      <c r="E210" s="1" t="s">
        <v>148</v>
      </c>
      <c r="F210" s="1" t="s">
        <v>148</v>
      </c>
      <c r="G210" s="1" t="s">
        <v>1058</v>
      </c>
      <c r="H210" s="1" t="s">
        <v>24</v>
      </c>
      <c r="I210" s="1" t="s">
        <v>151</v>
      </c>
      <c r="J210" s="1" t="s">
        <v>211</v>
      </c>
      <c r="K210" s="1" t="s">
        <v>27</v>
      </c>
      <c r="L210" s="1"/>
      <c r="M210" s="1"/>
      <c r="N210" s="1" t="str">
        <f t="shared" ref="N210:N273" si="33">IF(OR(C210="DNB",C210="TDNB"),"Yes","No")</f>
        <v>No</v>
      </c>
      <c r="O210" s="1" t="str">
        <f t="shared" ref="O210:O273" si="34">IF(N212="Yes", "NA",SUBSTITUTE(C212,"*","")*1)</f>
        <v>NA</v>
      </c>
      <c r="P210" s="1">
        <f t="shared" si="26"/>
        <v>36</v>
      </c>
      <c r="Q210" s="1">
        <f t="shared" si="26"/>
        <v>3</v>
      </c>
      <c r="R210" s="1">
        <f t="shared" si="32"/>
        <v>3</v>
      </c>
      <c r="S210" s="34">
        <f t="shared" si="32"/>
        <v>147.22</v>
      </c>
      <c r="T210" s="1" t="str">
        <f t="shared" si="27"/>
        <v>caught</v>
      </c>
      <c r="U210" s="1" t="str">
        <f t="shared" si="28"/>
        <v>2</v>
      </c>
      <c r="V210" s="1" t="str">
        <f t="shared" si="29"/>
        <v xml:space="preserve"> New Zealand</v>
      </c>
      <c r="W210" s="1" t="str">
        <f t="shared" si="30"/>
        <v>Colombo (RPS)</v>
      </c>
      <c r="X210" s="1" t="str">
        <f t="shared" si="31"/>
        <v>Yes</v>
      </c>
      <c r="Y210" s="1"/>
    </row>
    <row r="211" spans="1:25" ht="14.25" customHeight="1">
      <c r="A211" s="1"/>
      <c r="B211" s="1">
        <v>194</v>
      </c>
      <c r="C211" s="1" t="s">
        <v>306</v>
      </c>
      <c r="D211" s="1" t="s">
        <v>153</v>
      </c>
      <c r="E211" s="1" t="s">
        <v>140</v>
      </c>
      <c r="F211" s="1" t="s">
        <v>131</v>
      </c>
      <c r="G211" s="1" t="s">
        <v>1059</v>
      </c>
      <c r="H211" s="1" t="s">
        <v>24</v>
      </c>
      <c r="I211" s="1" t="s">
        <v>151</v>
      </c>
      <c r="J211" s="1" t="s">
        <v>133</v>
      </c>
      <c r="K211" s="1" t="s">
        <v>584</v>
      </c>
      <c r="L211" s="1"/>
      <c r="M211" s="1"/>
      <c r="N211" s="1" t="str">
        <f t="shared" si="33"/>
        <v>No</v>
      </c>
      <c r="O211" s="1">
        <f t="shared" si="34"/>
        <v>128</v>
      </c>
      <c r="P211" s="1">
        <f t="shared" ref="P211:Q274" si="35">IF(D211="-","NA",D211*1)</f>
        <v>16</v>
      </c>
      <c r="Q211" s="1">
        <f t="shared" si="35"/>
        <v>4</v>
      </c>
      <c r="R211" s="1">
        <f t="shared" si="32"/>
        <v>0</v>
      </c>
      <c r="S211" s="34">
        <f t="shared" si="32"/>
        <v>106.25</v>
      </c>
      <c r="T211" s="1" t="str">
        <f t="shared" ref="T211:T274" si="36">IF(H211="-","NA",H211)</f>
        <v>caught</v>
      </c>
      <c r="U211" s="1" t="str">
        <f t="shared" ref="U211:U274" si="37">I211</f>
        <v>2</v>
      </c>
      <c r="V211" s="1" t="str">
        <f t="shared" ref="V211:V274" si="38">SUBSTITUTE(J211,"v","")</f>
        <v xml:space="preserve"> Sri Lanka</v>
      </c>
      <c r="W211" s="1" t="str">
        <f t="shared" ref="W211:W274" si="39">K211</f>
        <v>Colombo (SSC)</v>
      </c>
      <c r="X211" s="1" t="str">
        <f t="shared" ref="X211:X274" si="40">IF(N211="Yes","No",IF(T211="not out","No","Yes"))</f>
        <v>Yes</v>
      </c>
      <c r="Y211" s="1"/>
    </row>
    <row r="212" spans="1:25" ht="14.25" customHeight="1">
      <c r="A212" s="1"/>
      <c r="B212" s="1">
        <v>195</v>
      </c>
      <c r="C212" s="1" t="s">
        <v>38</v>
      </c>
      <c r="D212" s="1" t="s">
        <v>157</v>
      </c>
      <c r="E212" s="1" t="s">
        <v>157</v>
      </c>
      <c r="F212" s="1" t="s">
        <v>157</v>
      </c>
      <c r="G212" s="1" t="s">
        <v>157</v>
      </c>
      <c r="H212" s="1" t="s">
        <v>157</v>
      </c>
      <c r="I212" s="1" t="s">
        <v>157</v>
      </c>
      <c r="J212" s="1" t="s">
        <v>211</v>
      </c>
      <c r="K212" s="1" t="s">
        <v>584</v>
      </c>
      <c r="L212" s="1"/>
      <c r="M212" s="1"/>
      <c r="N212" s="1" t="str">
        <f t="shared" si="33"/>
        <v>Yes</v>
      </c>
      <c r="O212" s="1">
        <f t="shared" si="34"/>
        <v>77</v>
      </c>
      <c r="P212" s="1" t="str">
        <f t="shared" si="35"/>
        <v>NA</v>
      </c>
      <c r="Q212" s="1" t="str">
        <f t="shared" si="35"/>
        <v>NA</v>
      </c>
      <c r="R212" s="1" t="str">
        <f t="shared" si="32"/>
        <v>NA</v>
      </c>
      <c r="S212" s="34" t="str">
        <f t="shared" si="32"/>
        <v>NA</v>
      </c>
      <c r="T212" s="1" t="str">
        <f t="shared" si="36"/>
        <v>NA</v>
      </c>
      <c r="U212" s="1" t="str">
        <f t="shared" si="37"/>
        <v>-</v>
      </c>
      <c r="V212" s="1" t="str">
        <f t="shared" si="38"/>
        <v xml:space="preserve"> New Zealand</v>
      </c>
      <c r="W212" s="1" t="str">
        <f t="shared" si="39"/>
        <v>Colombo (SSC)</v>
      </c>
      <c r="X212" s="1" t="str">
        <f t="shared" si="40"/>
        <v>No</v>
      </c>
      <c r="Y212" s="1"/>
    </row>
    <row r="213" spans="1:25" ht="14.25" customHeight="1">
      <c r="A213" s="1"/>
      <c r="B213" s="1">
        <v>196</v>
      </c>
      <c r="C213" s="1" t="s">
        <v>925</v>
      </c>
      <c r="D213" s="1" t="s">
        <v>429</v>
      </c>
      <c r="E213" s="1" t="s">
        <v>189</v>
      </c>
      <c r="F213" s="1" t="s">
        <v>151</v>
      </c>
      <c r="G213" s="1" t="s">
        <v>1060</v>
      </c>
      <c r="H213" s="1" t="s">
        <v>63</v>
      </c>
      <c r="I213" s="1" t="s">
        <v>130</v>
      </c>
      <c r="J213" s="1" t="s">
        <v>133</v>
      </c>
      <c r="K213" s="1" t="s">
        <v>27</v>
      </c>
      <c r="L213" s="1"/>
      <c r="M213" s="1"/>
      <c r="N213" s="1" t="str">
        <f t="shared" si="33"/>
        <v>No</v>
      </c>
      <c r="O213" s="1">
        <f t="shared" si="34"/>
        <v>127</v>
      </c>
      <c r="P213" s="1">
        <f t="shared" si="35"/>
        <v>131</v>
      </c>
      <c r="Q213" s="1">
        <f t="shared" si="35"/>
        <v>8</v>
      </c>
      <c r="R213" s="1">
        <f t="shared" si="32"/>
        <v>2</v>
      </c>
      <c r="S213" s="34">
        <f t="shared" si="32"/>
        <v>97.7</v>
      </c>
      <c r="T213" s="1" t="str">
        <f t="shared" si="36"/>
        <v>stumped</v>
      </c>
      <c r="U213" s="1" t="str">
        <f t="shared" si="37"/>
        <v>1</v>
      </c>
      <c r="V213" s="1" t="str">
        <f t="shared" si="38"/>
        <v xml:space="preserve"> Sri Lanka</v>
      </c>
      <c r="W213" s="1" t="str">
        <f t="shared" si="39"/>
        <v>Colombo (RPS)</v>
      </c>
      <c r="X213" s="1" t="str">
        <f t="shared" si="40"/>
        <v>Yes</v>
      </c>
      <c r="Y213" s="1"/>
    </row>
    <row r="214" spans="1:25" ht="14.25" customHeight="1">
      <c r="A214" s="1"/>
      <c r="B214" s="1">
        <v>197</v>
      </c>
      <c r="C214" s="1" t="s">
        <v>280</v>
      </c>
      <c r="D214" s="1" t="s">
        <v>882</v>
      </c>
      <c r="E214" s="1" t="s">
        <v>161</v>
      </c>
      <c r="F214" s="1" t="s">
        <v>131</v>
      </c>
      <c r="G214" s="1" t="s">
        <v>1061</v>
      </c>
      <c r="H214" s="1" t="s">
        <v>24</v>
      </c>
      <c r="I214" s="1" t="s">
        <v>130</v>
      </c>
      <c r="J214" s="1" t="s">
        <v>156</v>
      </c>
      <c r="K214" s="1" t="s">
        <v>1024</v>
      </c>
      <c r="L214" s="1"/>
      <c r="M214" s="1"/>
      <c r="N214" s="1" t="str">
        <f t="shared" si="33"/>
        <v>No</v>
      </c>
      <c r="O214" s="1">
        <f t="shared" si="34"/>
        <v>29</v>
      </c>
      <c r="P214" s="1">
        <f t="shared" si="35"/>
        <v>109</v>
      </c>
      <c r="Q214" s="1">
        <f t="shared" si="35"/>
        <v>9</v>
      </c>
      <c r="R214" s="1">
        <f t="shared" si="32"/>
        <v>0</v>
      </c>
      <c r="S214" s="34">
        <f t="shared" si="32"/>
        <v>70.64</v>
      </c>
      <c r="T214" s="1" t="str">
        <f t="shared" si="36"/>
        <v>caught</v>
      </c>
      <c r="U214" s="1" t="str">
        <f t="shared" si="37"/>
        <v>1</v>
      </c>
      <c r="V214" s="1" t="str">
        <f t="shared" si="38"/>
        <v xml:space="preserve"> Pakistan</v>
      </c>
      <c r="W214" s="1" t="str">
        <f t="shared" si="39"/>
        <v>Toronto</v>
      </c>
      <c r="X214" s="1" t="str">
        <f t="shared" si="40"/>
        <v>Yes</v>
      </c>
      <c r="Y214" s="1"/>
    </row>
    <row r="215" spans="1:25" ht="14.25" customHeight="1">
      <c r="A215" s="1"/>
      <c r="B215" s="1">
        <v>198</v>
      </c>
      <c r="C215" s="1" t="s">
        <v>1010</v>
      </c>
      <c r="D215" s="1" t="s">
        <v>663</v>
      </c>
      <c r="E215" s="1" t="s">
        <v>325</v>
      </c>
      <c r="F215" s="1" t="s">
        <v>130</v>
      </c>
      <c r="G215" s="1" t="s">
        <v>1062</v>
      </c>
      <c r="H215" s="1" t="s">
        <v>32</v>
      </c>
      <c r="I215" s="1" t="s">
        <v>151</v>
      </c>
      <c r="J215" s="1" t="s">
        <v>195</v>
      </c>
      <c r="K215" s="1" t="s">
        <v>61</v>
      </c>
      <c r="L215" s="1"/>
      <c r="M215" s="1"/>
      <c r="N215" s="1" t="str">
        <f t="shared" si="33"/>
        <v>No</v>
      </c>
      <c r="O215" s="1">
        <f t="shared" si="34"/>
        <v>2</v>
      </c>
      <c r="P215" s="1">
        <f t="shared" si="35"/>
        <v>130</v>
      </c>
      <c r="Q215" s="1">
        <f t="shared" si="35"/>
        <v>13</v>
      </c>
      <c r="R215" s="1">
        <f t="shared" si="32"/>
        <v>1</v>
      </c>
      <c r="S215" s="34">
        <f t="shared" si="32"/>
        <v>97.69</v>
      </c>
      <c r="T215" s="1" t="str">
        <f t="shared" si="36"/>
        <v>not out</v>
      </c>
      <c r="U215" s="1" t="str">
        <f t="shared" si="37"/>
        <v>2</v>
      </c>
      <c r="V215" s="1" t="str">
        <f t="shared" si="38"/>
        <v xml:space="preserve"> Zimbabwe</v>
      </c>
      <c r="W215" s="1" t="str">
        <f t="shared" si="39"/>
        <v>Bulawayo</v>
      </c>
      <c r="X215" s="1" t="str">
        <f t="shared" si="40"/>
        <v>No</v>
      </c>
      <c r="Y215" s="1"/>
    </row>
    <row r="216" spans="1:25" ht="14.25" customHeight="1">
      <c r="A216" s="1"/>
      <c r="B216" s="1">
        <v>199</v>
      </c>
      <c r="C216" s="1" t="s">
        <v>200</v>
      </c>
      <c r="D216" s="1" t="s">
        <v>246</v>
      </c>
      <c r="E216" s="1" t="s">
        <v>140</v>
      </c>
      <c r="F216" s="1" t="s">
        <v>130</v>
      </c>
      <c r="G216" s="1" t="s">
        <v>1063</v>
      </c>
      <c r="H216" s="1" t="s">
        <v>24</v>
      </c>
      <c r="I216" s="1" t="s">
        <v>151</v>
      </c>
      <c r="J216" s="1" t="s">
        <v>195</v>
      </c>
      <c r="K216" s="1" t="s">
        <v>61</v>
      </c>
      <c r="L216" s="1"/>
      <c r="M216" s="1"/>
      <c r="N216" s="1" t="str">
        <f t="shared" si="33"/>
        <v>No</v>
      </c>
      <c r="O216" s="1">
        <f t="shared" si="34"/>
        <v>141</v>
      </c>
      <c r="P216" s="1">
        <f t="shared" si="35"/>
        <v>21</v>
      </c>
      <c r="Q216" s="1">
        <f t="shared" si="35"/>
        <v>4</v>
      </c>
      <c r="R216" s="1">
        <f t="shared" si="32"/>
        <v>1</v>
      </c>
      <c r="S216" s="34">
        <f t="shared" si="32"/>
        <v>138.09</v>
      </c>
      <c r="T216" s="1" t="str">
        <f t="shared" si="36"/>
        <v>caught</v>
      </c>
      <c r="U216" s="1" t="str">
        <f t="shared" si="37"/>
        <v>2</v>
      </c>
      <c r="V216" s="1" t="str">
        <f t="shared" si="38"/>
        <v xml:space="preserve"> Zimbabwe</v>
      </c>
      <c r="W216" s="1" t="str">
        <f t="shared" si="39"/>
        <v>Bulawayo</v>
      </c>
      <c r="X216" s="1" t="str">
        <f t="shared" si="40"/>
        <v>Yes</v>
      </c>
      <c r="Y216" s="1"/>
    </row>
    <row r="217" spans="1:25" ht="14.25" customHeight="1">
      <c r="A217" s="1"/>
      <c r="B217" s="1">
        <v>200</v>
      </c>
      <c r="C217" s="1" t="s">
        <v>151</v>
      </c>
      <c r="D217" s="1" t="s">
        <v>136</v>
      </c>
      <c r="E217" s="1" t="s">
        <v>131</v>
      </c>
      <c r="F217" s="1" t="s">
        <v>131</v>
      </c>
      <c r="G217" s="1" t="s">
        <v>229</v>
      </c>
      <c r="H217" s="1" t="s">
        <v>24</v>
      </c>
      <c r="I217" s="1" t="s">
        <v>151</v>
      </c>
      <c r="J217" s="1" t="s">
        <v>195</v>
      </c>
      <c r="K217" s="1" t="s">
        <v>62</v>
      </c>
      <c r="L217" s="1"/>
      <c r="M217" s="1"/>
      <c r="N217" s="1" t="str">
        <f t="shared" si="33"/>
        <v>No</v>
      </c>
      <c r="O217" s="1">
        <f t="shared" si="34"/>
        <v>8</v>
      </c>
      <c r="P217" s="1">
        <f t="shared" si="35"/>
        <v>6</v>
      </c>
      <c r="Q217" s="1">
        <f t="shared" si="35"/>
        <v>0</v>
      </c>
      <c r="R217" s="1">
        <f t="shared" si="32"/>
        <v>0</v>
      </c>
      <c r="S217" s="34">
        <f t="shared" si="32"/>
        <v>33.33</v>
      </c>
      <c r="T217" s="1" t="str">
        <f t="shared" si="36"/>
        <v>caught</v>
      </c>
      <c r="U217" s="1" t="str">
        <f t="shared" si="37"/>
        <v>2</v>
      </c>
      <c r="V217" s="1" t="str">
        <f t="shared" si="38"/>
        <v xml:space="preserve"> Zimbabwe</v>
      </c>
      <c r="W217" s="1" t="str">
        <f t="shared" si="39"/>
        <v>Harare</v>
      </c>
      <c r="X217" s="1" t="str">
        <f t="shared" si="40"/>
        <v>Yes</v>
      </c>
      <c r="Y217" s="1"/>
    </row>
    <row r="218" spans="1:25" ht="14.25" customHeight="1">
      <c r="A218" s="1"/>
      <c r="B218" s="1">
        <v>201</v>
      </c>
      <c r="C218" s="1" t="s">
        <v>1064</v>
      </c>
      <c r="D218" s="1" t="s">
        <v>925</v>
      </c>
      <c r="E218" s="1" t="s">
        <v>325</v>
      </c>
      <c r="F218" s="1" t="s">
        <v>148</v>
      </c>
      <c r="G218" s="1" t="s">
        <v>1065</v>
      </c>
      <c r="H218" s="1" t="s">
        <v>26</v>
      </c>
      <c r="I218" s="1" t="s">
        <v>130</v>
      </c>
      <c r="J218" s="1" t="s">
        <v>158</v>
      </c>
      <c r="K218" s="1" t="s">
        <v>531</v>
      </c>
      <c r="L218" s="1"/>
      <c r="M218" s="1"/>
      <c r="N218" s="1" t="str">
        <f t="shared" si="33"/>
        <v>No</v>
      </c>
      <c r="O218" s="1">
        <f t="shared" si="34"/>
        <v>3</v>
      </c>
      <c r="P218" s="1">
        <f t="shared" si="35"/>
        <v>128</v>
      </c>
      <c r="Q218" s="1">
        <f t="shared" si="35"/>
        <v>13</v>
      </c>
      <c r="R218" s="1">
        <f t="shared" si="32"/>
        <v>3</v>
      </c>
      <c r="S218" s="34">
        <f t="shared" si="32"/>
        <v>110.15</v>
      </c>
      <c r="T218" s="1" t="str">
        <f t="shared" si="36"/>
        <v>run out</v>
      </c>
      <c r="U218" s="1" t="str">
        <f t="shared" si="37"/>
        <v>1</v>
      </c>
      <c r="V218" s="1" t="str">
        <f t="shared" si="38"/>
        <v xml:space="preserve"> Australia</v>
      </c>
      <c r="W218" s="1" t="str">
        <f t="shared" si="39"/>
        <v>Dhaka</v>
      </c>
      <c r="X218" s="1" t="str">
        <f t="shared" si="40"/>
        <v>Yes</v>
      </c>
      <c r="Y218" s="1"/>
    </row>
    <row r="219" spans="1:25" ht="14.25" customHeight="1">
      <c r="A219" s="1"/>
      <c r="B219" s="1">
        <v>202</v>
      </c>
      <c r="C219" s="1" t="s">
        <v>189</v>
      </c>
      <c r="D219" s="1" t="s">
        <v>205</v>
      </c>
      <c r="E219" s="1" t="s">
        <v>130</v>
      </c>
      <c r="F219" s="1" t="s">
        <v>131</v>
      </c>
      <c r="G219" s="1" t="s">
        <v>503</v>
      </c>
      <c r="H219" s="1" t="s">
        <v>24</v>
      </c>
      <c r="I219" s="1" t="s">
        <v>130</v>
      </c>
      <c r="J219" s="1" t="s">
        <v>163</v>
      </c>
      <c r="K219" s="1" t="s">
        <v>531</v>
      </c>
      <c r="L219" s="1"/>
      <c r="M219" s="1"/>
      <c r="N219" s="1" t="str">
        <f t="shared" si="33"/>
        <v>No</v>
      </c>
      <c r="O219" s="1">
        <f t="shared" si="34"/>
        <v>118</v>
      </c>
      <c r="P219" s="1">
        <f t="shared" si="35"/>
        <v>14</v>
      </c>
      <c r="Q219" s="1">
        <f t="shared" si="35"/>
        <v>1</v>
      </c>
      <c r="R219" s="1">
        <f t="shared" si="32"/>
        <v>0</v>
      </c>
      <c r="S219" s="34">
        <f t="shared" si="32"/>
        <v>57.14</v>
      </c>
      <c r="T219" s="1" t="str">
        <f t="shared" si="36"/>
        <v>caught</v>
      </c>
      <c r="U219" s="1" t="str">
        <f t="shared" si="37"/>
        <v>1</v>
      </c>
      <c r="V219" s="1" t="str">
        <f t="shared" si="38"/>
        <v xml:space="preserve"> West Indies</v>
      </c>
      <c r="W219" s="1" t="str">
        <f t="shared" si="39"/>
        <v>Dhaka</v>
      </c>
      <c r="X219" s="1" t="str">
        <f t="shared" si="40"/>
        <v>Yes</v>
      </c>
      <c r="Y219" s="1"/>
    </row>
    <row r="220" spans="1:25" ht="14.25" customHeight="1">
      <c r="A220" s="1"/>
      <c r="B220" s="1">
        <v>203</v>
      </c>
      <c r="C220" s="1" t="s">
        <v>148</v>
      </c>
      <c r="D220" s="1" t="s">
        <v>136</v>
      </c>
      <c r="E220" s="1" t="s">
        <v>131</v>
      </c>
      <c r="F220" s="1" t="s">
        <v>131</v>
      </c>
      <c r="G220" s="1" t="s">
        <v>204</v>
      </c>
      <c r="H220" s="1" t="s">
        <v>24</v>
      </c>
      <c r="I220" s="1" t="s">
        <v>151</v>
      </c>
      <c r="J220" s="1" t="s">
        <v>133</v>
      </c>
      <c r="K220" s="1" t="s">
        <v>955</v>
      </c>
      <c r="L220" s="1"/>
      <c r="M220" s="1"/>
      <c r="N220" s="1" t="str">
        <f t="shared" si="33"/>
        <v>No</v>
      </c>
      <c r="O220" s="1">
        <f t="shared" si="34"/>
        <v>18</v>
      </c>
      <c r="P220" s="1">
        <f t="shared" si="35"/>
        <v>6</v>
      </c>
      <c r="Q220" s="1">
        <f t="shared" si="35"/>
        <v>0</v>
      </c>
      <c r="R220" s="1">
        <f t="shared" si="32"/>
        <v>0</v>
      </c>
      <c r="S220" s="34">
        <f t="shared" si="32"/>
        <v>50</v>
      </c>
      <c r="T220" s="1" t="str">
        <f t="shared" si="36"/>
        <v>caught</v>
      </c>
      <c r="U220" s="1" t="str">
        <f t="shared" si="37"/>
        <v>2</v>
      </c>
      <c r="V220" s="1" t="str">
        <f t="shared" si="38"/>
        <v xml:space="preserve"> Sri Lanka</v>
      </c>
      <c r="W220" s="1" t="str">
        <f t="shared" si="39"/>
        <v>Sharjah</v>
      </c>
      <c r="X220" s="1" t="str">
        <f t="shared" si="40"/>
        <v>Yes</v>
      </c>
      <c r="Y220" s="1"/>
    </row>
    <row r="221" spans="1:25" ht="14.25" customHeight="1">
      <c r="A221" s="1"/>
      <c r="B221" s="1">
        <v>204</v>
      </c>
      <c r="C221" s="1" t="s">
        <v>1066</v>
      </c>
      <c r="D221" s="1" t="s">
        <v>441</v>
      </c>
      <c r="E221" s="1" t="s">
        <v>205</v>
      </c>
      <c r="F221" s="1" t="s">
        <v>151</v>
      </c>
      <c r="G221" s="1" t="s">
        <v>1067</v>
      </c>
      <c r="H221" s="1" t="s">
        <v>32</v>
      </c>
      <c r="I221" s="1" t="s">
        <v>151</v>
      </c>
      <c r="J221" s="1" t="s">
        <v>195</v>
      </c>
      <c r="K221" s="1" t="s">
        <v>955</v>
      </c>
      <c r="L221" s="1"/>
      <c r="M221" s="1"/>
      <c r="N221" s="1" t="str">
        <f t="shared" si="33"/>
        <v>No</v>
      </c>
      <c r="O221" s="1">
        <f t="shared" si="34"/>
        <v>11</v>
      </c>
      <c r="P221" s="1">
        <f t="shared" si="35"/>
        <v>112</v>
      </c>
      <c r="Q221" s="1">
        <f t="shared" si="35"/>
        <v>14</v>
      </c>
      <c r="R221" s="1">
        <f t="shared" si="32"/>
        <v>2</v>
      </c>
      <c r="S221" s="34">
        <f t="shared" si="32"/>
        <v>105.35</v>
      </c>
      <c r="T221" s="1" t="str">
        <f t="shared" si="36"/>
        <v>not out</v>
      </c>
      <c r="U221" s="1" t="str">
        <f t="shared" si="37"/>
        <v>2</v>
      </c>
      <c r="V221" s="1" t="str">
        <f t="shared" si="38"/>
        <v xml:space="preserve"> Zimbabwe</v>
      </c>
      <c r="W221" s="1" t="str">
        <f t="shared" si="39"/>
        <v>Sharjah</v>
      </c>
      <c r="X221" s="1" t="str">
        <f t="shared" si="40"/>
        <v>No</v>
      </c>
      <c r="Y221" s="1"/>
    </row>
    <row r="222" spans="1:25" ht="14.25" customHeight="1">
      <c r="A222" s="1"/>
      <c r="B222" s="1">
        <v>205</v>
      </c>
      <c r="C222" s="1" t="s">
        <v>199</v>
      </c>
      <c r="D222" s="1" t="s">
        <v>207</v>
      </c>
      <c r="E222" s="1" t="s">
        <v>151</v>
      </c>
      <c r="F222" s="1" t="s">
        <v>131</v>
      </c>
      <c r="G222" s="1" t="s">
        <v>282</v>
      </c>
      <c r="H222" s="1" t="s">
        <v>24</v>
      </c>
      <c r="I222" s="1" t="s">
        <v>130</v>
      </c>
      <c r="J222" s="1" t="s">
        <v>133</v>
      </c>
      <c r="K222" s="1" t="s">
        <v>955</v>
      </c>
      <c r="L222" s="1"/>
      <c r="M222" s="1"/>
      <c r="N222" s="1" t="str">
        <f t="shared" si="33"/>
        <v>No</v>
      </c>
      <c r="O222" s="1">
        <f t="shared" si="34"/>
        <v>124</v>
      </c>
      <c r="P222" s="1">
        <f t="shared" si="35"/>
        <v>28</v>
      </c>
      <c r="Q222" s="1">
        <f t="shared" si="35"/>
        <v>2</v>
      </c>
      <c r="R222" s="1">
        <f t="shared" si="32"/>
        <v>0</v>
      </c>
      <c r="S222" s="34">
        <f t="shared" si="32"/>
        <v>64.28</v>
      </c>
      <c r="T222" s="1" t="str">
        <f t="shared" si="36"/>
        <v>caught</v>
      </c>
      <c r="U222" s="1" t="str">
        <f t="shared" si="37"/>
        <v>1</v>
      </c>
      <c r="V222" s="1" t="str">
        <f t="shared" si="38"/>
        <v xml:space="preserve"> Sri Lanka</v>
      </c>
      <c r="W222" s="1" t="str">
        <f t="shared" si="39"/>
        <v>Sharjah</v>
      </c>
      <c r="X222" s="1" t="str">
        <f t="shared" si="40"/>
        <v>Yes</v>
      </c>
      <c r="Y222" s="1"/>
    </row>
    <row r="223" spans="1:25" ht="14.25" customHeight="1">
      <c r="A223" s="1"/>
      <c r="B223" s="1">
        <v>206</v>
      </c>
      <c r="C223" s="1" t="s">
        <v>176</v>
      </c>
      <c r="D223" s="1" t="s">
        <v>128</v>
      </c>
      <c r="E223" s="1" t="s">
        <v>151</v>
      </c>
      <c r="F223" s="1" t="s">
        <v>131</v>
      </c>
      <c r="G223" s="1" t="s">
        <v>384</v>
      </c>
      <c r="H223" s="1" t="s">
        <v>24</v>
      </c>
      <c r="I223" s="1" t="s">
        <v>151</v>
      </c>
      <c r="J223" s="1" t="s">
        <v>195</v>
      </c>
      <c r="K223" s="1" t="s">
        <v>955</v>
      </c>
      <c r="L223" s="1"/>
      <c r="M223" s="1"/>
      <c r="N223" s="1" t="str">
        <f t="shared" si="33"/>
        <v>No</v>
      </c>
      <c r="O223" s="1">
        <f t="shared" si="34"/>
        <v>0</v>
      </c>
      <c r="P223" s="1">
        <f t="shared" si="35"/>
        <v>12</v>
      </c>
      <c r="Q223" s="1">
        <f t="shared" si="35"/>
        <v>2</v>
      </c>
      <c r="R223" s="1">
        <f t="shared" si="32"/>
        <v>0</v>
      </c>
      <c r="S223" s="34">
        <f t="shared" si="32"/>
        <v>91.66</v>
      </c>
      <c r="T223" s="1" t="str">
        <f t="shared" si="36"/>
        <v>caught</v>
      </c>
      <c r="U223" s="1" t="str">
        <f t="shared" si="37"/>
        <v>2</v>
      </c>
      <c r="V223" s="1" t="str">
        <f t="shared" si="38"/>
        <v xml:space="preserve"> Zimbabwe</v>
      </c>
      <c r="W223" s="1" t="str">
        <f t="shared" si="39"/>
        <v>Sharjah</v>
      </c>
      <c r="X223" s="1" t="str">
        <f t="shared" si="40"/>
        <v>Yes</v>
      </c>
      <c r="Y223" s="1"/>
    </row>
    <row r="224" spans="1:25" ht="14.25" customHeight="1">
      <c r="A224" s="1"/>
      <c r="B224" s="1">
        <v>207</v>
      </c>
      <c r="C224" s="1" t="s">
        <v>878</v>
      </c>
      <c r="D224" s="1" t="s">
        <v>197</v>
      </c>
      <c r="E224" s="1" t="s">
        <v>128</v>
      </c>
      <c r="F224" s="1" t="s">
        <v>136</v>
      </c>
      <c r="G224" s="1" t="s">
        <v>1068</v>
      </c>
      <c r="H224" s="1" t="s">
        <v>32</v>
      </c>
      <c r="I224" s="1" t="s">
        <v>151</v>
      </c>
      <c r="J224" s="1" t="s">
        <v>195</v>
      </c>
      <c r="K224" s="1" t="s">
        <v>955</v>
      </c>
      <c r="L224" s="1"/>
      <c r="M224" s="1"/>
      <c r="N224" s="1" t="str">
        <f t="shared" si="33"/>
        <v>No</v>
      </c>
      <c r="O224" s="1">
        <f t="shared" si="34"/>
        <v>23</v>
      </c>
      <c r="P224" s="1">
        <f t="shared" si="35"/>
        <v>92</v>
      </c>
      <c r="Q224" s="1">
        <f t="shared" si="35"/>
        <v>12</v>
      </c>
      <c r="R224" s="1">
        <f t="shared" si="32"/>
        <v>6</v>
      </c>
      <c r="S224" s="34">
        <f t="shared" si="32"/>
        <v>134.78</v>
      </c>
      <c r="T224" s="1" t="str">
        <f t="shared" si="36"/>
        <v>not out</v>
      </c>
      <c r="U224" s="1" t="str">
        <f t="shared" si="37"/>
        <v>2</v>
      </c>
      <c r="V224" s="1" t="str">
        <f t="shared" si="38"/>
        <v xml:space="preserve"> Zimbabwe</v>
      </c>
      <c r="W224" s="1" t="str">
        <f t="shared" si="39"/>
        <v>Sharjah</v>
      </c>
      <c r="X224" s="1" t="str">
        <f t="shared" si="40"/>
        <v>No</v>
      </c>
      <c r="Y224" s="1"/>
    </row>
    <row r="225" spans="1:25" ht="14.25" customHeight="1">
      <c r="A225" s="1"/>
      <c r="B225" s="1">
        <v>208</v>
      </c>
      <c r="C225" s="1" t="s">
        <v>131</v>
      </c>
      <c r="D225" s="1" t="s">
        <v>202</v>
      </c>
      <c r="E225" s="1" t="s">
        <v>131</v>
      </c>
      <c r="F225" s="1" t="s">
        <v>131</v>
      </c>
      <c r="G225" s="1" t="s">
        <v>210</v>
      </c>
      <c r="H225" s="1" t="s">
        <v>24</v>
      </c>
      <c r="I225" s="1" t="s">
        <v>130</v>
      </c>
      <c r="J225" s="1" t="s">
        <v>211</v>
      </c>
      <c r="K225" s="1" t="s">
        <v>1069</v>
      </c>
      <c r="L225" s="1"/>
      <c r="M225" s="1"/>
      <c r="N225" s="1" t="str">
        <f t="shared" si="33"/>
        <v>No</v>
      </c>
      <c r="O225" s="1">
        <f t="shared" si="34"/>
        <v>45</v>
      </c>
      <c r="P225" s="1">
        <f t="shared" si="35"/>
        <v>5</v>
      </c>
      <c r="Q225" s="1">
        <f t="shared" si="35"/>
        <v>0</v>
      </c>
      <c r="R225" s="1">
        <f t="shared" si="32"/>
        <v>0</v>
      </c>
      <c r="S225" s="34">
        <f t="shared" si="32"/>
        <v>0</v>
      </c>
      <c r="T225" s="1" t="str">
        <f t="shared" si="36"/>
        <v>caught</v>
      </c>
      <c r="U225" s="1" t="str">
        <f t="shared" si="37"/>
        <v>1</v>
      </c>
      <c r="V225" s="1" t="str">
        <f t="shared" si="38"/>
        <v xml:space="preserve"> New Zealand</v>
      </c>
      <c r="W225" s="1" t="str">
        <f t="shared" si="39"/>
        <v>Taupo</v>
      </c>
      <c r="X225" s="1" t="str">
        <f t="shared" si="40"/>
        <v>Yes</v>
      </c>
      <c r="Y225" s="1"/>
    </row>
    <row r="226" spans="1:25" ht="14.25" customHeight="1">
      <c r="A226" s="1"/>
      <c r="B226" s="1">
        <v>209</v>
      </c>
      <c r="C226" s="1" t="s">
        <v>304</v>
      </c>
      <c r="D226" s="1" t="s">
        <v>170</v>
      </c>
      <c r="E226" s="1" t="s">
        <v>140</v>
      </c>
      <c r="F226" s="1" t="s">
        <v>131</v>
      </c>
      <c r="G226" s="1" t="s">
        <v>660</v>
      </c>
      <c r="H226" s="1" t="s">
        <v>24</v>
      </c>
      <c r="I226" s="1" t="s">
        <v>151</v>
      </c>
      <c r="J226" s="1" t="s">
        <v>211</v>
      </c>
      <c r="K226" s="1" t="s">
        <v>102</v>
      </c>
      <c r="L226" s="1"/>
      <c r="M226" s="1"/>
      <c r="N226" s="1" t="str">
        <f t="shared" si="33"/>
        <v>No</v>
      </c>
      <c r="O226" s="1">
        <f t="shared" si="34"/>
        <v>5</v>
      </c>
      <c r="P226" s="1">
        <f t="shared" si="35"/>
        <v>19</v>
      </c>
      <c r="Q226" s="1">
        <f t="shared" si="35"/>
        <v>4</v>
      </c>
      <c r="R226" s="1">
        <f t="shared" ref="R226:S289" si="41">IF(F226="-","NA",F226*1)</f>
        <v>0</v>
      </c>
      <c r="S226" s="34">
        <f t="shared" si="41"/>
        <v>121.05</v>
      </c>
      <c r="T226" s="1" t="str">
        <f t="shared" si="36"/>
        <v>caught</v>
      </c>
      <c r="U226" s="1" t="str">
        <f t="shared" si="37"/>
        <v>2</v>
      </c>
      <c r="V226" s="1" t="str">
        <f t="shared" si="38"/>
        <v xml:space="preserve"> New Zealand</v>
      </c>
      <c r="W226" s="1" t="str">
        <f t="shared" si="39"/>
        <v>Napier</v>
      </c>
      <c r="X226" s="1" t="str">
        <f t="shared" si="40"/>
        <v>Yes</v>
      </c>
      <c r="Y226" s="1"/>
    </row>
    <row r="227" spans="1:25" ht="14.25" customHeight="1">
      <c r="A227" s="1"/>
      <c r="B227" s="1">
        <v>210</v>
      </c>
      <c r="C227" s="1" t="s">
        <v>405</v>
      </c>
      <c r="D227" s="1" t="s">
        <v>386</v>
      </c>
      <c r="E227" s="1" t="s">
        <v>151</v>
      </c>
      <c r="F227" s="1" t="s">
        <v>151</v>
      </c>
      <c r="G227" s="1" t="s">
        <v>1013</v>
      </c>
      <c r="H227" s="1" t="s">
        <v>63</v>
      </c>
      <c r="I227" s="1" t="s">
        <v>130</v>
      </c>
      <c r="J227" s="1" t="s">
        <v>211</v>
      </c>
      <c r="K227" s="1" t="s">
        <v>105</v>
      </c>
      <c r="L227" s="1"/>
      <c r="M227" s="1"/>
      <c r="N227" s="1" t="str">
        <f t="shared" si="33"/>
        <v>No</v>
      </c>
      <c r="O227" s="1">
        <f t="shared" si="34"/>
        <v>28</v>
      </c>
      <c r="P227" s="1">
        <f t="shared" si="35"/>
        <v>42</v>
      </c>
      <c r="Q227" s="1">
        <f t="shared" si="35"/>
        <v>2</v>
      </c>
      <c r="R227" s="1">
        <f t="shared" si="41"/>
        <v>2</v>
      </c>
      <c r="S227" s="34">
        <f t="shared" si="41"/>
        <v>107.14</v>
      </c>
      <c r="T227" s="1" t="str">
        <f t="shared" si="36"/>
        <v>stumped</v>
      </c>
      <c r="U227" s="1" t="str">
        <f t="shared" si="37"/>
        <v>1</v>
      </c>
      <c r="V227" s="1" t="str">
        <f t="shared" si="38"/>
        <v xml:space="preserve"> New Zealand</v>
      </c>
      <c r="W227" s="1" t="str">
        <f t="shared" si="39"/>
        <v>Wellington</v>
      </c>
      <c r="X227" s="1" t="str">
        <f t="shared" si="40"/>
        <v>Yes</v>
      </c>
      <c r="Y227" s="1"/>
    </row>
    <row r="228" spans="1:25" ht="14.25" customHeight="1">
      <c r="A228" s="1"/>
      <c r="B228" s="1">
        <v>211</v>
      </c>
      <c r="C228" s="1" t="s">
        <v>202</v>
      </c>
      <c r="D228" s="1" t="s">
        <v>128</v>
      </c>
      <c r="E228" s="1" t="s">
        <v>130</v>
      </c>
      <c r="F228" s="1" t="s">
        <v>131</v>
      </c>
      <c r="G228" s="1" t="s">
        <v>691</v>
      </c>
      <c r="H228" s="1" t="s">
        <v>19</v>
      </c>
      <c r="I228" s="1" t="s">
        <v>151</v>
      </c>
      <c r="J228" s="1" t="s">
        <v>211</v>
      </c>
      <c r="K228" s="1" t="s">
        <v>104</v>
      </c>
      <c r="L228" s="1"/>
      <c r="M228" s="1"/>
      <c r="N228" s="1" t="str">
        <f t="shared" si="33"/>
        <v>No</v>
      </c>
      <c r="O228" s="1">
        <f t="shared" si="34"/>
        <v>140</v>
      </c>
      <c r="P228" s="1">
        <f t="shared" si="35"/>
        <v>12</v>
      </c>
      <c r="Q228" s="1">
        <f t="shared" si="35"/>
        <v>1</v>
      </c>
      <c r="R228" s="1">
        <f t="shared" si="41"/>
        <v>0</v>
      </c>
      <c r="S228" s="34">
        <f t="shared" si="41"/>
        <v>41.66</v>
      </c>
      <c r="T228" s="1" t="str">
        <f t="shared" si="36"/>
        <v>lbw</v>
      </c>
      <c r="U228" s="1" t="str">
        <f t="shared" si="37"/>
        <v>2</v>
      </c>
      <c r="V228" s="1" t="str">
        <f t="shared" si="38"/>
        <v xml:space="preserve"> New Zealand</v>
      </c>
      <c r="W228" s="1" t="str">
        <f t="shared" si="39"/>
        <v>Auckland</v>
      </c>
      <c r="X228" s="1" t="str">
        <f t="shared" si="40"/>
        <v>Yes</v>
      </c>
      <c r="Y228" s="1"/>
    </row>
    <row r="229" spans="1:25" ht="14.25" customHeight="1">
      <c r="A229" s="1"/>
      <c r="B229" s="1">
        <v>212</v>
      </c>
      <c r="C229" s="1" t="s">
        <v>207</v>
      </c>
      <c r="D229" s="1" t="s">
        <v>147</v>
      </c>
      <c r="E229" s="1" t="s">
        <v>202</v>
      </c>
      <c r="F229" s="1" t="s">
        <v>131</v>
      </c>
      <c r="G229" s="1" t="s">
        <v>1070</v>
      </c>
      <c r="H229" s="1" t="s">
        <v>24</v>
      </c>
      <c r="I229" s="1" t="s">
        <v>130</v>
      </c>
      <c r="J229" s="1" t="s">
        <v>191</v>
      </c>
      <c r="K229" s="1" t="s">
        <v>1071</v>
      </c>
      <c r="L229" s="1"/>
      <c r="M229" s="1"/>
      <c r="N229" s="1" t="str">
        <f t="shared" si="33"/>
        <v>No</v>
      </c>
      <c r="O229" s="1">
        <f t="shared" si="34"/>
        <v>2</v>
      </c>
      <c r="P229" s="1">
        <f t="shared" si="35"/>
        <v>46</v>
      </c>
      <c r="Q229" s="1">
        <f t="shared" si="35"/>
        <v>5</v>
      </c>
      <c r="R229" s="1">
        <f t="shared" si="41"/>
        <v>0</v>
      </c>
      <c r="S229" s="34">
        <f t="shared" si="41"/>
        <v>60.86</v>
      </c>
      <c r="T229" s="1" t="str">
        <f t="shared" si="36"/>
        <v>caught</v>
      </c>
      <c r="U229" s="1" t="str">
        <f t="shared" si="37"/>
        <v>1</v>
      </c>
      <c r="V229" s="1" t="str">
        <f t="shared" si="38"/>
        <v xml:space="preserve"> South Africa</v>
      </c>
      <c r="W229" s="1" t="str">
        <f t="shared" si="39"/>
        <v>Hove</v>
      </c>
      <c r="X229" s="1" t="str">
        <f t="shared" si="40"/>
        <v>Yes</v>
      </c>
      <c r="Y229" s="1"/>
    </row>
    <row r="230" spans="1:25" ht="14.25" customHeight="1">
      <c r="A230" s="1"/>
      <c r="B230" s="1">
        <v>213</v>
      </c>
      <c r="C230" s="1" t="s">
        <v>1072</v>
      </c>
      <c r="D230" s="1" t="s">
        <v>413</v>
      </c>
      <c r="E230" s="1" t="s">
        <v>153</v>
      </c>
      <c r="F230" s="1" t="s">
        <v>148</v>
      </c>
      <c r="G230" s="1" t="s">
        <v>1073</v>
      </c>
      <c r="H230" s="1" t="s">
        <v>32</v>
      </c>
      <c r="I230" s="1" t="s">
        <v>130</v>
      </c>
      <c r="J230" s="1" t="s">
        <v>1012</v>
      </c>
      <c r="K230" s="1" t="s">
        <v>612</v>
      </c>
      <c r="L230" s="1"/>
      <c r="M230" s="1"/>
      <c r="N230" s="1" t="str">
        <f t="shared" si="33"/>
        <v>No</v>
      </c>
      <c r="O230" s="1">
        <f t="shared" si="34"/>
        <v>22</v>
      </c>
      <c r="P230" s="1">
        <f t="shared" si="35"/>
        <v>101</v>
      </c>
      <c r="Q230" s="1">
        <f t="shared" si="35"/>
        <v>16</v>
      </c>
      <c r="R230" s="1">
        <f t="shared" si="41"/>
        <v>3</v>
      </c>
      <c r="S230" s="34">
        <f t="shared" si="41"/>
        <v>138.61000000000001</v>
      </c>
      <c r="T230" s="1" t="str">
        <f t="shared" si="36"/>
        <v>not out</v>
      </c>
      <c r="U230" s="1" t="str">
        <f t="shared" si="37"/>
        <v>1</v>
      </c>
      <c r="V230" s="1" t="str">
        <f t="shared" si="38"/>
        <v xml:space="preserve"> Kenya</v>
      </c>
      <c r="W230" s="1" t="str">
        <f t="shared" si="39"/>
        <v>Bristol</v>
      </c>
      <c r="X230" s="1" t="str">
        <f t="shared" si="40"/>
        <v>No</v>
      </c>
      <c r="Y230" s="1"/>
    </row>
    <row r="231" spans="1:25" ht="14.25" customHeight="1">
      <c r="A231" s="1"/>
      <c r="B231" s="1">
        <v>214</v>
      </c>
      <c r="C231" s="1" t="s">
        <v>151</v>
      </c>
      <c r="D231" s="1" t="s">
        <v>148</v>
      </c>
      <c r="E231" s="1" t="s">
        <v>131</v>
      </c>
      <c r="F231" s="1" t="s">
        <v>131</v>
      </c>
      <c r="G231" s="1" t="s">
        <v>155</v>
      </c>
      <c r="H231" s="1" t="s">
        <v>29</v>
      </c>
      <c r="I231" s="1" t="s">
        <v>130</v>
      </c>
      <c r="J231" s="1" t="s">
        <v>133</v>
      </c>
      <c r="K231" s="1" t="s">
        <v>1074</v>
      </c>
      <c r="L231" s="1"/>
      <c r="M231" s="1"/>
      <c r="N231" s="1" t="str">
        <f t="shared" si="33"/>
        <v>No</v>
      </c>
      <c r="O231" s="1">
        <f t="shared" si="34"/>
        <v>0</v>
      </c>
      <c r="P231" s="1">
        <f t="shared" si="35"/>
        <v>3</v>
      </c>
      <c r="Q231" s="1">
        <f t="shared" si="35"/>
        <v>0</v>
      </c>
      <c r="R231" s="1">
        <f t="shared" si="41"/>
        <v>0</v>
      </c>
      <c r="S231" s="34">
        <f t="shared" si="41"/>
        <v>66.66</v>
      </c>
      <c r="T231" s="1" t="str">
        <f t="shared" si="36"/>
        <v>bowled</v>
      </c>
      <c r="U231" s="1" t="str">
        <f t="shared" si="37"/>
        <v>1</v>
      </c>
      <c r="V231" s="1" t="str">
        <f t="shared" si="38"/>
        <v xml:space="preserve"> Sri Lanka</v>
      </c>
      <c r="W231" s="1" t="str">
        <f t="shared" si="39"/>
        <v>Taunton</v>
      </c>
      <c r="X231" s="1" t="str">
        <f t="shared" si="40"/>
        <v>Yes</v>
      </c>
      <c r="Y231" s="1"/>
    </row>
    <row r="232" spans="1:25" ht="14.25" customHeight="1">
      <c r="A232" s="1"/>
      <c r="B232" s="1">
        <v>215</v>
      </c>
      <c r="C232" s="1" t="s">
        <v>129</v>
      </c>
      <c r="D232" s="1" t="s">
        <v>359</v>
      </c>
      <c r="E232" s="1" t="s">
        <v>151</v>
      </c>
      <c r="F232" s="1" t="s">
        <v>131</v>
      </c>
      <c r="G232" s="1" t="s">
        <v>1075</v>
      </c>
      <c r="H232" s="1" t="s">
        <v>24</v>
      </c>
      <c r="I232" s="1" t="s">
        <v>130</v>
      </c>
      <c r="J232" s="1" t="s">
        <v>234</v>
      </c>
      <c r="K232" s="1" t="s">
        <v>99</v>
      </c>
      <c r="L232" s="1"/>
      <c r="M232" s="1"/>
      <c r="N232" s="1" t="str">
        <f t="shared" si="33"/>
        <v>No</v>
      </c>
      <c r="O232" s="1">
        <f t="shared" si="34"/>
        <v>45</v>
      </c>
      <c r="P232" s="1">
        <f t="shared" si="35"/>
        <v>40</v>
      </c>
      <c r="Q232" s="1">
        <f t="shared" si="35"/>
        <v>2</v>
      </c>
      <c r="R232" s="1">
        <f t="shared" si="41"/>
        <v>0</v>
      </c>
      <c r="S232" s="34">
        <f t="shared" si="41"/>
        <v>55</v>
      </c>
      <c r="T232" s="1" t="str">
        <f t="shared" si="36"/>
        <v>caught</v>
      </c>
      <c r="U232" s="1" t="str">
        <f t="shared" si="37"/>
        <v>1</v>
      </c>
      <c r="V232" s="1" t="str">
        <f t="shared" si="38"/>
        <v xml:space="preserve"> England</v>
      </c>
      <c r="W232" s="1" t="str">
        <f t="shared" si="39"/>
        <v>Birmingham</v>
      </c>
      <c r="X232" s="1" t="str">
        <f t="shared" si="40"/>
        <v>Yes</v>
      </c>
      <c r="Y232" s="1"/>
    </row>
    <row r="233" spans="1:25" ht="14.25" customHeight="1">
      <c r="A233" s="1"/>
      <c r="B233" s="1">
        <v>216</v>
      </c>
      <c r="C233" s="1" t="s">
        <v>131</v>
      </c>
      <c r="D233" s="1" t="s">
        <v>140</v>
      </c>
      <c r="E233" s="1" t="s">
        <v>131</v>
      </c>
      <c r="F233" s="1" t="s">
        <v>131</v>
      </c>
      <c r="G233" s="1" t="s">
        <v>210</v>
      </c>
      <c r="H233" s="1" t="s">
        <v>24</v>
      </c>
      <c r="I233" s="1" t="s">
        <v>151</v>
      </c>
      <c r="J233" s="1" t="s">
        <v>158</v>
      </c>
      <c r="K233" s="1" t="s">
        <v>81</v>
      </c>
      <c r="L233" s="1"/>
      <c r="M233" s="1"/>
      <c r="N233" s="1" t="str">
        <f t="shared" si="33"/>
        <v>No</v>
      </c>
      <c r="O233" s="1">
        <f t="shared" si="34"/>
        <v>16</v>
      </c>
      <c r="P233" s="1">
        <f t="shared" si="35"/>
        <v>4</v>
      </c>
      <c r="Q233" s="1">
        <f t="shared" si="35"/>
        <v>0</v>
      </c>
      <c r="R233" s="1">
        <f t="shared" si="41"/>
        <v>0</v>
      </c>
      <c r="S233" s="34">
        <f t="shared" si="41"/>
        <v>0</v>
      </c>
      <c r="T233" s="1" t="str">
        <f t="shared" si="36"/>
        <v>caught</v>
      </c>
      <c r="U233" s="1" t="str">
        <f t="shared" si="37"/>
        <v>2</v>
      </c>
      <c r="V233" s="1" t="str">
        <f t="shared" si="38"/>
        <v xml:space="preserve"> Australia</v>
      </c>
      <c r="W233" s="1" t="str">
        <f t="shared" si="39"/>
        <v>The Oval</v>
      </c>
      <c r="X233" s="1" t="str">
        <f t="shared" si="40"/>
        <v>Yes</v>
      </c>
      <c r="Y233" s="1"/>
    </row>
    <row r="234" spans="1:25" ht="14.25" customHeight="1">
      <c r="A234" s="1"/>
      <c r="B234" s="1">
        <v>217</v>
      </c>
      <c r="C234" s="1" t="s">
        <v>405</v>
      </c>
      <c r="D234" s="1" t="s">
        <v>172</v>
      </c>
      <c r="E234" s="1" t="s">
        <v>202</v>
      </c>
      <c r="F234" s="1" t="s">
        <v>131</v>
      </c>
      <c r="G234" s="1" t="s">
        <v>401</v>
      </c>
      <c r="H234" s="1" t="s">
        <v>24</v>
      </c>
      <c r="I234" s="1" t="s">
        <v>130</v>
      </c>
      <c r="J234" s="1" t="s">
        <v>156</v>
      </c>
      <c r="K234" s="1" t="s">
        <v>115</v>
      </c>
      <c r="L234" s="1"/>
      <c r="M234" s="1"/>
      <c r="N234" s="1" t="str">
        <f t="shared" si="33"/>
        <v>No</v>
      </c>
      <c r="O234" s="1">
        <f t="shared" si="34"/>
        <v>14</v>
      </c>
      <c r="P234" s="1">
        <f t="shared" si="35"/>
        <v>65</v>
      </c>
      <c r="Q234" s="1">
        <f t="shared" si="35"/>
        <v>5</v>
      </c>
      <c r="R234" s="1">
        <f t="shared" si="41"/>
        <v>0</v>
      </c>
      <c r="S234" s="34">
        <f t="shared" si="41"/>
        <v>69.23</v>
      </c>
      <c r="T234" s="1" t="str">
        <f t="shared" si="36"/>
        <v>caught</v>
      </c>
      <c r="U234" s="1" t="str">
        <f t="shared" si="37"/>
        <v>1</v>
      </c>
      <c r="V234" s="1" t="str">
        <f t="shared" si="38"/>
        <v xml:space="preserve"> Pakistan</v>
      </c>
      <c r="W234" s="1" t="str">
        <f t="shared" si="39"/>
        <v>Manchester</v>
      </c>
      <c r="X234" s="1" t="str">
        <f t="shared" si="40"/>
        <v>Yes</v>
      </c>
      <c r="Y234" s="1"/>
    </row>
    <row r="235" spans="1:25" ht="14.25" customHeight="1">
      <c r="A235" s="1"/>
      <c r="B235" s="1">
        <v>218</v>
      </c>
      <c r="C235" s="1" t="s">
        <v>153</v>
      </c>
      <c r="D235" s="1" t="s">
        <v>129</v>
      </c>
      <c r="E235" s="1" t="s">
        <v>151</v>
      </c>
      <c r="F235" s="1" t="s">
        <v>131</v>
      </c>
      <c r="G235" s="1" t="s">
        <v>245</v>
      </c>
      <c r="H235" s="1" t="s">
        <v>29</v>
      </c>
      <c r="I235" s="1" t="s">
        <v>130</v>
      </c>
      <c r="J235" s="1" t="s">
        <v>211</v>
      </c>
      <c r="K235" s="1" t="s">
        <v>108</v>
      </c>
      <c r="L235" s="1"/>
      <c r="M235" s="1"/>
      <c r="N235" s="1" t="str">
        <f t="shared" si="33"/>
        <v>No</v>
      </c>
      <c r="O235" s="1">
        <f t="shared" si="34"/>
        <v>37</v>
      </c>
      <c r="P235" s="1">
        <f t="shared" si="35"/>
        <v>22</v>
      </c>
      <c r="Q235" s="1">
        <f t="shared" si="35"/>
        <v>2</v>
      </c>
      <c r="R235" s="1">
        <f t="shared" si="41"/>
        <v>0</v>
      </c>
      <c r="S235" s="34">
        <f t="shared" si="41"/>
        <v>72.72</v>
      </c>
      <c r="T235" s="1" t="str">
        <f t="shared" si="36"/>
        <v>bowled</v>
      </c>
      <c r="U235" s="1" t="str">
        <f t="shared" si="37"/>
        <v>1</v>
      </c>
      <c r="V235" s="1" t="str">
        <f t="shared" si="38"/>
        <v xml:space="preserve"> New Zealand</v>
      </c>
      <c r="W235" s="1" t="str">
        <f t="shared" si="39"/>
        <v>Nottingham</v>
      </c>
      <c r="X235" s="1" t="str">
        <f t="shared" si="40"/>
        <v>Yes</v>
      </c>
      <c r="Y235" s="1"/>
    </row>
    <row r="236" spans="1:25" ht="14.25" customHeight="1">
      <c r="A236" s="1"/>
      <c r="B236" s="1">
        <v>219</v>
      </c>
      <c r="C236" s="1" t="s">
        <v>205</v>
      </c>
      <c r="D236" s="1" t="s">
        <v>244</v>
      </c>
      <c r="E236" s="1" t="s">
        <v>131</v>
      </c>
      <c r="F236" s="1" t="s">
        <v>131</v>
      </c>
      <c r="G236" s="1" t="s">
        <v>1076</v>
      </c>
      <c r="H236" s="1" t="s">
        <v>24</v>
      </c>
      <c r="I236" s="1" t="s">
        <v>130</v>
      </c>
      <c r="J236" s="1" t="s">
        <v>158</v>
      </c>
      <c r="K236" s="1" t="s">
        <v>1077</v>
      </c>
      <c r="L236" s="1"/>
      <c r="M236" s="1"/>
      <c r="N236" s="1" t="str">
        <f t="shared" si="33"/>
        <v>No</v>
      </c>
      <c r="O236" s="1">
        <f t="shared" si="34"/>
        <v>120</v>
      </c>
      <c r="P236" s="1">
        <f t="shared" si="35"/>
        <v>33</v>
      </c>
      <c r="Q236" s="1">
        <f t="shared" si="35"/>
        <v>0</v>
      </c>
      <c r="R236" s="1">
        <f t="shared" si="41"/>
        <v>0</v>
      </c>
      <c r="S236" s="34">
        <f t="shared" si="41"/>
        <v>42.42</v>
      </c>
      <c r="T236" s="1" t="str">
        <f t="shared" si="36"/>
        <v>caught</v>
      </c>
      <c r="U236" s="1" t="str">
        <f t="shared" si="37"/>
        <v>1</v>
      </c>
      <c r="V236" s="1" t="str">
        <f t="shared" si="38"/>
        <v xml:space="preserve"> Australia</v>
      </c>
      <c r="W236" s="1" t="str">
        <f t="shared" si="39"/>
        <v>Galle</v>
      </c>
      <c r="X236" s="1" t="str">
        <f t="shared" si="40"/>
        <v>Yes</v>
      </c>
      <c r="Y236" s="1"/>
    </row>
    <row r="237" spans="1:25" ht="14.25" customHeight="1">
      <c r="A237" s="1"/>
      <c r="B237" s="1">
        <v>220</v>
      </c>
      <c r="C237" s="1" t="s">
        <v>134</v>
      </c>
      <c r="D237" s="1" t="s">
        <v>582</v>
      </c>
      <c r="E237" s="1" t="s">
        <v>130</v>
      </c>
      <c r="F237" s="1" t="s">
        <v>131</v>
      </c>
      <c r="G237" s="1" t="s">
        <v>1078</v>
      </c>
      <c r="H237" s="1" t="s">
        <v>26</v>
      </c>
      <c r="I237" s="1" t="s">
        <v>130</v>
      </c>
      <c r="J237" s="1" t="s">
        <v>133</v>
      </c>
      <c r="K237" s="1" t="s">
        <v>27</v>
      </c>
      <c r="L237" s="1"/>
      <c r="M237" s="1"/>
      <c r="N237" s="1" t="str">
        <f t="shared" si="33"/>
        <v>No</v>
      </c>
      <c r="O237" s="1">
        <f t="shared" si="34"/>
        <v>85</v>
      </c>
      <c r="P237" s="1">
        <f t="shared" si="35"/>
        <v>58</v>
      </c>
      <c r="Q237" s="1">
        <f t="shared" si="35"/>
        <v>1</v>
      </c>
      <c r="R237" s="1">
        <f t="shared" si="41"/>
        <v>0</v>
      </c>
      <c r="S237" s="34">
        <f t="shared" si="41"/>
        <v>63.79</v>
      </c>
      <c r="T237" s="1" t="str">
        <f t="shared" si="36"/>
        <v>run out</v>
      </c>
      <c r="U237" s="1" t="str">
        <f t="shared" si="37"/>
        <v>1</v>
      </c>
      <c r="V237" s="1" t="str">
        <f t="shared" si="38"/>
        <v xml:space="preserve"> Sri Lanka</v>
      </c>
      <c r="W237" s="1" t="str">
        <f t="shared" si="39"/>
        <v>Colombo (RPS)</v>
      </c>
      <c r="X237" s="1" t="str">
        <f t="shared" si="40"/>
        <v>Yes</v>
      </c>
      <c r="Y237" s="1"/>
    </row>
    <row r="238" spans="1:25" ht="14.25" customHeight="1">
      <c r="A238" s="1"/>
      <c r="B238" s="1">
        <v>221</v>
      </c>
      <c r="C238" s="1" t="s">
        <v>291</v>
      </c>
      <c r="D238" s="1" t="s">
        <v>1064</v>
      </c>
      <c r="E238" s="1" t="s">
        <v>176</v>
      </c>
      <c r="F238" s="1" t="s">
        <v>151</v>
      </c>
      <c r="G238" s="1" t="s">
        <v>1079</v>
      </c>
      <c r="H238" s="1" t="s">
        <v>24</v>
      </c>
      <c r="I238" s="1" t="s">
        <v>130</v>
      </c>
      <c r="J238" s="1" t="s">
        <v>133</v>
      </c>
      <c r="K238" s="1" t="s">
        <v>584</v>
      </c>
      <c r="L238" s="1"/>
      <c r="M238" s="1"/>
      <c r="N238" s="1" t="str">
        <f t="shared" si="33"/>
        <v>No</v>
      </c>
      <c r="O238" s="1">
        <f t="shared" si="34"/>
        <v>40</v>
      </c>
      <c r="P238" s="1">
        <f t="shared" si="35"/>
        <v>141</v>
      </c>
      <c r="Q238" s="1">
        <f t="shared" si="35"/>
        <v>11</v>
      </c>
      <c r="R238" s="1">
        <f t="shared" si="41"/>
        <v>2</v>
      </c>
      <c r="S238" s="34">
        <f t="shared" si="41"/>
        <v>85.1</v>
      </c>
      <c r="T238" s="1" t="str">
        <f t="shared" si="36"/>
        <v>caught</v>
      </c>
      <c r="U238" s="1" t="str">
        <f t="shared" si="37"/>
        <v>1</v>
      </c>
      <c r="V238" s="1" t="str">
        <f t="shared" si="38"/>
        <v xml:space="preserve"> Sri Lanka</v>
      </c>
      <c r="W238" s="1" t="str">
        <f t="shared" si="39"/>
        <v>Colombo (SSC)</v>
      </c>
      <c r="X238" s="1" t="str">
        <f t="shared" si="40"/>
        <v>Yes</v>
      </c>
      <c r="Y238" s="1"/>
    </row>
    <row r="239" spans="1:25" ht="14.25" customHeight="1">
      <c r="A239" s="1"/>
      <c r="B239" s="1">
        <v>222</v>
      </c>
      <c r="C239" s="1" t="s">
        <v>277</v>
      </c>
      <c r="D239" s="1" t="s">
        <v>454</v>
      </c>
      <c r="E239" s="1" t="s">
        <v>144</v>
      </c>
      <c r="F239" s="1" t="s">
        <v>148</v>
      </c>
      <c r="G239" s="1" t="s">
        <v>1080</v>
      </c>
      <c r="H239" s="1" t="s">
        <v>24</v>
      </c>
      <c r="I239" s="1" t="s">
        <v>130</v>
      </c>
      <c r="J239" s="1" t="s">
        <v>195</v>
      </c>
      <c r="K239" s="1" t="s">
        <v>1016</v>
      </c>
      <c r="L239" s="1"/>
      <c r="M239" s="1"/>
      <c r="N239" s="1" t="str">
        <f t="shared" si="33"/>
        <v>No</v>
      </c>
      <c r="O239" s="1">
        <f t="shared" si="34"/>
        <v>0</v>
      </c>
      <c r="P239" s="1">
        <f t="shared" si="35"/>
        <v>72</v>
      </c>
      <c r="Q239" s="1">
        <f t="shared" si="35"/>
        <v>7</v>
      </c>
      <c r="R239" s="1">
        <f t="shared" si="41"/>
        <v>3</v>
      </c>
      <c r="S239" s="34">
        <f t="shared" si="41"/>
        <v>118.05</v>
      </c>
      <c r="T239" s="1" t="str">
        <f t="shared" si="36"/>
        <v>caught</v>
      </c>
      <c r="U239" s="1" t="str">
        <f t="shared" si="37"/>
        <v>1</v>
      </c>
      <c r="V239" s="1" t="str">
        <f t="shared" si="38"/>
        <v xml:space="preserve"> Zimbabwe</v>
      </c>
      <c r="W239" s="1" t="str">
        <f t="shared" si="39"/>
        <v>Singapore</v>
      </c>
      <c r="X239" s="1" t="str">
        <f t="shared" si="40"/>
        <v>Yes</v>
      </c>
      <c r="Y239" s="1"/>
    </row>
    <row r="240" spans="1:25" ht="14.25" customHeight="1">
      <c r="A240" s="1"/>
      <c r="B240" s="1">
        <v>223</v>
      </c>
      <c r="C240" s="1" t="s">
        <v>359</v>
      </c>
      <c r="D240" s="1" t="s">
        <v>172</v>
      </c>
      <c r="E240" s="1" t="s">
        <v>136</v>
      </c>
      <c r="F240" s="1" t="s">
        <v>131</v>
      </c>
      <c r="G240" s="1" t="s">
        <v>978</v>
      </c>
      <c r="H240" s="1" t="s">
        <v>24</v>
      </c>
      <c r="I240" s="1" t="s">
        <v>130</v>
      </c>
      <c r="J240" s="1" t="s">
        <v>163</v>
      </c>
      <c r="K240" s="1" t="s">
        <v>1016</v>
      </c>
      <c r="L240" s="1"/>
      <c r="M240" s="1"/>
      <c r="N240" s="1" t="str">
        <f t="shared" si="33"/>
        <v>No</v>
      </c>
      <c r="O240" s="1">
        <f t="shared" si="34"/>
        <v>32</v>
      </c>
      <c r="P240" s="1">
        <f t="shared" si="35"/>
        <v>65</v>
      </c>
      <c r="Q240" s="1">
        <f t="shared" si="35"/>
        <v>6</v>
      </c>
      <c r="R240" s="1">
        <f t="shared" si="41"/>
        <v>0</v>
      </c>
      <c r="S240" s="34">
        <f t="shared" si="41"/>
        <v>61.53</v>
      </c>
      <c r="T240" s="1" t="str">
        <f t="shared" si="36"/>
        <v>caught</v>
      </c>
      <c r="U240" s="1" t="str">
        <f t="shared" si="37"/>
        <v>1</v>
      </c>
      <c r="V240" s="1" t="str">
        <f t="shared" si="38"/>
        <v xml:space="preserve"> West Indies</v>
      </c>
      <c r="W240" s="1" t="str">
        <f t="shared" si="39"/>
        <v>Singapore</v>
      </c>
      <c r="X240" s="1" t="str">
        <f t="shared" si="40"/>
        <v>Yes</v>
      </c>
      <c r="Y240" s="1"/>
    </row>
    <row r="241" spans="1:25" ht="14.25" customHeight="1">
      <c r="A241" s="1"/>
      <c r="B241" s="1">
        <v>224</v>
      </c>
      <c r="C241" s="1" t="s">
        <v>131</v>
      </c>
      <c r="D241" s="1" t="s">
        <v>136</v>
      </c>
      <c r="E241" s="1" t="s">
        <v>131</v>
      </c>
      <c r="F241" s="1" t="s">
        <v>131</v>
      </c>
      <c r="G241" s="1" t="s">
        <v>210</v>
      </c>
      <c r="H241" s="1" t="s">
        <v>24</v>
      </c>
      <c r="I241" s="1" t="s">
        <v>130</v>
      </c>
      <c r="J241" s="1" t="s">
        <v>163</v>
      </c>
      <c r="K241" s="1" t="s">
        <v>1016</v>
      </c>
      <c r="L241" s="1"/>
      <c r="M241" s="1"/>
      <c r="N241" s="1" t="str">
        <f t="shared" si="33"/>
        <v>No</v>
      </c>
      <c r="O241" s="1">
        <f t="shared" si="34"/>
        <v>186</v>
      </c>
      <c r="P241" s="1">
        <f t="shared" si="35"/>
        <v>6</v>
      </c>
      <c r="Q241" s="1">
        <f t="shared" si="35"/>
        <v>0</v>
      </c>
      <c r="R241" s="1">
        <f t="shared" si="41"/>
        <v>0</v>
      </c>
      <c r="S241" s="34">
        <f t="shared" si="41"/>
        <v>0</v>
      </c>
      <c r="T241" s="1" t="str">
        <f t="shared" si="36"/>
        <v>caught</v>
      </c>
      <c r="U241" s="1" t="str">
        <f t="shared" si="37"/>
        <v>1</v>
      </c>
      <c r="V241" s="1" t="str">
        <f t="shared" si="38"/>
        <v xml:space="preserve"> West Indies</v>
      </c>
      <c r="W241" s="1" t="str">
        <f t="shared" si="39"/>
        <v>Singapore</v>
      </c>
      <c r="X241" s="1" t="str">
        <f t="shared" si="40"/>
        <v>Yes</v>
      </c>
      <c r="Y241" s="1"/>
    </row>
    <row r="242" spans="1:25" ht="14.25" customHeight="1">
      <c r="A242" s="1"/>
      <c r="B242" s="1">
        <v>225</v>
      </c>
      <c r="C242" s="1" t="s">
        <v>521</v>
      </c>
      <c r="D242" s="1" t="s">
        <v>146</v>
      </c>
      <c r="E242" s="1" t="s">
        <v>151</v>
      </c>
      <c r="F242" s="1" t="s">
        <v>130</v>
      </c>
      <c r="G242" s="1" t="s">
        <v>1081</v>
      </c>
      <c r="H242" s="1" t="s">
        <v>24</v>
      </c>
      <c r="I242" s="1" t="s">
        <v>151</v>
      </c>
      <c r="J242" s="1" t="s">
        <v>211</v>
      </c>
      <c r="K242" s="1" t="s">
        <v>48</v>
      </c>
      <c r="L242" s="1"/>
      <c r="M242" s="1"/>
      <c r="N242" s="1" t="str">
        <f t="shared" si="33"/>
        <v>No</v>
      </c>
      <c r="O242" s="1">
        <f t="shared" si="34"/>
        <v>1</v>
      </c>
      <c r="P242" s="1">
        <f t="shared" si="35"/>
        <v>31</v>
      </c>
      <c r="Q242" s="1">
        <f t="shared" si="35"/>
        <v>2</v>
      </c>
      <c r="R242" s="1">
        <f t="shared" si="41"/>
        <v>1</v>
      </c>
      <c r="S242" s="34">
        <f t="shared" si="41"/>
        <v>103.22</v>
      </c>
      <c r="T242" s="1" t="str">
        <f t="shared" si="36"/>
        <v>caught</v>
      </c>
      <c r="U242" s="1" t="str">
        <f t="shared" si="37"/>
        <v>2</v>
      </c>
      <c r="V242" s="1" t="str">
        <f t="shared" si="38"/>
        <v xml:space="preserve"> New Zealand</v>
      </c>
      <c r="W242" s="1" t="str">
        <f t="shared" si="39"/>
        <v>Rajkot</v>
      </c>
      <c r="X242" s="1" t="str">
        <f t="shared" si="40"/>
        <v>Yes</v>
      </c>
      <c r="Y242" s="1"/>
    </row>
    <row r="243" spans="1:25" ht="14.25" customHeight="1">
      <c r="A243" s="1"/>
      <c r="B243" s="1">
        <v>226</v>
      </c>
      <c r="C243" s="1" t="s">
        <v>1082</v>
      </c>
      <c r="D243" s="1" t="s">
        <v>865</v>
      </c>
      <c r="E243" s="1" t="s">
        <v>238</v>
      </c>
      <c r="F243" s="1" t="s">
        <v>148</v>
      </c>
      <c r="G243" s="1" t="s">
        <v>692</v>
      </c>
      <c r="H243" s="1" t="s">
        <v>32</v>
      </c>
      <c r="I243" s="1" t="s">
        <v>130</v>
      </c>
      <c r="J243" s="1" t="s">
        <v>211</v>
      </c>
      <c r="K243" s="1" t="s">
        <v>990</v>
      </c>
      <c r="L243" s="1"/>
      <c r="M243" s="1"/>
      <c r="N243" s="1" t="str">
        <f t="shared" si="33"/>
        <v>No</v>
      </c>
      <c r="O243" s="1">
        <f t="shared" si="34"/>
        <v>2</v>
      </c>
      <c r="P243" s="1">
        <f t="shared" si="35"/>
        <v>150</v>
      </c>
      <c r="Q243" s="1">
        <f t="shared" si="35"/>
        <v>20</v>
      </c>
      <c r="R243" s="1">
        <f t="shared" si="41"/>
        <v>3</v>
      </c>
      <c r="S243" s="34">
        <f t="shared" si="41"/>
        <v>124</v>
      </c>
      <c r="T243" s="1" t="str">
        <f t="shared" si="36"/>
        <v>not out</v>
      </c>
      <c r="U243" s="1" t="str">
        <f t="shared" si="37"/>
        <v>1</v>
      </c>
      <c r="V243" s="1" t="str">
        <f t="shared" si="38"/>
        <v xml:space="preserve"> New Zealand</v>
      </c>
      <c r="W243" s="1" t="str">
        <f t="shared" si="39"/>
        <v>Hyderabad (Deccan)</v>
      </c>
      <c r="X243" s="1" t="str">
        <f t="shared" si="40"/>
        <v>No</v>
      </c>
      <c r="Y243" s="1"/>
    </row>
    <row r="244" spans="1:25" ht="14.25" customHeight="1">
      <c r="A244" s="1"/>
      <c r="B244" s="1">
        <v>227</v>
      </c>
      <c r="C244" s="1" t="s">
        <v>130</v>
      </c>
      <c r="D244" s="1" t="s">
        <v>304</v>
      </c>
      <c r="E244" s="1" t="s">
        <v>131</v>
      </c>
      <c r="F244" s="1" t="s">
        <v>131</v>
      </c>
      <c r="G244" s="1" t="s">
        <v>1083</v>
      </c>
      <c r="H244" s="1" t="s">
        <v>24</v>
      </c>
      <c r="I244" s="1" t="s">
        <v>130</v>
      </c>
      <c r="J244" s="1" t="s">
        <v>211</v>
      </c>
      <c r="K244" s="1" t="s">
        <v>58</v>
      </c>
      <c r="L244" s="1"/>
      <c r="M244" s="1"/>
      <c r="N244" s="1" t="str">
        <f t="shared" si="33"/>
        <v>No</v>
      </c>
      <c r="O244" s="1">
        <f t="shared" si="34"/>
        <v>0</v>
      </c>
      <c r="P244" s="1">
        <f t="shared" si="35"/>
        <v>23</v>
      </c>
      <c r="Q244" s="1">
        <f t="shared" si="35"/>
        <v>0</v>
      </c>
      <c r="R244" s="1">
        <f t="shared" si="41"/>
        <v>0</v>
      </c>
      <c r="S244" s="34">
        <f t="shared" si="41"/>
        <v>4.34</v>
      </c>
      <c r="T244" s="1" t="str">
        <f t="shared" si="36"/>
        <v>caught</v>
      </c>
      <c r="U244" s="1" t="str">
        <f t="shared" si="37"/>
        <v>1</v>
      </c>
      <c r="V244" s="1" t="str">
        <f t="shared" si="38"/>
        <v xml:space="preserve"> New Zealand</v>
      </c>
      <c r="W244" s="1" t="str">
        <f t="shared" si="39"/>
        <v>Gwalior</v>
      </c>
      <c r="X244" s="1" t="str">
        <f t="shared" si="40"/>
        <v>Yes</v>
      </c>
      <c r="Y244" s="1"/>
    </row>
    <row r="245" spans="1:25" ht="14.25" customHeight="1">
      <c r="A245" s="1"/>
      <c r="B245" s="1">
        <v>228</v>
      </c>
      <c r="C245" s="1" t="s">
        <v>151</v>
      </c>
      <c r="D245" s="1" t="s">
        <v>167</v>
      </c>
      <c r="E245" s="1" t="s">
        <v>131</v>
      </c>
      <c r="F245" s="1" t="s">
        <v>131</v>
      </c>
      <c r="G245" s="1" t="s">
        <v>299</v>
      </c>
      <c r="H245" s="1" t="s">
        <v>24</v>
      </c>
      <c r="I245" s="1" t="s">
        <v>151</v>
      </c>
      <c r="J245" s="1" t="s">
        <v>211</v>
      </c>
      <c r="K245" s="1" t="s">
        <v>66</v>
      </c>
      <c r="L245" s="1"/>
      <c r="M245" s="1"/>
      <c r="N245" s="1" t="str">
        <f t="shared" si="33"/>
        <v>No</v>
      </c>
      <c r="O245" s="1">
        <f t="shared" si="34"/>
        <v>13</v>
      </c>
      <c r="P245" s="1">
        <f t="shared" si="35"/>
        <v>10</v>
      </c>
      <c r="Q245" s="1">
        <f t="shared" si="35"/>
        <v>0</v>
      </c>
      <c r="R245" s="1">
        <f t="shared" si="41"/>
        <v>0</v>
      </c>
      <c r="S245" s="34">
        <f t="shared" si="41"/>
        <v>20</v>
      </c>
      <c r="T245" s="1" t="str">
        <f t="shared" si="36"/>
        <v>caught</v>
      </c>
      <c r="U245" s="1" t="str">
        <f t="shared" si="37"/>
        <v>2</v>
      </c>
      <c r="V245" s="1" t="str">
        <f t="shared" si="38"/>
        <v xml:space="preserve"> New Zealand</v>
      </c>
      <c r="W245" s="1" t="str">
        <f t="shared" si="39"/>
        <v>Guwahati</v>
      </c>
      <c r="X245" s="1" t="str">
        <f t="shared" si="40"/>
        <v>Yes</v>
      </c>
      <c r="Y245" s="1"/>
    </row>
    <row r="246" spans="1:25" ht="14.25" customHeight="1">
      <c r="A246" s="1"/>
      <c r="B246" s="1">
        <v>229</v>
      </c>
      <c r="C246" s="1" t="s">
        <v>131</v>
      </c>
      <c r="D246" s="1" t="s">
        <v>148</v>
      </c>
      <c r="E246" s="1" t="s">
        <v>131</v>
      </c>
      <c r="F246" s="1" t="s">
        <v>131</v>
      </c>
      <c r="G246" s="1" t="s">
        <v>210</v>
      </c>
      <c r="H246" s="1" t="s">
        <v>24</v>
      </c>
      <c r="I246" s="1" t="s">
        <v>151</v>
      </c>
      <c r="J246" s="1" t="s">
        <v>211</v>
      </c>
      <c r="K246" s="1" t="s">
        <v>52</v>
      </c>
      <c r="L246" s="1"/>
      <c r="M246" s="1"/>
      <c r="N246" s="1" t="str">
        <f t="shared" si="33"/>
        <v>No</v>
      </c>
      <c r="O246" s="1">
        <f t="shared" si="34"/>
        <v>12</v>
      </c>
      <c r="P246" s="1">
        <f t="shared" si="35"/>
        <v>3</v>
      </c>
      <c r="Q246" s="1">
        <f t="shared" si="35"/>
        <v>0</v>
      </c>
      <c r="R246" s="1">
        <f t="shared" si="41"/>
        <v>0</v>
      </c>
      <c r="S246" s="34">
        <f t="shared" si="41"/>
        <v>0</v>
      </c>
      <c r="T246" s="1" t="str">
        <f t="shared" si="36"/>
        <v>caught</v>
      </c>
      <c r="U246" s="1" t="str">
        <f t="shared" si="37"/>
        <v>2</v>
      </c>
      <c r="V246" s="1" t="str">
        <f t="shared" si="38"/>
        <v xml:space="preserve"> New Zealand</v>
      </c>
      <c r="W246" s="1" t="str">
        <f t="shared" si="39"/>
        <v>Delhi</v>
      </c>
      <c r="X246" s="1" t="str">
        <f t="shared" si="40"/>
        <v>Yes</v>
      </c>
      <c r="Y246" s="1"/>
    </row>
    <row r="247" spans="1:25" ht="14.25" customHeight="1">
      <c r="A247" s="1"/>
      <c r="B247" s="1">
        <v>230</v>
      </c>
      <c r="C247" s="1" t="s">
        <v>325</v>
      </c>
      <c r="D247" s="1" t="s">
        <v>313</v>
      </c>
      <c r="E247" s="1" t="s">
        <v>151</v>
      </c>
      <c r="F247" s="1" t="s">
        <v>131</v>
      </c>
      <c r="G247" s="1" t="s">
        <v>204</v>
      </c>
      <c r="H247" s="1" t="s">
        <v>29</v>
      </c>
      <c r="I247" s="1" t="s">
        <v>130</v>
      </c>
      <c r="J247" s="1" t="s">
        <v>156</v>
      </c>
      <c r="K247" s="1" t="s">
        <v>91</v>
      </c>
      <c r="L247" s="1"/>
      <c r="M247" s="1"/>
      <c r="N247" s="1" t="str">
        <f t="shared" si="33"/>
        <v>No</v>
      </c>
      <c r="O247" s="1">
        <f t="shared" si="34"/>
        <v>1</v>
      </c>
      <c r="P247" s="1">
        <f t="shared" si="35"/>
        <v>26</v>
      </c>
      <c r="Q247" s="1">
        <f t="shared" si="35"/>
        <v>2</v>
      </c>
      <c r="R247" s="1">
        <f t="shared" si="41"/>
        <v>0</v>
      </c>
      <c r="S247" s="34">
        <f t="shared" si="41"/>
        <v>50</v>
      </c>
      <c r="T247" s="1" t="str">
        <f t="shared" si="36"/>
        <v>bowled</v>
      </c>
      <c r="U247" s="1" t="str">
        <f t="shared" si="37"/>
        <v>1</v>
      </c>
      <c r="V247" s="1" t="str">
        <f t="shared" si="38"/>
        <v xml:space="preserve"> Pakistan</v>
      </c>
      <c r="W247" s="1" t="str">
        <f t="shared" si="39"/>
        <v>Brisbane</v>
      </c>
      <c r="X247" s="1" t="str">
        <f t="shared" si="40"/>
        <v>Yes</v>
      </c>
      <c r="Y247" s="1"/>
    </row>
    <row r="248" spans="1:25" ht="14.25" customHeight="1">
      <c r="A248" s="1"/>
      <c r="B248" s="1">
        <v>231</v>
      </c>
      <c r="C248" s="1" t="s">
        <v>128</v>
      </c>
      <c r="D248" s="1" t="s">
        <v>176</v>
      </c>
      <c r="E248" s="1" t="s">
        <v>151</v>
      </c>
      <c r="F248" s="1" t="s">
        <v>131</v>
      </c>
      <c r="G248" s="1" t="s">
        <v>530</v>
      </c>
      <c r="H248" s="1" t="s">
        <v>26</v>
      </c>
      <c r="I248" s="1" t="s">
        <v>151</v>
      </c>
      <c r="J248" s="1" t="s">
        <v>158</v>
      </c>
      <c r="K248" s="1" t="s">
        <v>88</v>
      </c>
      <c r="L248" s="1"/>
      <c r="M248" s="1"/>
      <c r="N248" s="1" t="str">
        <f t="shared" si="33"/>
        <v>No</v>
      </c>
      <c r="O248" s="1">
        <f t="shared" si="34"/>
        <v>93</v>
      </c>
      <c r="P248" s="1">
        <f t="shared" si="35"/>
        <v>11</v>
      </c>
      <c r="Q248" s="1">
        <f t="shared" si="35"/>
        <v>2</v>
      </c>
      <c r="R248" s="1">
        <f t="shared" si="41"/>
        <v>0</v>
      </c>
      <c r="S248" s="34">
        <f t="shared" si="41"/>
        <v>109.09</v>
      </c>
      <c r="T248" s="1" t="str">
        <f t="shared" si="36"/>
        <v>run out</v>
      </c>
      <c r="U248" s="1" t="str">
        <f t="shared" si="37"/>
        <v>2</v>
      </c>
      <c r="V248" s="1" t="str">
        <f t="shared" si="38"/>
        <v xml:space="preserve"> Australia</v>
      </c>
      <c r="W248" s="1" t="str">
        <f t="shared" si="39"/>
        <v>Melbourne</v>
      </c>
      <c r="X248" s="1" t="str">
        <f t="shared" si="40"/>
        <v>Yes</v>
      </c>
      <c r="Y248" s="1"/>
    </row>
    <row r="249" spans="1:25" ht="14.25" customHeight="1">
      <c r="A249" s="1"/>
      <c r="B249" s="1">
        <v>232</v>
      </c>
      <c r="C249" s="1" t="s">
        <v>130</v>
      </c>
      <c r="D249" s="1" t="s">
        <v>176</v>
      </c>
      <c r="E249" s="1" t="s">
        <v>131</v>
      </c>
      <c r="F249" s="1" t="s">
        <v>131</v>
      </c>
      <c r="G249" s="1" t="s">
        <v>1021</v>
      </c>
      <c r="H249" s="1" t="s">
        <v>24</v>
      </c>
      <c r="I249" s="1" t="s">
        <v>130</v>
      </c>
      <c r="J249" s="1" t="s">
        <v>158</v>
      </c>
      <c r="K249" s="1" t="s">
        <v>92</v>
      </c>
      <c r="L249" s="1"/>
      <c r="M249" s="1"/>
      <c r="N249" s="1" t="str">
        <f t="shared" si="33"/>
        <v>No</v>
      </c>
      <c r="O249" s="1">
        <f t="shared" si="34"/>
        <v>41</v>
      </c>
      <c r="P249" s="1">
        <f t="shared" si="35"/>
        <v>11</v>
      </c>
      <c r="Q249" s="1">
        <f t="shared" si="35"/>
        <v>0</v>
      </c>
      <c r="R249" s="1">
        <f t="shared" si="41"/>
        <v>0</v>
      </c>
      <c r="S249" s="34">
        <f t="shared" si="41"/>
        <v>9.09</v>
      </c>
      <c r="T249" s="1" t="str">
        <f t="shared" si="36"/>
        <v>caught</v>
      </c>
      <c r="U249" s="1" t="str">
        <f t="shared" si="37"/>
        <v>1</v>
      </c>
      <c r="V249" s="1" t="str">
        <f t="shared" si="38"/>
        <v xml:space="preserve"> Australia</v>
      </c>
      <c r="W249" s="1" t="str">
        <f t="shared" si="39"/>
        <v>Sydney</v>
      </c>
      <c r="X249" s="1" t="str">
        <f t="shared" si="40"/>
        <v>Yes</v>
      </c>
      <c r="Y249" s="1"/>
    </row>
    <row r="250" spans="1:25" ht="14.25" customHeight="1">
      <c r="A250" s="1"/>
      <c r="B250" s="1">
        <v>233</v>
      </c>
      <c r="C250" s="1" t="s">
        <v>260</v>
      </c>
      <c r="D250" s="1" t="s">
        <v>251</v>
      </c>
      <c r="E250" s="1" t="s">
        <v>167</v>
      </c>
      <c r="F250" s="1" t="s">
        <v>131</v>
      </c>
      <c r="G250" s="1" t="s">
        <v>1084</v>
      </c>
      <c r="H250" s="1" t="s">
        <v>29</v>
      </c>
      <c r="I250" s="1" t="s">
        <v>151</v>
      </c>
      <c r="J250" s="1" t="s">
        <v>156</v>
      </c>
      <c r="K250" s="1" t="s">
        <v>93</v>
      </c>
      <c r="L250" s="1"/>
      <c r="M250" s="1"/>
      <c r="N250" s="1" t="str">
        <f t="shared" si="33"/>
        <v>No</v>
      </c>
      <c r="O250" s="1">
        <f t="shared" si="34"/>
        <v>18</v>
      </c>
      <c r="P250" s="1">
        <f t="shared" si="35"/>
        <v>103</v>
      </c>
      <c r="Q250" s="1">
        <f t="shared" si="35"/>
        <v>10</v>
      </c>
      <c r="R250" s="1">
        <f t="shared" si="41"/>
        <v>0</v>
      </c>
      <c r="S250" s="34">
        <f t="shared" si="41"/>
        <v>90.29</v>
      </c>
      <c r="T250" s="1" t="str">
        <f t="shared" si="36"/>
        <v>bowled</v>
      </c>
      <c r="U250" s="1" t="str">
        <f t="shared" si="37"/>
        <v>2</v>
      </c>
      <c r="V250" s="1" t="str">
        <f t="shared" si="38"/>
        <v xml:space="preserve"> Pakistan</v>
      </c>
      <c r="W250" s="1" t="str">
        <f t="shared" si="39"/>
        <v>Hobart</v>
      </c>
      <c r="X250" s="1" t="str">
        <f t="shared" si="40"/>
        <v>Yes</v>
      </c>
      <c r="Y250" s="1"/>
    </row>
    <row r="251" spans="1:25" ht="14.25" customHeight="1">
      <c r="A251" s="1"/>
      <c r="B251" s="1">
        <v>234</v>
      </c>
      <c r="C251" s="1" t="s">
        <v>165</v>
      </c>
      <c r="D251" s="1" t="s">
        <v>147</v>
      </c>
      <c r="E251" s="1" t="s">
        <v>202</v>
      </c>
      <c r="F251" s="1" t="s">
        <v>131</v>
      </c>
      <c r="G251" s="1" t="s">
        <v>198</v>
      </c>
      <c r="H251" s="1" t="s">
        <v>24</v>
      </c>
      <c r="I251" s="1" t="s">
        <v>130</v>
      </c>
      <c r="J251" s="1" t="s">
        <v>156</v>
      </c>
      <c r="K251" s="1" t="s">
        <v>90</v>
      </c>
      <c r="L251" s="1"/>
      <c r="M251" s="1"/>
      <c r="N251" s="1" t="str">
        <f t="shared" si="33"/>
        <v>No</v>
      </c>
      <c r="O251" s="1">
        <f t="shared" si="34"/>
        <v>17</v>
      </c>
      <c r="P251" s="1">
        <f t="shared" si="35"/>
        <v>46</v>
      </c>
      <c r="Q251" s="1">
        <f t="shared" si="35"/>
        <v>5</v>
      </c>
      <c r="R251" s="1">
        <f t="shared" si="41"/>
        <v>0</v>
      </c>
      <c r="S251" s="34">
        <f t="shared" si="41"/>
        <v>89.13</v>
      </c>
      <c r="T251" s="1" t="str">
        <f t="shared" si="36"/>
        <v>caught</v>
      </c>
      <c r="U251" s="1" t="str">
        <f t="shared" si="37"/>
        <v>1</v>
      </c>
      <c r="V251" s="1" t="str">
        <f t="shared" si="38"/>
        <v xml:space="preserve"> Pakistan</v>
      </c>
      <c r="W251" s="1" t="str">
        <f t="shared" si="39"/>
        <v>Adelaide</v>
      </c>
      <c r="X251" s="1" t="str">
        <f t="shared" si="40"/>
        <v>Yes</v>
      </c>
      <c r="Y251" s="1"/>
    </row>
    <row r="252" spans="1:25" ht="14.25" customHeight="1">
      <c r="A252" s="1"/>
      <c r="B252" s="1">
        <v>235</v>
      </c>
      <c r="C252" s="1" t="s">
        <v>199</v>
      </c>
      <c r="D252" s="1" t="s">
        <v>207</v>
      </c>
      <c r="E252" s="1" t="s">
        <v>151</v>
      </c>
      <c r="F252" s="1" t="s">
        <v>131</v>
      </c>
      <c r="G252" s="1" t="s">
        <v>282</v>
      </c>
      <c r="H252" s="1" t="s">
        <v>24</v>
      </c>
      <c r="I252" s="1" t="s">
        <v>151</v>
      </c>
      <c r="J252" s="1" t="s">
        <v>158</v>
      </c>
      <c r="K252" s="1" t="s">
        <v>90</v>
      </c>
      <c r="L252" s="1"/>
      <c r="M252" s="1"/>
      <c r="N252" s="1" t="str">
        <f t="shared" si="33"/>
        <v>No</v>
      </c>
      <c r="O252" s="1">
        <f t="shared" si="34"/>
        <v>3</v>
      </c>
      <c r="P252" s="1">
        <f t="shared" si="35"/>
        <v>28</v>
      </c>
      <c r="Q252" s="1">
        <f t="shared" si="35"/>
        <v>2</v>
      </c>
      <c r="R252" s="1">
        <f t="shared" si="41"/>
        <v>0</v>
      </c>
      <c r="S252" s="34">
        <f t="shared" si="41"/>
        <v>64.28</v>
      </c>
      <c r="T252" s="1" t="str">
        <f t="shared" si="36"/>
        <v>caught</v>
      </c>
      <c r="U252" s="1" t="str">
        <f t="shared" si="37"/>
        <v>2</v>
      </c>
      <c r="V252" s="1" t="str">
        <f t="shared" si="38"/>
        <v xml:space="preserve"> Australia</v>
      </c>
      <c r="W252" s="1" t="str">
        <f t="shared" si="39"/>
        <v>Adelaide</v>
      </c>
      <c r="X252" s="1" t="str">
        <f t="shared" si="40"/>
        <v>Yes</v>
      </c>
      <c r="Y252" s="1"/>
    </row>
    <row r="253" spans="1:25" ht="14.25" customHeight="1">
      <c r="A253" s="1"/>
      <c r="B253" s="1">
        <v>236</v>
      </c>
      <c r="C253" s="1" t="s">
        <v>306</v>
      </c>
      <c r="D253" s="1" t="s">
        <v>205</v>
      </c>
      <c r="E253" s="1" t="s">
        <v>140</v>
      </c>
      <c r="F253" s="1" t="s">
        <v>131</v>
      </c>
      <c r="G253" s="1" t="s">
        <v>1085</v>
      </c>
      <c r="H253" s="1" t="s">
        <v>24</v>
      </c>
      <c r="I253" s="1" t="s">
        <v>151</v>
      </c>
      <c r="J253" s="1" t="s">
        <v>156</v>
      </c>
      <c r="K253" s="1" t="s">
        <v>89</v>
      </c>
      <c r="L253" s="1"/>
      <c r="M253" s="1"/>
      <c r="N253" s="1" t="str">
        <f t="shared" si="33"/>
        <v>No</v>
      </c>
      <c r="O253" s="1">
        <f t="shared" si="34"/>
        <v>26</v>
      </c>
      <c r="P253" s="1">
        <f t="shared" si="35"/>
        <v>14</v>
      </c>
      <c r="Q253" s="1">
        <f t="shared" si="35"/>
        <v>4</v>
      </c>
      <c r="R253" s="1">
        <f t="shared" si="41"/>
        <v>0</v>
      </c>
      <c r="S253" s="34">
        <f t="shared" si="41"/>
        <v>121.42</v>
      </c>
      <c r="T253" s="1" t="str">
        <f t="shared" si="36"/>
        <v>caught</v>
      </c>
      <c r="U253" s="1" t="str">
        <f t="shared" si="37"/>
        <v>2</v>
      </c>
      <c r="V253" s="1" t="str">
        <f t="shared" si="38"/>
        <v xml:space="preserve"> Pakistan</v>
      </c>
      <c r="W253" s="1" t="str">
        <f t="shared" si="39"/>
        <v>W.A.C.A</v>
      </c>
      <c r="X253" s="1" t="str">
        <f t="shared" si="40"/>
        <v>Yes</v>
      </c>
      <c r="Y253" s="1"/>
    </row>
    <row r="254" spans="1:25" ht="14.25" customHeight="1">
      <c r="A254" s="1"/>
      <c r="B254" s="1">
        <v>237</v>
      </c>
      <c r="C254" s="1" t="s">
        <v>148</v>
      </c>
      <c r="D254" s="1" t="s">
        <v>246</v>
      </c>
      <c r="E254" s="1" t="s">
        <v>131</v>
      </c>
      <c r="F254" s="1" t="s">
        <v>131</v>
      </c>
      <c r="G254" s="1" t="s">
        <v>647</v>
      </c>
      <c r="H254" s="1" t="s">
        <v>29</v>
      </c>
      <c r="I254" s="1" t="s">
        <v>130</v>
      </c>
      <c r="J254" s="1" t="s">
        <v>158</v>
      </c>
      <c r="K254" s="1" t="s">
        <v>89</v>
      </c>
      <c r="L254" s="1"/>
      <c r="M254" s="1"/>
      <c r="N254" s="1" t="str">
        <f t="shared" si="33"/>
        <v>No</v>
      </c>
      <c r="O254" s="1">
        <f t="shared" si="34"/>
        <v>21</v>
      </c>
      <c r="P254" s="1">
        <f t="shared" si="35"/>
        <v>21</v>
      </c>
      <c r="Q254" s="1">
        <f t="shared" si="35"/>
        <v>0</v>
      </c>
      <c r="R254" s="1">
        <f t="shared" si="41"/>
        <v>0</v>
      </c>
      <c r="S254" s="34">
        <f t="shared" si="41"/>
        <v>14.28</v>
      </c>
      <c r="T254" s="1" t="str">
        <f t="shared" si="36"/>
        <v>bowled</v>
      </c>
      <c r="U254" s="1" t="str">
        <f t="shared" si="37"/>
        <v>1</v>
      </c>
      <c r="V254" s="1" t="str">
        <f t="shared" si="38"/>
        <v xml:space="preserve"> Australia</v>
      </c>
      <c r="W254" s="1" t="str">
        <f t="shared" si="39"/>
        <v>W.A.C.A</v>
      </c>
      <c r="X254" s="1" t="str">
        <f t="shared" si="40"/>
        <v>Yes</v>
      </c>
      <c r="Y254" s="1"/>
    </row>
    <row r="255" spans="1:25" ht="14.25" customHeight="1">
      <c r="A255" s="1"/>
      <c r="B255" s="1">
        <v>238</v>
      </c>
      <c r="C255" s="1" t="s">
        <v>313</v>
      </c>
      <c r="D255" s="1" t="s">
        <v>138</v>
      </c>
      <c r="E255" s="1" t="s">
        <v>140</v>
      </c>
      <c r="F255" s="1" t="s">
        <v>131</v>
      </c>
      <c r="G255" s="1" t="s">
        <v>1086</v>
      </c>
      <c r="H255" s="1" t="s">
        <v>24</v>
      </c>
      <c r="I255" s="1" t="s">
        <v>151</v>
      </c>
      <c r="J255" s="1" t="s">
        <v>191</v>
      </c>
      <c r="K255" s="1" t="s">
        <v>96</v>
      </c>
      <c r="L255" s="1"/>
      <c r="M255" s="1"/>
      <c r="N255" s="1" t="str">
        <f t="shared" si="33"/>
        <v>No</v>
      </c>
      <c r="O255" s="1">
        <f t="shared" si="34"/>
        <v>12</v>
      </c>
      <c r="P255" s="1">
        <f t="shared" si="35"/>
        <v>25</v>
      </c>
      <c r="Q255" s="1">
        <f t="shared" si="35"/>
        <v>4</v>
      </c>
      <c r="R255" s="1">
        <f t="shared" si="41"/>
        <v>0</v>
      </c>
      <c r="S255" s="34">
        <f t="shared" si="41"/>
        <v>104</v>
      </c>
      <c r="T255" s="1" t="str">
        <f t="shared" si="36"/>
        <v>caught</v>
      </c>
      <c r="U255" s="1" t="str">
        <f t="shared" si="37"/>
        <v>2</v>
      </c>
      <c r="V255" s="1" t="str">
        <f t="shared" si="38"/>
        <v xml:space="preserve"> South Africa</v>
      </c>
      <c r="W255" s="1" t="str">
        <f t="shared" si="39"/>
        <v>Kochi</v>
      </c>
      <c r="X255" s="1" t="str">
        <f t="shared" si="40"/>
        <v>Yes</v>
      </c>
      <c r="Y255" s="1"/>
    </row>
    <row r="256" spans="1:25" ht="14.25" customHeight="1">
      <c r="A256" s="1"/>
      <c r="B256" s="1">
        <v>239</v>
      </c>
      <c r="C256" s="1" t="s">
        <v>246</v>
      </c>
      <c r="D256" s="1" t="s">
        <v>146</v>
      </c>
      <c r="E256" s="1" t="s">
        <v>148</v>
      </c>
      <c r="F256" s="1" t="s">
        <v>131</v>
      </c>
      <c r="G256" s="1" t="s">
        <v>1087</v>
      </c>
      <c r="H256" s="1" t="s">
        <v>24</v>
      </c>
      <c r="I256" s="1" t="s">
        <v>151</v>
      </c>
      <c r="J256" s="1" t="s">
        <v>191</v>
      </c>
      <c r="K256" s="1" t="s">
        <v>535</v>
      </c>
      <c r="L256" s="1"/>
      <c r="M256" s="1"/>
      <c r="N256" s="1" t="str">
        <f t="shared" si="33"/>
        <v>No</v>
      </c>
      <c r="O256" s="1">
        <f t="shared" si="34"/>
        <v>122</v>
      </c>
      <c r="P256" s="1">
        <f t="shared" si="35"/>
        <v>31</v>
      </c>
      <c r="Q256" s="1">
        <f t="shared" si="35"/>
        <v>3</v>
      </c>
      <c r="R256" s="1">
        <f t="shared" si="41"/>
        <v>0</v>
      </c>
      <c r="S256" s="34">
        <f t="shared" si="41"/>
        <v>67.739999999999995</v>
      </c>
      <c r="T256" s="1" t="str">
        <f t="shared" si="36"/>
        <v>caught</v>
      </c>
      <c r="U256" s="1" t="str">
        <f t="shared" si="37"/>
        <v>2</v>
      </c>
      <c r="V256" s="1" t="str">
        <f t="shared" si="38"/>
        <v xml:space="preserve"> South Africa</v>
      </c>
      <c r="W256" s="1" t="str">
        <f t="shared" si="39"/>
        <v>Jamshedpur</v>
      </c>
      <c r="X256" s="1" t="str">
        <f t="shared" si="40"/>
        <v>Yes</v>
      </c>
      <c r="Y256" s="1"/>
    </row>
    <row r="257" spans="1:25" ht="14.25" customHeight="1">
      <c r="A257" s="1"/>
      <c r="B257" s="1">
        <v>240</v>
      </c>
      <c r="C257" s="1" t="s">
        <v>128</v>
      </c>
      <c r="D257" s="1" t="s">
        <v>207</v>
      </c>
      <c r="E257" s="1" t="s">
        <v>130</v>
      </c>
      <c r="F257" s="1" t="s">
        <v>131</v>
      </c>
      <c r="G257" s="1" t="s">
        <v>247</v>
      </c>
      <c r="H257" s="1" t="s">
        <v>19</v>
      </c>
      <c r="I257" s="1" t="s">
        <v>130</v>
      </c>
      <c r="J257" s="1" t="s">
        <v>191</v>
      </c>
      <c r="K257" s="1" t="s">
        <v>570</v>
      </c>
      <c r="L257" s="1"/>
      <c r="M257" s="1"/>
      <c r="N257" s="1" t="str">
        <f t="shared" si="33"/>
        <v>No</v>
      </c>
      <c r="O257" s="1">
        <f t="shared" si="34"/>
        <v>93</v>
      </c>
      <c r="P257" s="1">
        <f t="shared" si="35"/>
        <v>28</v>
      </c>
      <c r="Q257" s="1">
        <f t="shared" si="35"/>
        <v>1</v>
      </c>
      <c r="R257" s="1">
        <f t="shared" si="41"/>
        <v>0</v>
      </c>
      <c r="S257" s="34">
        <f t="shared" si="41"/>
        <v>42.85</v>
      </c>
      <c r="T257" s="1" t="str">
        <f t="shared" si="36"/>
        <v>lbw</v>
      </c>
      <c r="U257" s="1" t="str">
        <f t="shared" si="37"/>
        <v>1</v>
      </c>
      <c r="V257" s="1" t="str">
        <f t="shared" si="38"/>
        <v xml:space="preserve"> South Africa</v>
      </c>
      <c r="W257" s="1" t="str">
        <f t="shared" si="39"/>
        <v>Faridabad</v>
      </c>
      <c r="X257" s="1" t="str">
        <f t="shared" si="40"/>
        <v>Yes</v>
      </c>
      <c r="Y257" s="1"/>
    </row>
    <row r="258" spans="1:25" ht="14.25" customHeight="1">
      <c r="A258" s="1"/>
      <c r="B258" s="1">
        <v>241</v>
      </c>
      <c r="C258" s="1" t="s">
        <v>353</v>
      </c>
      <c r="D258" s="1" t="s">
        <v>392</v>
      </c>
      <c r="E258" s="1" t="s">
        <v>128</v>
      </c>
      <c r="F258" s="1" t="s">
        <v>131</v>
      </c>
      <c r="G258" s="1" t="s">
        <v>1088</v>
      </c>
      <c r="H258" s="1" t="s">
        <v>24</v>
      </c>
      <c r="I258" s="1" t="s">
        <v>151</v>
      </c>
      <c r="J258" s="1" t="s">
        <v>191</v>
      </c>
      <c r="K258" s="1" t="s">
        <v>44</v>
      </c>
      <c r="L258" s="1"/>
      <c r="M258" s="1"/>
      <c r="N258" s="1" t="str">
        <f t="shared" si="33"/>
        <v>No</v>
      </c>
      <c r="O258" s="1">
        <f t="shared" si="34"/>
        <v>5</v>
      </c>
      <c r="P258" s="1">
        <f t="shared" si="35"/>
        <v>138</v>
      </c>
      <c r="Q258" s="1">
        <f t="shared" si="35"/>
        <v>12</v>
      </c>
      <c r="R258" s="1">
        <f t="shared" si="41"/>
        <v>0</v>
      </c>
      <c r="S258" s="34">
        <f t="shared" si="41"/>
        <v>88.4</v>
      </c>
      <c r="T258" s="1" t="str">
        <f t="shared" si="36"/>
        <v>caught</v>
      </c>
      <c r="U258" s="1" t="str">
        <f t="shared" si="37"/>
        <v>2</v>
      </c>
      <c r="V258" s="1" t="str">
        <f t="shared" si="38"/>
        <v xml:space="preserve"> South Africa</v>
      </c>
      <c r="W258" s="1" t="str">
        <f t="shared" si="39"/>
        <v>Vadodara</v>
      </c>
      <c r="X258" s="1" t="str">
        <f t="shared" si="40"/>
        <v>Yes</v>
      </c>
      <c r="Y258" s="1"/>
    </row>
    <row r="259" spans="1:25" ht="14.25" customHeight="1">
      <c r="A259" s="1"/>
      <c r="B259" s="1">
        <v>242</v>
      </c>
      <c r="C259" s="1" t="s">
        <v>260</v>
      </c>
      <c r="D259" s="1" t="s">
        <v>486</v>
      </c>
      <c r="E259" s="1" t="s">
        <v>144</v>
      </c>
      <c r="F259" s="1" t="s">
        <v>140</v>
      </c>
      <c r="G259" s="1" t="s">
        <v>1089</v>
      </c>
      <c r="H259" s="1" t="s">
        <v>24</v>
      </c>
      <c r="I259" s="1" t="s">
        <v>151</v>
      </c>
      <c r="J259" s="1" t="s">
        <v>191</v>
      </c>
      <c r="K259" s="1" t="s">
        <v>50</v>
      </c>
      <c r="L259" s="1"/>
      <c r="M259" s="1"/>
      <c r="N259" s="1" t="str">
        <f t="shared" si="33"/>
        <v>No</v>
      </c>
      <c r="O259" s="1">
        <f t="shared" si="34"/>
        <v>11</v>
      </c>
      <c r="P259" s="1">
        <f t="shared" si="35"/>
        <v>89</v>
      </c>
      <c r="Q259" s="1">
        <f t="shared" si="35"/>
        <v>7</v>
      </c>
      <c r="R259" s="1">
        <f t="shared" si="41"/>
        <v>4</v>
      </c>
      <c r="S259" s="34">
        <f t="shared" si="41"/>
        <v>104.49</v>
      </c>
      <c r="T259" s="1" t="str">
        <f t="shared" si="36"/>
        <v>caught</v>
      </c>
      <c r="U259" s="1" t="str">
        <f t="shared" si="37"/>
        <v>2</v>
      </c>
      <c r="V259" s="1" t="str">
        <f t="shared" si="38"/>
        <v xml:space="preserve"> South Africa</v>
      </c>
      <c r="W259" s="1" t="str">
        <f t="shared" si="39"/>
        <v>Nagpur</v>
      </c>
      <c r="X259" s="1" t="str">
        <f t="shared" si="40"/>
        <v>Yes</v>
      </c>
      <c r="Y259" s="1"/>
    </row>
    <row r="260" spans="1:25" ht="14.25" customHeight="1">
      <c r="A260" s="1"/>
      <c r="B260" s="1">
        <v>243</v>
      </c>
      <c r="C260" s="1" t="s">
        <v>202</v>
      </c>
      <c r="D260" s="1" t="s">
        <v>189</v>
      </c>
      <c r="E260" s="1" t="s">
        <v>131</v>
      </c>
      <c r="F260" s="1" t="s">
        <v>131</v>
      </c>
      <c r="G260" s="1" t="s">
        <v>168</v>
      </c>
      <c r="H260" s="1" t="s">
        <v>29</v>
      </c>
      <c r="I260" s="1" t="s">
        <v>130</v>
      </c>
      <c r="J260" s="1" t="s">
        <v>191</v>
      </c>
      <c r="K260" s="1" t="s">
        <v>955</v>
      </c>
      <c r="L260" s="1"/>
      <c r="M260" s="1"/>
      <c r="N260" s="1" t="str">
        <f t="shared" si="33"/>
        <v>No</v>
      </c>
      <c r="O260" s="1">
        <f t="shared" si="34"/>
        <v>10</v>
      </c>
      <c r="P260" s="1">
        <f t="shared" si="35"/>
        <v>8</v>
      </c>
      <c r="Q260" s="1">
        <f t="shared" si="35"/>
        <v>0</v>
      </c>
      <c r="R260" s="1">
        <f t="shared" si="41"/>
        <v>0</v>
      </c>
      <c r="S260" s="34">
        <f t="shared" si="41"/>
        <v>62.5</v>
      </c>
      <c r="T260" s="1" t="str">
        <f t="shared" si="36"/>
        <v>bowled</v>
      </c>
      <c r="U260" s="1" t="str">
        <f t="shared" si="37"/>
        <v>1</v>
      </c>
      <c r="V260" s="1" t="str">
        <f t="shared" si="38"/>
        <v xml:space="preserve"> South Africa</v>
      </c>
      <c r="W260" s="1" t="str">
        <f t="shared" si="39"/>
        <v>Sharjah</v>
      </c>
      <c r="X260" s="1" t="str">
        <f t="shared" si="40"/>
        <v>Yes</v>
      </c>
      <c r="Y260" s="1"/>
    </row>
    <row r="261" spans="1:25" ht="14.25" customHeight="1">
      <c r="A261" s="1"/>
      <c r="B261" s="1">
        <v>244</v>
      </c>
      <c r="C261" s="1" t="s">
        <v>176</v>
      </c>
      <c r="D261" s="1" t="s">
        <v>207</v>
      </c>
      <c r="E261" s="1" t="s">
        <v>130</v>
      </c>
      <c r="F261" s="1" t="s">
        <v>131</v>
      </c>
      <c r="G261" s="1" t="s">
        <v>1090</v>
      </c>
      <c r="H261" s="1" t="s">
        <v>19</v>
      </c>
      <c r="I261" s="1" t="s">
        <v>151</v>
      </c>
      <c r="J261" s="1" t="s">
        <v>156</v>
      </c>
      <c r="K261" s="1" t="s">
        <v>955</v>
      </c>
      <c r="L261" s="1"/>
      <c r="M261" s="1"/>
      <c r="N261" s="1" t="str">
        <f t="shared" si="33"/>
        <v>No</v>
      </c>
      <c r="O261" s="1">
        <f t="shared" si="34"/>
        <v>39</v>
      </c>
      <c r="P261" s="1">
        <f t="shared" si="35"/>
        <v>28</v>
      </c>
      <c r="Q261" s="1">
        <f t="shared" si="35"/>
        <v>1</v>
      </c>
      <c r="R261" s="1">
        <f t="shared" si="41"/>
        <v>0</v>
      </c>
      <c r="S261" s="34">
        <f t="shared" si="41"/>
        <v>39.28</v>
      </c>
      <c r="T261" s="1" t="str">
        <f t="shared" si="36"/>
        <v>lbw</v>
      </c>
      <c r="U261" s="1" t="str">
        <f t="shared" si="37"/>
        <v>2</v>
      </c>
      <c r="V261" s="1" t="str">
        <f t="shared" si="38"/>
        <v xml:space="preserve"> Pakistan</v>
      </c>
      <c r="W261" s="1" t="str">
        <f t="shared" si="39"/>
        <v>Sharjah</v>
      </c>
      <c r="X261" s="1" t="str">
        <f t="shared" si="40"/>
        <v>Yes</v>
      </c>
      <c r="Y261" s="1"/>
    </row>
    <row r="262" spans="1:25" ht="14.25" customHeight="1">
      <c r="A262" s="1"/>
      <c r="B262" s="1">
        <v>245</v>
      </c>
      <c r="C262" s="1" t="s">
        <v>167</v>
      </c>
      <c r="D262" s="1" t="s">
        <v>199</v>
      </c>
      <c r="E262" s="1" t="s">
        <v>130</v>
      </c>
      <c r="F262" s="1" t="s">
        <v>131</v>
      </c>
      <c r="G262" s="1" t="s">
        <v>417</v>
      </c>
      <c r="H262" s="1" t="s">
        <v>29</v>
      </c>
      <c r="I262" s="1" t="s">
        <v>151</v>
      </c>
      <c r="J262" s="1" t="s">
        <v>156</v>
      </c>
      <c r="K262" s="1" t="s">
        <v>955</v>
      </c>
      <c r="L262" s="1"/>
      <c r="M262" s="1"/>
      <c r="N262" s="1" t="str">
        <f t="shared" si="33"/>
        <v>No</v>
      </c>
      <c r="O262" s="1">
        <f t="shared" si="34"/>
        <v>36</v>
      </c>
      <c r="P262" s="1">
        <f t="shared" si="35"/>
        <v>18</v>
      </c>
      <c r="Q262" s="1">
        <f t="shared" si="35"/>
        <v>1</v>
      </c>
      <c r="R262" s="1">
        <f t="shared" si="41"/>
        <v>0</v>
      </c>
      <c r="S262" s="34">
        <f t="shared" si="41"/>
        <v>55.55</v>
      </c>
      <c r="T262" s="1" t="str">
        <f t="shared" si="36"/>
        <v>bowled</v>
      </c>
      <c r="U262" s="1" t="str">
        <f t="shared" si="37"/>
        <v>2</v>
      </c>
      <c r="V262" s="1" t="str">
        <f t="shared" si="38"/>
        <v xml:space="preserve"> Pakistan</v>
      </c>
      <c r="W262" s="1" t="str">
        <f t="shared" si="39"/>
        <v>Sharjah</v>
      </c>
      <c r="X262" s="1" t="str">
        <f t="shared" si="40"/>
        <v>Yes</v>
      </c>
      <c r="Y262" s="1"/>
    </row>
    <row r="263" spans="1:25" ht="14.25" customHeight="1">
      <c r="A263" s="1"/>
      <c r="B263" s="1">
        <v>246</v>
      </c>
      <c r="C263" s="1" t="s">
        <v>436</v>
      </c>
      <c r="D263" s="1" t="s">
        <v>184</v>
      </c>
      <c r="E263" s="1" t="s">
        <v>148</v>
      </c>
      <c r="F263" s="1" t="s">
        <v>131</v>
      </c>
      <c r="G263" s="1" t="s">
        <v>1091</v>
      </c>
      <c r="H263" s="1" t="s">
        <v>26</v>
      </c>
      <c r="I263" s="1" t="s">
        <v>130</v>
      </c>
      <c r="J263" s="1" t="s">
        <v>191</v>
      </c>
      <c r="K263" s="1" t="s">
        <v>955</v>
      </c>
      <c r="L263" s="1"/>
      <c r="M263" s="1"/>
      <c r="N263" s="1" t="str">
        <f t="shared" si="33"/>
        <v>No</v>
      </c>
      <c r="O263" s="1">
        <f t="shared" si="34"/>
        <v>93</v>
      </c>
      <c r="P263" s="1">
        <f t="shared" si="35"/>
        <v>68</v>
      </c>
      <c r="Q263" s="1">
        <f t="shared" si="35"/>
        <v>3</v>
      </c>
      <c r="R263" s="1">
        <f t="shared" si="41"/>
        <v>0</v>
      </c>
      <c r="S263" s="34">
        <f t="shared" si="41"/>
        <v>57.35</v>
      </c>
      <c r="T263" s="1" t="str">
        <f t="shared" si="36"/>
        <v>run out</v>
      </c>
      <c r="U263" s="1" t="str">
        <f t="shared" si="37"/>
        <v>1</v>
      </c>
      <c r="V263" s="1" t="str">
        <f t="shared" si="38"/>
        <v xml:space="preserve"> South Africa</v>
      </c>
      <c r="W263" s="1" t="str">
        <f t="shared" si="39"/>
        <v>Sharjah</v>
      </c>
      <c r="X263" s="1" t="str">
        <f t="shared" si="40"/>
        <v>Yes</v>
      </c>
      <c r="Y263" s="1"/>
    </row>
    <row r="264" spans="1:25" ht="14.25" customHeight="1">
      <c r="A264" s="1"/>
      <c r="B264" s="1">
        <v>247</v>
      </c>
      <c r="C264" s="1" t="s">
        <v>258</v>
      </c>
      <c r="D264" s="1" t="s">
        <v>138</v>
      </c>
      <c r="E264" s="1" t="s">
        <v>140</v>
      </c>
      <c r="F264" s="1" t="s">
        <v>151</v>
      </c>
      <c r="G264" s="1" t="s">
        <v>1092</v>
      </c>
      <c r="H264" s="1" t="s">
        <v>24</v>
      </c>
      <c r="I264" s="1" t="s">
        <v>151</v>
      </c>
      <c r="J264" s="1" t="s">
        <v>182</v>
      </c>
      <c r="K264" s="1" t="s">
        <v>531</v>
      </c>
      <c r="L264" s="1"/>
      <c r="M264" s="1"/>
      <c r="N264" s="1" t="str">
        <f t="shared" si="33"/>
        <v>No</v>
      </c>
      <c r="O264" s="1">
        <f t="shared" si="34"/>
        <v>25</v>
      </c>
      <c r="P264" s="1">
        <f t="shared" si="35"/>
        <v>25</v>
      </c>
      <c r="Q264" s="1">
        <f t="shared" si="35"/>
        <v>4</v>
      </c>
      <c r="R264" s="1">
        <f t="shared" si="41"/>
        <v>2</v>
      </c>
      <c r="S264" s="34">
        <f t="shared" si="41"/>
        <v>144</v>
      </c>
      <c r="T264" s="1" t="str">
        <f t="shared" si="36"/>
        <v>caught</v>
      </c>
      <c r="U264" s="1" t="str">
        <f t="shared" si="37"/>
        <v>2</v>
      </c>
      <c r="V264" s="1" t="str">
        <f t="shared" si="38"/>
        <v xml:space="preserve"> Bangladesh</v>
      </c>
      <c r="W264" s="1" t="str">
        <f t="shared" si="39"/>
        <v>Dhaka</v>
      </c>
      <c r="X264" s="1" t="str">
        <f t="shared" si="40"/>
        <v>Yes</v>
      </c>
      <c r="Y264" s="1"/>
    </row>
    <row r="265" spans="1:25" ht="14.25" customHeight="1">
      <c r="A265" s="1"/>
      <c r="B265" s="1">
        <v>248</v>
      </c>
      <c r="C265" s="1" t="s">
        <v>260</v>
      </c>
      <c r="D265" s="1" t="s">
        <v>187</v>
      </c>
      <c r="E265" s="1" t="s">
        <v>167</v>
      </c>
      <c r="F265" s="1" t="s">
        <v>131</v>
      </c>
      <c r="G265" s="1" t="s">
        <v>1093</v>
      </c>
      <c r="H265" s="1" t="s">
        <v>24</v>
      </c>
      <c r="I265" s="1" t="s">
        <v>151</v>
      </c>
      <c r="J265" s="1" t="s">
        <v>133</v>
      </c>
      <c r="K265" s="1" t="s">
        <v>531</v>
      </c>
      <c r="L265" s="1"/>
      <c r="M265" s="1"/>
      <c r="N265" s="1" t="str">
        <f t="shared" si="33"/>
        <v>No</v>
      </c>
      <c r="O265" s="1">
        <f t="shared" si="34"/>
        <v>25</v>
      </c>
      <c r="P265" s="1">
        <f t="shared" si="35"/>
        <v>95</v>
      </c>
      <c r="Q265" s="1">
        <f t="shared" si="35"/>
        <v>10</v>
      </c>
      <c r="R265" s="1">
        <f t="shared" si="41"/>
        <v>0</v>
      </c>
      <c r="S265" s="34">
        <f t="shared" si="41"/>
        <v>97.89</v>
      </c>
      <c r="T265" s="1" t="str">
        <f t="shared" si="36"/>
        <v>caught</v>
      </c>
      <c r="U265" s="1" t="str">
        <f t="shared" si="37"/>
        <v>2</v>
      </c>
      <c r="V265" s="1" t="str">
        <f t="shared" si="38"/>
        <v xml:space="preserve"> Sri Lanka</v>
      </c>
      <c r="W265" s="1" t="str">
        <f t="shared" si="39"/>
        <v>Dhaka</v>
      </c>
      <c r="X265" s="1" t="str">
        <f t="shared" si="40"/>
        <v>Yes</v>
      </c>
      <c r="Y265" s="1"/>
    </row>
    <row r="266" spans="1:25" ht="14.25" customHeight="1">
      <c r="A266" s="1"/>
      <c r="B266" s="1">
        <v>249</v>
      </c>
      <c r="C266" s="1" t="s">
        <v>138</v>
      </c>
      <c r="D266" s="1" t="s">
        <v>164</v>
      </c>
      <c r="E266" s="1" t="s">
        <v>140</v>
      </c>
      <c r="F266" s="1" t="s">
        <v>131</v>
      </c>
      <c r="G266" s="1" t="s">
        <v>496</v>
      </c>
      <c r="H266" s="1" t="s">
        <v>19</v>
      </c>
      <c r="I266" s="1" t="s">
        <v>151</v>
      </c>
      <c r="J266" s="1" t="s">
        <v>156</v>
      </c>
      <c r="K266" s="1" t="s">
        <v>531</v>
      </c>
      <c r="L266" s="1"/>
      <c r="M266" s="1"/>
      <c r="N266" s="1" t="str">
        <f t="shared" si="33"/>
        <v>No</v>
      </c>
      <c r="O266" s="1">
        <f t="shared" si="34"/>
        <v>38</v>
      </c>
      <c r="P266" s="1">
        <f t="shared" si="35"/>
        <v>30</v>
      </c>
      <c r="Q266" s="1">
        <f t="shared" si="35"/>
        <v>4</v>
      </c>
      <c r="R266" s="1">
        <f t="shared" si="41"/>
        <v>0</v>
      </c>
      <c r="S266" s="34">
        <f t="shared" si="41"/>
        <v>83.33</v>
      </c>
      <c r="T266" s="1" t="str">
        <f t="shared" si="36"/>
        <v>lbw</v>
      </c>
      <c r="U266" s="1" t="str">
        <f t="shared" si="37"/>
        <v>2</v>
      </c>
      <c r="V266" s="1" t="str">
        <f t="shared" si="38"/>
        <v xml:space="preserve"> Pakistan</v>
      </c>
      <c r="W266" s="1" t="str">
        <f t="shared" si="39"/>
        <v>Dhaka</v>
      </c>
      <c r="X266" s="1" t="str">
        <f t="shared" si="40"/>
        <v>Yes</v>
      </c>
      <c r="Y266" s="1"/>
    </row>
    <row r="267" spans="1:25" ht="14.25" customHeight="1">
      <c r="A267" s="1"/>
      <c r="B267" s="1">
        <v>250</v>
      </c>
      <c r="C267" s="1" t="s">
        <v>138</v>
      </c>
      <c r="D267" s="1" t="s">
        <v>248</v>
      </c>
      <c r="E267" s="1" t="s">
        <v>140</v>
      </c>
      <c r="F267" s="1" t="s">
        <v>131</v>
      </c>
      <c r="G267" s="1" t="s">
        <v>206</v>
      </c>
      <c r="H267" s="1" t="s">
        <v>19</v>
      </c>
      <c r="I267" s="1" t="s">
        <v>151</v>
      </c>
      <c r="J267" s="1" t="s">
        <v>1012</v>
      </c>
      <c r="K267" s="1" t="s">
        <v>1094</v>
      </c>
      <c r="L267" s="1"/>
      <c r="M267" s="1"/>
      <c r="N267" s="1" t="str">
        <f t="shared" si="33"/>
        <v>No</v>
      </c>
      <c r="O267" s="1">
        <f t="shared" si="34"/>
        <v>39</v>
      </c>
      <c r="P267" s="1">
        <f t="shared" si="35"/>
        <v>35</v>
      </c>
      <c r="Q267" s="1">
        <f t="shared" si="35"/>
        <v>4</v>
      </c>
      <c r="R267" s="1">
        <f t="shared" si="41"/>
        <v>0</v>
      </c>
      <c r="S267" s="34">
        <f t="shared" si="41"/>
        <v>71.42</v>
      </c>
      <c r="T267" s="1" t="str">
        <f t="shared" si="36"/>
        <v>lbw</v>
      </c>
      <c r="U267" s="1" t="str">
        <f t="shared" si="37"/>
        <v>2</v>
      </c>
      <c r="V267" s="1" t="str">
        <f t="shared" si="38"/>
        <v xml:space="preserve"> Kenya</v>
      </c>
      <c r="W267" s="1" t="str">
        <f t="shared" si="39"/>
        <v>Nairobi (Gym)</v>
      </c>
      <c r="X267" s="1" t="str">
        <f t="shared" si="40"/>
        <v>Yes</v>
      </c>
      <c r="Y267" s="1"/>
    </row>
    <row r="268" spans="1:25" ht="14.25" customHeight="1">
      <c r="A268" s="1"/>
      <c r="B268" s="1">
        <v>251</v>
      </c>
      <c r="C268" s="1" t="s">
        <v>139</v>
      </c>
      <c r="D268" s="1" t="s">
        <v>134</v>
      </c>
      <c r="E268" s="1" t="s">
        <v>148</v>
      </c>
      <c r="F268" s="1" t="s">
        <v>148</v>
      </c>
      <c r="G268" s="1" t="s">
        <v>1095</v>
      </c>
      <c r="H268" s="1" t="s">
        <v>24</v>
      </c>
      <c r="I268" s="1" t="s">
        <v>130</v>
      </c>
      <c r="J268" s="1" t="s">
        <v>158</v>
      </c>
      <c r="K268" s="1" t="s">
        <v>1094</v>
      </c>
      <c r="L268" s="1"/>
      <c r="M268" s="1"/>
      <c r="N268" s="1" t="str">
        <f t="shared" si="33"/>
        <v>No</v>
      </c>
      <c r="O268" s="1">
        <f t="shared" si="34"/>
        <v>69</v>
      </c>
      <c r="P268" s="1">
        <f t="shared" si="35"/>
        <v>37</v>
      </c>
      <c r="Q268" s="1">
        <f t="shared" si="35"/>
        <v>3</v>
      </c>
      <c r="R268" s="1">
        <f t="shared" si="41"/>
        <v>3</v>
      </c>
      <c r="S268" s="34">
        <f t="shared" si="41"/>
        <v>102.7</v>
      </c>
      <c r="T268" s="1" t="str">
        <f t="shared" si="36"/>
        <v>caught</v>
      </c>
      <c r="U268" s="1" t="str">
        <f t="shared" si="37"/>
        <v>1</v>
      </c>
      <c r="V268" s="1" t="str">
        <f t="shared" si="38"/>
        <v xml:space="preserve"> Australia</v>
      </c>
      <c r="W268" s="1" t="str">
        <f t="shared" si="39"/>
        <v>Nairobi (Gym)</v>
      </c>
      <c r="X268" s="1" t="str">
        <f t="shared" si="40"/>
        <v>Yes</v>
      </c>
      <c r="Y268" s="1"/>
    </row>
    <row r="269" spans="1:25" ht="14.25" customHeight="1">
      <c r="A269" s="1"/>
      <c r="B269" s="1">
        <v>252</v>
      </c>
      <c r="C269" s="1" t="s">
        <v>436</v>
      </c>
      <c r="D269" s="1" t="s">
        <v>360</v>
      </c>
      <c r="E269" s="1" t="s">
        <v>140</v>
      </c>
      <c r="F269" s="1" t="s">
        <v>131</v>
      </c>
      <c r="G269" s="1" t="s">
        <v>1096</v>
      </c>
      <c r="H269" s="1" t="s">
        <v>24</v>
      </c>
      <c r="I269" s="1" t="s">
        <v>130</v>
      </c>
      <c r="J269" s="1" t="s">
        <v>191</v>
      </c>
      <c r="K269" s="1" t="s">
        <v>1094</v>
      </c>
      <c r="L269" s="1"/>
      <c r="M269" s="1"/>
      <c r="N269" s="1" t="str">
        <f t="shared" si="33"/>
        <v>No</v>
      </c>
      <c r="O269" s="1">
        <f t="shared" si="34"/>
        <v>101</v>
      </c>
      <c r="P269" s="1">
        <f t="shared" si="35"/>
        <v>50</v>
      </c>
      <c r="Q269" s="1">
        <f t="shared" si="35"/>
        <v>4</v>
      </c>
      <c r="R269" s="1">
        <f t="shared" si="41"/>
        <v>0</v>
      </c>
      <c r="S269" s="34">
        <f t="shared" si="41"/>
        <v>78</v>
      </c>
      <c r="T269" s="1" t="str">
        <f t="shared" si="36"/>
        <v>caught</v>
      </c>
      <c r="U269" s="1" t="str">
        <f t="shared" si="37"/>
        <v>1</v>
      </c>
      <c r="V269" s="1" t="str">
        <f t="shared" si="38"/>
        <v xml:space="preserve"> South Africa</v>
      </c>
      <c r="W269" s="1" t="str">
        <f t="shared" si="39"/>
        <v>Nairobi (Gym)</v>
      </c>
      <c r="X269" s="1" t="str">
        <f t="shared" si="40"/>
        <v>Yes</v>
      </c>
      <c r="Y269" s="1"/>
    </row>
    <row r="270" spans="1:25" ht="14.25" customHeight="1">
      <c r="A270" s="1"/>
      <c r="B270" s="1">
        <v>253</v>
      </c>
      <c r="C270" s="1" t="s">
        <v>701</v>
      </c>
      <c r="D270" s="1" t="s">
        <v>231</v>
      </c>
      <c r="E270" s="1" t="s">
        <v>167</v>
      </c>
      <c r="F270" s="1" t="s">
        <v>130</v>
      </c>
      <c r="G270" s="1" t="s">
        <v>1097</v>
      </c>
      <c r="H270" s="1" t="s">
        <v>26</v>
      </c>
      <c r="I270" s="1" t="s">
        <v>130</v>
      </c>
      <c r="J270" s="1" t="s">
        <v>211</v>
      </c>
      <c r="K270" s="1" t="s">
        <v>1094</v>
      </c>
      <c r="L270" s="1"/>
      <c r="M270" s="1"/>
      <c r="N270" s="1" t="str">
        <f t="shared" si="33"/>
        <v>No</v>
      </c>
      <c r="O270" s="1">
        <f t="shared" si="34"/>
        <v>8</v>
      </c>
      <c r="P270" s="1">
        <f t="shared" si="35"/>
        <v>83</v>
      </c>
      <c r="Q270" s="1">
        <f t="shared" si="35"/>
        <v>10</v>
      </c>
      <c r="R270" s="1">
        <f t="shared" si="41"/>
        <v>1</v>
      </c>
      <c r="S270" s="34">
        <f t="shared" si="41"/>
        <v>83.13</v>
      </c>
      <c r="T270" s="1" t="str">
        <f t="shared" si="36"/>
        <v>run out</v>
      </c>
      <c r="U270" s="1" t="str">
        <f t="shared" si="37"/>
        <v>1</v>
      </c>
      <c r="V270" s="1" t="str">
        <f t="shared" si="38"/>
        <v xml:space="preserve"> New Zealand</v>
      </c>
      <c r="W270" s="1" t="str">
        <f t="shared" si="39"/>
        <v>Nairobi (Gym)</v>
      </c>
      <c r="X270" s="1" t="str">
        <f t="shared" si="40"/>
        <v>Yes</v>
      </c>
      <c r="Y270" s="1"/>
    </row>
    <row r="271" spans="1:25" ht="14.25" customHeight="1">
      <c r="A271" s="1"/>
      <c r="B271" s="1">
        <v>254</v>
      </c>
      <c r="C271" s="1" t="s">
        <v>413</v>
      </c>
      <c r="D271" s="1" t="s">
        <v>393</v>
      </c>
      <c r="E271" s="1" t="s">
        <v>148</v>
      </c>
      <c r="F271" s="1" t="s">
        <v>130</v>
      </c>
      <c r="G271" s="1" t="s">
        <v>1098</v>
      </c>
      <c r="H271" s="1" t="s">
        <v>26</v>
      </c>
      <c r="I271" s="1" t="s">
        <v>130</v>
      </c>
      <c r="J271" s="1" t="s">
        <v>133</v>
      </c>
      <c r="K271" s="1" t="s">
        <v>955</v>
      </c>
      <c r="L271" s="1"/>
      <c r="M271" s="1"/>
      <c r="N271" s="1" t="str">
        <f t="shared" si="33"/>
        <v>No</v>
      </c>
      <c r="O271" s="1">
        <f t="shared" si="34"/>
        <v>4</v>
      </c>
      <c r="P271" s="1">
        <f t="shared" si="35"/>
        <v>140</v>
      </c>
      <c r="Q271" s="1">
        <f t="shared" si="35"/>
        <v>3</v>
      </c>
      <c r="R271" s="1">
        <f t="shared" si="41"/>
        <v>1</v>
      </c>
      <c r="S271" s="34">
        <f t="shared" si="41"/>
        <v>72.14</v>
      </c>
      <c r="T271" s="1" t="str">
        <f t="shared" si="36"/>
        <v>run out</v>
      </c>
      <c r="U271" s="1" t="str">
        <f t="shared" si="37"/>
        <v>1</v>
      </c>
      <c r="V271" s="1" t="str">
        <f t="shared" si="38"/>
        <v xml:space="preserve"> Sri Lanka</v>
      </c>
      <c r="W271" s="1" t="str">
        <f t="shared" si="39"/>
        <v>Sharjah</v>
      </c>
      <c r="X271" s="1" t="str">
        <f t="shared" si="40"/>
        <v>Yes</v>
      </c>
      <c r="Y271" s="1"/>
    </row>
    <row r="272" spans="1:25" ht="14.25" customHeight="1">
      <c r="A272" s="1"/>
      <c r="B272" s="1">
        <v>255</v>
      </c>
      <c r="C272" s="1" t="s">
        <v>189</v>
      </c>
      <c r="D272" s="1" t="s">
        <v>283</v>
      </c>
      <c r="E272" s="1" t="s">
        <v>130</v>
      </c>
      <c r="F272" s="1" t="s">
        <v>131</v>
      </c>
      <c r="G272" s="1" t="s">
        <v>1099</v>
      </c>
      <c r="H272" s="1" t="s">
        <v>24</v>
      </c>
      <c r="I272" s="1" t="s">
        <v>130</v>
      </c>
      <c r="J272" s="1" t="s">
        <v>195</v>
      </c>
      <c r="K272" s="1" t="s">
        <v>955</v>
      </c>
      <c r="L272" s="1"/>
      <c r="M272" s="1"/>
      <c r="N272" s="1" t="str">
        <f t="shared" si="33"/>
        <v>No</v>
      </c>
      <c r="O272" s="1">
        <f t="shared" si="34"/>
        <v>61</v>
      </c>
      <c r="P272" s="1">
        <f t="shared" si="35"/>
        <v>15</v>
      </c>
      <c r="Q272" s="1">
        <f t="shared" si="35"/>
        <v>1</v>
      </c>
      <c r="R272" s="1">
        <f t="shared" si="41"/>
        <v>0</v>
      </c>
      <c r="S272" s="34">
        <f t="shared" si="41"/>
        <v>53.33</v>
      </c>
      <c r="T272" s="1" t="str">
        <f t="shared" si="36"/>
        <v>caught</v>
      </c>
      <c r="U272" s="1" t="str">
        <f t="shared" si="37"/>
        <v>1</v>
      </c>
      <c r="V272" s="1" t="str">
        <f t="shared" si="38"/>
        <v xml:space="preserve"> Zimbabwe</v>
      </c>
      <c r="W272" s="1" t="str">
        <f t="shared" si="39"/>
        <v>Sharjah</v>
      </c>
      <c r="X272" s="1" t="str">
        <f t="shared" si="40"/>
        <v>Yes</v>
      </c>
      <c r="Y272" s="1"/>
    </row>
    <row r="273" spans="1:25" ht="14.25" customHeight="1">
      <c r="A273" s="1"/>
      <c r="B273" s="1">
        <v>256</v>
      </c>
      <c r="C273" s="1" t="s">
        <v>140</v>
      </c>
      <c r="D273" s="1" t="s">
        <v>167</v>
      </c>
      <c r="E273" s="1" t="s">
        <v>131</v>
      </c>
      <c r="F273" s="1" t="s">
        <v>131</v>
      </c>
      <c r="G273" s="1" t="s">
        <v>324</v>
      </c>
      <c r="H273" s="1" t="s">
        <v>24</v>
      </c>
      <c r="I273" s="1" t="s">
        <v>151</v>
      </c>
      <c r="J273" s="1" t="s">
        <v>195</v>
      </c>
      <c r="K273" s="1" t="s">
        <v>955</v>
      </c>
      <c r="L273" s="1"/>
      <c r="M273" s="1"/>
      <c r="N273" s="1" t="str">
        <f t="shared" si="33"/>
        <v>No</v>
      </c>
      <c r="O273" s="1">
        <f t="shared" si="34"/>
        <v>5</v>
      </c>
      <c r="P273" s="1">
        <f t="shared" si="35"/>
        <v>10</v>
      </c>
      <c r="Q273" s="1">
        <f t="shared" si="35"/>
        <v>0</v>
      </c>
      <c r="R273" s="1">
        <f t="shared" si="41"/>
        <v>0</v>
      </c>
      <c r="S273" s="34">
        <f t="shared" si="41"/>
        <v>40</v>
      </c>
      <c r="T273" s="1" t="str">
        <f t="shared" si="36"/>
        <v>caught</v>
      </c>
      <c r="U273" s="1" t="str">
        <f t="shared" si="37"/>
        <v>2</v>
      </c>
      <c r="V273" s="1" t="str">
        <f t="shared" si="38"/>
        <v xml:space="preserve"> Zimbabwe</v>
      </c>
      <c r="W273" s="1" t="str">
        <f t="shared" si="39"/>
        <v>Sharjah</v>
      </c>
      <c r="X273" s="1" t="str">
        <f t="shared" si="40"/>
        <v>Yes</v>
      </c>
      <c r="Y273" s="1"/>
    </row>
    <row r="274" spans="1:25" ht="14.25" customHeight="1">
      <c r="A274" s="1"/>
      <c r="B274" s="1">
        <v>257</v>
      </c>
      <c r="C274" s="1" t="s">
        <v>334</v>
      </c>
      <c r="D274" s="1" t="s">
        <v>142</v>
      </c>
      <c r="E274" s="1" t="s">
        <v>144</v>
      </c>
      <c r="F274" s="1" t="s">
        <v>131</v>
      </c>
      <c r="G274" s="1" t="s">
        <v>943</v>
      </c>
      <c r="H274" s="1" t="s">
        <v>24</v>
      </c>
      <c r="I274" s="1" t="s">
        <v>151</v>
      </c>
      <c r="J274" s="1" t="s">
        <v>133</v>
      </c>
      <c r="K274" s="1" t="s">
        <v>955</v>
      </c>
      <c r="L274" s="1"/>
      <c r="M274" s="1"/>
      <c r="N274" s="1" t="str">
        <f t="shared" ref="N274:N337" si="42">IF(OR(C274="DNB",C274="TDNB"),"Yes","No")</f>
        <v>No</v>
      </c>
      <c r="O274" s="1">
        <f t="shared" ref="O274:O337" si="43">IF(N276="Yes", "NA",SUBSTITUTE(C276,"*","")*1)</f>
        <v>44</v>
      </c>
      <c r="P274" s="1">
        <f t="shared" si="35"/>
        <v>54</v>
      </c>
      <c r="Q274" s="1">
        <f t="shared" si="35"/>
        <v>7</v>
      </c>
      <c r="R274" s="1">
        <f t="shared" si="41"/>
        <v>0</v>
      </c>
      <c r="S274" s="34">
        <f t="shared" si="41"/>
        <v>112.96</v>
      </c>
      <c r="T274" s="1" t="str">
        <f t="shared" si="36"/>
        <v>caught</v>
      </c>
      <c r="U274" s="1" t="str">
        <f t="shared" si="37"/>
        <v>2</v>
      </c>
      <c r="V274" s="1" t="str">
        <f t="shared" si="38"/>
        <v xml:space="preserve"> Sri Lanka</v>
      </c>
      <c r="W274" s="1" t="str">
        <f t="shared" si="39"/>
        <v>Sharjah</v>
      </c>
      <c r="X274" s="1" t="str">
        <f t="shared" si="40"/>
        <v>Yes</v>
      </c>
      <c r="Y274" s="1"/>
    </row>
    <row r="275" spans="1:25" ht="14.25" customHeight="1">
      <c r="A275" s="1"/>
      <c r="B275" s="1">
        <v>258</v>
      </c>
      <c r="C275" s="1" t="s">
        <v>202</v>
      </c>
      <c r="D275" s="1" t="s">
        <v>176</v>
      </c>
      <c r="E275" s="1" t="s">
        <v>131</v>
      </c>
      <c r="F275" s="1" t="s">
        <v>131</v>
      </c>
      <c r="G275" s="1" t="s">
        <v>357</v>
      </c>
      <c r="H275" s="1" t="s">
        <v>24</v>
      </c>
      <c r="I275" s="1" t="s">
        <v>151</v>
      </c>
      <c r="J275" s="1" t="s">
        <v>133</v>
      </c>
      <c r="K275" s="1" t="s">
        <v>955</v>
      </c>
      <c r="L275" s="1"/>
      <c r="M275" s="1"/>
      <c r="N275" s="1" t="str">
        <f t="shared" si="42"/>
        <v>No</v>
      </c>
      <c r="O275" s="1">
        <f t="shared" si="43"/>
        <v>8</v>
      </c>
      <c r="P275" s="1">
        <f t="shared" ref="P275:Q338" si="44">IF(D275="-","NA",D275*1)</f>
        <v>11</v>
      </c>
      <c r="Q275" s="1">
        <f t="shared" si="44"/>
        <v>0</v>
      </c>
      <c r="R275" s="1">
        <f t="shared" si="41"/>
        <v>0</v>
      </c>
      <c r="S275" s="34">
        <f t="shared" si="41"/>
        <v>45.45</v>
      </c>
      <c r="T275" s="1" t="str">
        <f t="shared" ref="T275:T338" si="45">IF(H275="-","NA",H275)</f>
        <v>caught</v>
      </c>
      <c r="U275" s="1" t="str">
        <f t="shared" ref="U275:U338" si="46">I275</f>
        <v>2</v>
      </c>
      <c r="V275" s="1" t="str">
        <f t="shared" ref="V275:V338" si="47">SUBSTITUTE(J275,"v","")</f>
        <v xml:space="preserve"> Sri Lanka</v>
      </c>
      <c r="W275" s="1" t="str">
        <f t="shared" ref="W275:W338" si="48">K275</f>
        <v>Sharjah</v>
      </c>
      <c r="X275" s="1" t="str">
        <f t="shared" ref="X275:X338" si="49">IF(N275="Yes","No",IF(T275="not out","No","Yes"))</f>
        <v>Yes</v>
      </c>
      <c r="Y275" s="1"/>
    </row>
    <row r="276" spans="1:25" ht="14.25" customHeight="1">
      <c r="A276" s="1"/>
      <c r="B276" s="1">
        <v>259</v>
      </c>
      <c r="C276" s="1" t="s">
        <v>369</v>
      </c>
      <c r="D276" s="1" t="s">
        <v>249</v>
      </c>
      <c r="E276" s="1" t="s">
        <v>144</v>
      </c>
      <c r="F276" s="1" t="s">
        <v>131</v>
      </c>
      <c r="G276" s="1" t="s">
        <v>593</v>
      </c>
      <c r="H276" s="1" t="s">
        <v>24</v>
      </c>
      <c r="I276" s="1" t="s">
        <v>151</v>
      </c>
      <c r="J276" s="1" t="s">
        <v>195</v>
      </c>
      <c r="K276" s="1" t="s">
        <v>86</v>
      </c>
      <c r="L276" s="1"/>
      <c r="M276" s="1"/>
      <c r="N276" s="1" t="str">
        <f t="shared" si="42"/>
        <v>No</v>
      </c>
      <c r="O276" s="1">
        <f t="shared" si="43"/>
        <v>146</v>
      </c>
      <c r="P276" s="1">
        <f t="shared" si="44"/>
        <v>49</v>
      </c>
      <c r="Q276" s="1">
        <f t="shared" si="44"/>
        <v>7</v>
      </c>
      <c r="R276" s="1">
        <f t="shared" si="41"/>
        <v>0</v>
      </c>
      <c r="S276" s="34">
        <f t="shared" si="41"/>
        <v>89.79</v>
      </c>
      <c r="T276" s="1" t="str">
        <f t="shared" si="45"/>
        <v>caught</v>
      </c>
      <c r="U276" s="1" t="str">
        <f t="shared" si="46"/>
        <v>2</v>
      </c>
      <c r="V276" s="1" t="str">
        <f t="shared" si="47"/>
        <v xml:space="preserve"> Zimbabwe</v>
      </c>
      <c r="W276" s="1" t="str">
        <f t="shared" si="48"/>
        <v>Cuttack</v>
      </c>
      <c r="X276" s="1" t="str">
        <f t="shared" si="49"/>
        <v>Yes</v>
      </c>
      <c r="Y276" s="1"/>
    </row>
    <row r="277" spans="1:25" ht="14.25" customHeight="1">
      <c r="A277" s="1"/>
      <c r="B277" s="1">
        <v>260</v>
      </c>
      <c r="C277" s="1" t="s">
        <v>189</v>
      </c>
      <c r="D277" s="1" t="s">
        <v>238</v>
      </c>
      <c r="E277" s="1" t="s">
        <v>131</v>
      </c>
      <c r="F277" s="1" t="s">
        <v>131</v>
      </c>
      <c r="G277" s="1" t="s">
        <v>324</v>
      </c>
      <c r="H277" s="1" t="s">
        <v>24</v>
      </c>
      <c r="I277" s="1" t="s">
        <v>130</v>
      </c>
      <c r="J277" s="1" t="s">
        <v>195</v>
      </c>
      <c r="K277" s="1" t="s">
        <v>59</v>
      </c>
      <c r="L277" s="1"/>
      <c r="M277" s="1"/>
      <c r="N277" s="1" t="str">
        <f t="shared" si="42"/>
        <v>No</v>
      </c>
      <c r="O277" s="1">
        <f t="shared" si="43"/>
        <v>62</v>
      </c>
      <c r="P277" s="1">
        <f t="shared" si="44"/>
        <v>20</v>
      </c>
      <c r="Q277" s="1">
        <f t="shared" si="44"/>
        <v>0</v>
      </c>
      <c r="R277" s="1">
        <f t="shared" si="41"/>
        <v>0</v>
      </c>
      <c r="S277" s="34">
        <f t="shared" si="41"/>
        <v>40</v>
      </c>
      <c r="T277" s="1" t="str">
        <f t="shared" si="45"/>
        <v>caught</v>
      </c>
      <c r="U277" s="1" t="str">
        <f t="shared" si="46"/>
        <v>1</v>
      </c>
      <c r="V277" s="1" t="str">
        <f t="shared" si="47"/>
        <v xml:space="preserve"> Zimbabwe</v>
      </c>
      <c r="W277" s="1" t="str">
        <f t="shared" si="48"/>
        <v>Ahmedabad</v>
      </c>
      <c r="X277" s="1" t="str">
        <f t="shared" si="49"/>
        <v>Yes</v>
      </c>
      <c r="Y277" s="1"/>
    </row>
    <row r="278" spans="1:25" ht="14.25" customHeight="1">
      <c r="A278" s="1"/>
      <c r="B278" s="1">
        <v>261</v>
      </c>
      <c r="C278" s="1" t="s">
        <v>1100</v>
      </c>
      <c r="D278" s="1" t="s">
        <v>889</v>
      </c>
      <c r="E278" s="1" t="s">
        <v>283</v>
      </c>
      <c r="F278" s="1" t="s">
        <v>151</v>
      </c>
      <c r="G278" s="1" t="s">
        <v>1101</v>
      </c>
      <c r="H278" s="1" t="s">
        <v>24</v>
      </c>
      <c r="I278" s="1" t="s">
        <v>130</v>
      </c>
      <c r="J278" s="1" t="s">
        <v>195</v>
      </c>
      <c r="K278" s="1" t="s">
        <v>1102</v>
      </c>
      <c r="L278" s="1"/>
      <c r="M278" s="1"/>
      <c r="N278" s="1" t="str">
        <f t="shared" si="42"/>
        <v>No</v>
      </c>
      <c r="O278" s="1">
        <f t="shared" si="43"/>
        <v>27</v>
      </c>
      <c r="P278" s="1">
        <f t="shared" si="44"/>
        <v>153</v>
      </c>
      <c r="Q278" s="1">
        <f t="shared" si="44"/>
        <v>15</v>
      </c>
      <c r="R278" s="1">
        <f t="shared" si="41"/>
        <v>2</v>
      </c>
      <c r="S278" s="34">
        <f t="shared" si="41"/>
        <v>95.42</v>
      </c>
      <c r="T278" s="1" t="str">
        <f t="shared" si="45"/>
        <v>caught</v>
      </c>
      <c r="U278" s="1" t="str">
        <f t="shared" si="46"/>
        <v>1</v>
      </c>
      <c r="V278" s="1" t="str">
        <f t="shared" si="47"/>
        <v xml:space="preserve"> Zimbabwe</v>
      </c>
      <c r="W278" s="1" t="str">
        <f t="shared" si="48"/>
        <v>Jodhpur</v>
      </c>
      <c r="X278" s="1" t="str">
        <f t="shared" si="49"/>
        <v>Yes</v>
      </c>
      <c r="Y278" s="1"/>
    </row>
    <row r="279" spans="1:25" ht="14.25" customHeight="1">
      <c r="A279" s="1"/>
      <c r="B279" s="1">
        <v>262</v>
      </c>
      <c r="C279" s="1" t="s">
        <v>364</v>
      </c>
      <c r="D279" s="1" t="s">
        <v>288</v>
      </c>
      <c r="E279" s="1" t="s">
        <v>161</v>
      </c>
      <c r="F279" s="1" t="s">
        <v>131</v>
      </c>
      <c r="G279" s="1" t="s">
        <v>1103</v>
      </c>
      <c r="H279" s="1" t="s">
        <v>19</v>
      </c>
      <c r="I279" s="1" t="s">
        <v>151</v>
      </c>
      <c r="J279" s="1" t="s">
        <v>195</v>
      </c>
      <c r="K279" s="1" t="s">
        <v>101</v>
      </c>
      <c r="L279" s="1"/>
      <c r="M279" s="1"/>
      <c r="N279" s="1" t="str">
        <f t="shared" si="42"/>
        <v>No</v>
      </c>
      <c r="O279" s="1">
        <f t="shared" si="43"/>
        <v>35</v>
      </c>
      <c r="P279" s="1">
        <f t="shared" si="44"/>
        <v>86</v>
      </c>
      <c r="Q279" s="1">
        <f t="shared" si="44"/>
        <v>9</v>
      </c>
      <c r="R279" s="1">
        <f t="shared" si="41"/>
        <v>0</v>
      </c>
      <c r="S279" s="34">
        <f t="shared" si="41"/>
        <v>72.09</v>
      </c>
      <c r="T279" s="1" t="str">
        <f t="shared" si="45"/>
        <v>lbw</v>
      </c>
      <c r="U279" s="1" t="str">
        <f t="shared" si="46"/>
        <v>2</v>
      </c>
      <c r="V279" s="1" t="str">
        <f t="shared" si="47"/>
        <v xml:space="preserve"> Zimbabwe</v>
      </c>
      <c r="W279" s="1" t="str">
        <f t="shared" si="48"/>
        <v>Kanpur</v>
      </c>
      <c r="X279" s="1" t="str">
        <f t="shared" si="49"/>
        <v>Yes</v>
      </c>
      <c r="Y279" s="1"/>
    </row>
    <row r="280" spans="1:25" ht="14.25" customHeight="1">
      <c r="A280" s="1"/>
      <c r="B280" s="1">
        <v>263</v>
      </c>
      <c r="C280" s="1" t="s">
        <v>169</v>
      </c>
      <c r="D280" s="1" t="s">
        <v>139</v>
      </c>
      <c r="E280" s="1" t="s">
        <v>202</v>
      </c>
      <c r="F280" s="1" t="s">
        <v>131</v>
      </c>
      <c r="G280" s="1" t="s">
        <v>1046</v>
      </c>
      <c r="H280" s="1" t="s">
        <v>29</v>
      </c>
      <c r="I280" s="1" t="s">
        <v>130</v>
      </c>
      <c r="J280" s="1" t="s">
        <v>195</v>
      </c>
      <c r="K280" s="1" t="s">
        <v>48</v>
      </c>
      <c r="L280" s="1"/>
      <c r="M280" s="1"/>
      <c r="N280" s="1" t="str">
        <f t="shared" si="42"/>
        <v>No</v>
      </c>
      <c r="O280" s="1">
        <f t="shared" si="43"/>
        <v>32</v>
      </c>
      <c r="P280" s="1">
        <f t="shared" si="44"/>
        <v>38</v>
      </c>
      <c r="Q280" s="1">
        <f t="shared" si="44"/>
        <v>5</v>
      </c>
      <c r="R280" s="1">
        <f t="shared" si="41"/>
        <v>0</v>
      </c>
      <c r="S280" s="34">
        <f t="shared" si="41"/>
        <v>71.05</v>
      </c>
      <c r="T280" s="1" t="str">
        <f t="shared" si="45"/>
        <v>bowled</v>
      </c>
      <c r="U280" s="1" t="str">
        <f t="shared" si="46"/>
        <v>1</v>
      </c>
      <c r="V280" s="1" t="str">
        <f t="shared" si="47"/>
        <v xml:space="preserve"> Zimbabwe</v>
      </c>
      <c r="W280" s="1" t="str">
        <f t="shared" si="48"/>
        <v>Rajkot</v>
      </c>
      <c r="X280" s="1" t="str">
        <f t="shared" si="49"/>
        <v>Yes</v>
      </c>
      <c r="Y280" s="1"/>
    </row>
    <row r="281" spans="1:25" ht="14.25" customHeight="1">
      <c r="A281" s="1"/>
      <c r="B281" s="1">
        <v>264</v>
      </c>
      <c r="C281" s="1" t="s">
        <v>248</v>
      </c>
      <c r="D281" s="1" t="s">
        <v>313</v>
      </c>
      <c r="E281" s="1" t="s">
        <v>136</v>
      </c>
      <c r="F281" s="1" t="s">
        <v>130</v>
      </c>
      <c r="G281" s="1" t="s">
        <v>1104</v>
      </c>
      <c r="H281" s="1" t="s">
        <v>26</v>
      </c>
      <c r="I281" s="1" t="s">
        <v>130</v>
      </c>
      <c r="J281" s="1" t="s">
        <v>158</v>
      </c>
      <c r="K281" s="1" t="s">
        <v>67</v>
      </c>
      <c r="L281" s="1"/>
      <c r="M281" s="1"/>
      <c r="N281" s="1" t="str">
        <f t="shared" si="42"/>
        <v>No</v>
      </c>
      <c r="O281" s="1">
        <f t="shared" si="43"/>
        <v>139</v>
      </c>
      <c r="P281" s="1">
        <f t="shared" si="44"/>
        <v>26</v>
      </c>
      <c r="Q281" s="1">
        <f t="shared" si="44"/>
        <v>6</v>
      </c>
      <c r="R281" s="1">
        <f t="shared" si="41"/>
        <v>1</v>
      </c>
      <c r="S281" s="34">
        <f t="shared" si="41"/>
        <v>134.61000000000001</v>
      </c>
      <c r="T281" s="1" t="str">
        <f t="shared" si="45"/>
        <v>run out</v>
      </c>
      <c r="U281" s="1" t="str">
        <f t="shared" si="46"/>
        <v>1</v>
      </c>
      <c r="V281" s="1" t="str">
        <f t="shared" si="47"/>
        <v xml:space="preserve"> Australia</v>
      </c>
      <c r="W281" s="1" t="str">
        <f t="shared" si="48"/>
        <v>Bengaluru</v>
      </c>
      <c r="X281" s="1" t="str">
        <f t="shared" si="49"/>
        <v>Yes</v>
      </c>
      <c r="Y281" s="1"/>
    </row>
    <row r="282" spans="1:25" ht="14.25" customHeight="1">
      <c r="A282" s="1"/>
      <c r="B282" s="1">
        <v>265</v>
      </c>
      <c r="C282" s="1" t="s">
        <v>521</v>
      </c>
      <c r="D282" s="1" t="s">
        <v>200</v>
      </c>
      <c r="E282" s="1" t="s">
        <v>136</v>
      </c>
      <c r="F282" s="1" t="s">
        <v>130</v>
      </c>
      <c r="G282" s="1" t="s">
        <v>1105</v>
      </c>
      <c r="H282" s="1" t="s">
        <v>24</v>
      </c>
      <c r="I282" s="1" t="s">
        <v>130</v>
      </c>
      <c r="J282" s="1" t="s">
        <v>158</v>
      </c>
      <c r="K282" s="1" t="s">
        <v>100</v>
      </c>
      <c r="L282" s="1"/>
      <c r="M282" s="1"/>
      <c r="N282" s="1" t="str">
        <f t="shared" si="42"/>
        <v>No</v>
      </c>
      <c r="O282" s="1">
        <f t="shared" si="43"/>
        <v>62</v>
      </c>
      <c r="P282" s="1">
        <f t="shared" si="44"/>
        <v>29</v>
      </c>
      <c r="Q282" s="1">
        <f t="shared" si="44"/>
        <v>6</v>
      </c>
      <c r="R282" s="1">
        <f t="shared" si="41"/>
        <v>1</v>
      </c>
      <c r="S282" s="34">
        <f t="shared" si="41"/>
        <v>110.34</v>
      </c>
      <c r="T282" s="1" t="str">
        <f t="shared" si="45"/>
        <v>caught</v>
      </c>
      <c r="U282" s="1" t="str">
        <f t="shared" si="46"/>
        <v>1</v>
      </c>
      <c r="V282" s="1" t="str">
        <f t="shared" si="47"/>
        <v xml:space="preserve"> Australia</v>
      </c>
      <c r="W282" s="1" t="str">
        <f t="shared" si="48"/>
        <v>Pune</v>
      </c>
      <c r="X282" s="1" t="str">
        <f t="shared" si="49"/>
        <v>Yes</v>
      </c>
      <c r="Y282" s="1"/>
    </row>
    <row r="283" spans="1:25" ht="14.25" customHeight="1">
      <c r="A283" s="1"/>
      <c r="B283" s="1">
        <v>266</v>
      </c>
      <c r="C283" s="1" t="s">
        <v>855</v>
      </c>
      <c r="D283" s="1" t="s">
        <v>438</v>
      </c>
      <c r="E283" s="1" t="s">
        <v>170</v>
      </c>
      <c r="F283" s="1" t="s">
        <v>131</v>
      </c>
      <c r="G283" s="1" t="s">
        <v>1106</v>
      </c>
      <c r="H283" s="1" t="s">
        <v>24</v>
      </c>
      <c r="I283" s="1" t="s">
        <v>130</v>
      </c>
      <c r="J283" s="1" t="s">
        <v>158</v>
      </c>
      <c r="K283" s="1" t="s">
        <v>87</v>
      </c>
      <c r="L283" s="1"/>
      <c r="M283" s="1"/>
      <c r="N283" s="1" t="str">
        <f t="shared" si="42"/>
        <v>No</v>
      </c>
      <c r="O283" s="1">
        <f t="shared" si="43"/>
        <v>12</v>
      </c>
      <c r="P283" s="1">
        <f t="shared" si="44"/>
        <v>125</v>
      </c>
      <c r="Q283" s="1">
        <f t="shared" si="44"/>
        <v>19</v>
      </c>
      <c r="R283" s="1">
        <f t="shared" si="41"/>
        <v>0</v>
      </c>
      <c r="S283" s="34">
        <f t="shared" si="41"/>
        <v>111.2</v>
      </c>
      <c r="T283" s="1" t="str">
        <f t="shared" si="45"/>
        <v>caught</v>
      </c>
      <c r="U283" s="1" t="str">
        <f t="shared" si="46"/>
        <v>1</v>
      </c>
      <c r="V283" s="1" t="str">
        <f t="shared" si="47"/>
        <v xml:space="preserve"> Australia</v>
      </c>
      <c r="W283" s="1" t="str">
        <f t="shared" si="48"/>
        <v>Indore</v>
      </c>
      <c r="X283" s="1" t="str">
        <f t="shared" si="49"/>
        <v>Yes</v>
      </c>
      <c r="Y283" s="1"/>
    </row>
    <row r="284" spans="1:25" ht="14.25" customHeight="1">
      <c r="A284" s="1"/>
      <c r="B284" s="1">
        <v>267</v>
      </c>
      <c r="C284" s="1" t="s">
        <v>364</v>
      </c>
      <c r="D284" s="1" t="s">
        <v>139</v>
      </c>
      <c r="E284" s="1" t="s">
        <v>176</v>
      </c>
      <c r="F284" s="1" t="s">
        <v>131</v>
      </c>
      <c r="G284" s="1" t="s">
        <v>733</v>
      </c>
      <c r="H284" s="1" t="s">
        <v>24</v>
      </c>
      <c r="I284" s="1" t="s">
        <v>151</v>
      </c>
      <c r="J284" s="1" t="s">
        <v>158</v>
      </c>
      <c r="K284" s="1" t="s">
        <v>65</v>
      </c>
      <c r="L284" s="1"/>
      <c r="M284" s="1"/>
      <c r="N284" s="1" t="str">
        <f t="shared" si="42"/>
        <v>No</v>
      </c>
      <c r="O284" s="1">
        <f t="shared" si="43"/>
        <v>70</v>
      </c>
      <c r="P284" s="1">
        <f t="shared" si="44"/>
        <v>38</v>
      </c>
      <c r="Q284" s="1">
        <f t="shared" si="44"/>
        <v>11</v>
      </c>
      <c r="R284" s="1">
        <f t="shared" si="41"/>
        <v>0</v>
      </c>
      <c r="S284" s="34">
        <f t="shared" si="41"/>
        <v>163.15</v>
      </c>
      <c r="T284" s="1" t="str">
        <f t="shared" si="45"/>
        <v>caught</v>
      </c>
      <c r="U284" s="1" t="str">
        <f t="shared" si="46"/>
        <v>2</v>
      </c>
      <c r="V284" s="1" t="str">
        <f t="shared" si="47"/>
        <v xml:space="preserve"> Australia</v>
      </c>
      <c r="W284" s="1" t="str">
        <f t="shared" si="48"/>
        <v>Visakhapatnam</v>
      </c>
      <c r="X284" s="1" t="str">
        <f t="shared" si="49"/>
        <v>Yes</v>
      </c>
      <c r="Y284" s="1"/>
    </row>
    <row r="285" spans="1:25" ht="14.25" customHeight="1">
      <c r="A285" s="1"/>
      <c r="B285" s="1">
        <v>268</v>
      </c>
      <c r="C285" s="1" t="s">
        <v>128</v>
      </c>
      <c r="D285" s="1" t="s">
        <v>283</v>
      </c>
      <c r="E285" s="1" t="s">
        <v>151</v>
      </c>
      <c r="F285" s="1" t="s">
        <v>131</v>
      </c>
      <c r="G285" s="1" t="s">
        <v>361</v>
      </c>
      <c r="H285" s="1" t="s">
        <v>24</v>
      </c>
      <c r="I285" s="1" t="s">
        <v>130</v>
      </c>
      <c r="J285" s="1" t="s">
        <v>158</v>
      </c>
      <c r="K285" s="1" t="s">
        <v>573</v>
      </c>
      <c r="L285" s="1"/>
      <c r="M285" s="1"/>
      <c r="N285" s="1" t="str">
        <f t="shared" si="42"/>
        <v>No</v>
      </c>
      <c r="O285" s="1">
        <f t="shared" si="43"/>
        <v>9</v>
      </c>
      <c r="P285" s="1">
        <f t="shared" si="44"/>
        <v>15</v>
      </c>
      <c r="Q285" s="1">
        <f t="shared" si="44"/>
        <v>2</v>
      </c>
      <c r="R285" s="1">
        <f t="shared" si="41"/>
        <v>0</v>
      </c>
      <c r="S285" s="34">
        <f t="shared" si="41"/>
        <v>80</v>
      </c>
      <c r="T285" s="1" t="str">
        <f t="shared" si="45"/>
        <v>caught</v>
      </c>
      <c r="U285" s="1" t="str">
        <f t="shared" si="46"/>
        <v>1</v>
      </c>
      <c r="V285" s="1" t="str">
        <f t="shared" si="47"/>
        <v xml:space="preserve"> Australia</v>
      </c>
      <c r="W285" s="1" t="str">
        <f t="shared" si="48"/>
        <v>Margao</v>
      </c>
      <c r="X285" s="1" t="str">
        <f t="shared" si="49"/>
        <v>Yes</v>
      </c>
      <c r="Y285" s="1"/>
    </row>
    <row r="286" spans="1:25" ht="14.25" customHeight="1">
      <c r="A286" s="1"/>
      <c r="B286" s="1">
        <v>269</v>
      </c>
      <c r="C286" s="1" t="s">
        <v>795</v>
      </c>
      <c r="D286" s="1" t="s">
        <v>222</v>
      </c>
      <c r="E286" s="1" t="s">
        <v>325</v>
      </c>
      <c r="F286" s="1" t="s">
        <v>131</v>
      </c>
      <c r="G286" s="1" t="s">
        <v>152</v>
      </c>
      <c r="H286" s="1" t="s">
        <v>32</v>
      </c>
      <c r="I286" s="1" t="s">
        <v>151</v>
      </c>
      <c r="J286" s="1" t="s">
        <v>195</v>
      </c>
      <c r="K286" s="1" t="s">
        <v>62</v>
      </c>
      <c r="L286" s="1"/>
      <c r="M286" s="1"/>
      <c r="N286" s="1" t="str">
        <f t="shared" si="42"/>
        <v>No</v>
      </c>
      <c r="O286" s="1">
        <f t="shared" si="43"/>
        <v>81</v>
      </c>
      <c r="P286" s="1">
        <f t="shared" si="44"/>
        <v>70</v>
      </c>
      <c r="Q286" s="1">
        <f t="shared" si="44"/>
        <v>13</v>
      </c>
      <c r="R286" s="1">
        <f t="shared" si="41"/>
        <v>0</v>
      </c>
      <c r="S286" s="34">
        <f t="shared" si="41"/>
        <v>100</v>
      </c>
      <c r="T286" s="1" t="str">
        <f t="shared" si="45"/>
        <v>not out</v>
      </c>
      <c r="U286" s="1" t="str">
        <f t="shared" si="46"/>
        <v>2</v>
      </c>
      <c r="V286" s="1" t="str">
        <f t="shared" si="47"/>
        <v xml:space="preserve"> Zimbabwe</v>
      </c>
      <c r="W286" s="1" t="str">
        <f t="shared" si="48"/>
        <v>Harare</v>
      </c>
      <c r="X286" s="1" t="str">
        <f t="shared" si="49"/>
        <v>No</v>
      </c>
      <c r="Y286" s="1"/>
    </row>
    <row r="287" spans="1:25" ht="14.25" customHeight="1">
      <c r="A287" s="1"/>
      <c r="B287" s="1">
        <v>270</v>
      </c>
      <c r="C287" s="1" t="s">
        <v>161</v>
      </c>
      <c r="D287" s="1" t="s">
        <v>169</v>
      </c>
      <c r="E287" s="1" t="s">
        <v>131</v>
      </c>
      <c r="F287" s="1" t="s">
        <v>131</v>
      </c>
      <c r="G287" s="1" t="s">
        <v>229</v>
      </c>
      <c r="H287" s="1" t="s">
        <v>24</v>
      </c>
      <c r="I287" s="1" t="s">
        <v>151</v>
      </c>
      <c r="J287" s="1" t="s">
        <v>195</v>
      </c>
      <c r="K287" s="1" t="s">
        <v>61</v>
      </c>
      <c r="L287" s="1"/>
      <c r="M287" s="1"/>
      <c r="N287" s="1" t="str">
        <f t="shared" si="42"/>
        <v>No</v>
      </c>
      <c r="O287" s="1">
        <f t="shared" si="43"/>
        <v>122</v>
      </c>
      <c r="P287" s="1">
        <f t="shared" si="44"/>
        <v>27</v>
      </c>
      <c r="Q287" s="1">
        <f t="shared" si="44"/>
        <v>0</v>
      </c>
      <c r="R287" s="1">
        <f t="shared" si="41"/>
        <v>0</v>
      </c>
      <c r="S287" s="34">
        <f t="shared" si="41"/>
        <v>33.33</v>
      </c>
      <c r="T287" s="1" t="str">
        <f t="shared" si="45"/>
        <v>caught</v>
      </c>
      <c r="U287" s="1" t="str">
        <f t="shared" si="46"/>
        <v>2</v>
      </c>
      <c r="V287" s="1" t="str">
        <f t="shared" si="47"/>
        <v xml:space="preserve"> Zimbabwe</v>
      </c>
      <c r="W287" s="1" t="str">
        <f t="shared" si="48"/>
        <v>Bulawayo</v>
      </c>
      <c r="X287" s="1" t="str">
        <f t="shared" si="49"/>
        <v>Yes</v>
      </c>
      <c r="Y287" s="1"/>
    </row>
    <row r="288" spans="1:25" ht="14.25" customHeight="1">
      <c r="A288" s="1"/>
      <c r="B288" s="1">
        <v>271</v>
      </c>
      <c r="C288" s="1" t="s">
        <v>410</v>
      </c>
      <c r="D288" s="1" t="s">
        <v>500</v>
      </c>
      <c r="E288" s="1" t="s">
        <v>189</v>
      </c>
      <c r="F288" s="1" t="s">
        <v>131</v>
      </c>
      <c r="G288" s="1" t="s">
        <v>1107</v>
      </c>
      <c r="H288" s="1" t="s">
        <v>32</v>
      </c>
      <c r="I288" s="1" t="s">
        <v>151</v>
      </c>
      <c r="J288" s="1" t="s">
        <v>163</v>
      </c>
      <c r="K288" s="1" t="s">
        <v>61</v>
      </c>
      <c r="L288" s="1"/>
      <c r="M288" s="1"/>
      <c r="N288" s="1" t="str">
        <f t="shared" si="42"/>
        <v>No</v>
      </c>
      <c r="O288" s="1">
        <f t="shared" si="43"/>
        <v>0</v>
      </c>
      <c r="P288" s="1">
        <f t="shared" si="44"/>
        <v>110</v>
      </c>
      <c r="Q288" s="1">
        <f t="shared" si="44"/>
        <v>8</v>
      </c>
      <c r="R288" s="1">
        <f t="shared" si="41"/>
        <v>0</v>
      </c>
      <c r="S288" s="34">
        <f t="shared" si="41"/>
        <v>73.63</v>
      </c>
      <c r="T288" s="1" t="str">
        <f t="shared" si="45"/>
        <v>not out</v>
      </c>
      <c r="U288" s="1" t="str">
        <f t="shared" si="46"/>
        <v>2</v>
      </c>
      <c r="V288" s="1" t="str">
        <f t="shared" si="47"/>
        <v xml:space="preserve"> West Indies</v>
      </c>
      <c r="W288" s="1" t="str">
        <f t="shared" si="48"/>
        <v>Bulawayo</v>
      </c>
      <c r="X288" s="1" t="str">
        <f t="shared" si="49"/>
        <v>No</v>
      </c>
      <c r="Y288" s="1"/>
    </row>
    <row r="289" spans="1:25" ht="14.25" customHeight="1">
      <c r="A289" s="1"/>
      <c r="B289" s="1">
        <v>272</v>
      </c>
      <c r="C289" s="1" t="s">
        <v>505</v>
      </c>
      <c r="D289" s="1" t="s">
        <v>429</v>
      </c>
      <c r="E289" s="1" t="s">
        <v>128</v>
      </c>
      <c r="F289" s="1" t="s">
        <v>130</v>
      </c>
      <c r="G289" s="1" t="s">
        <v>1108</v>
      </c>
      <c r="H289" s="1" t="s">
        <v>32</v>
      </c>
      <c r="I289" s="1" t="s">
        <v>151</v>
      </c>
      <c r="J289" s="1" t="s">
        <v>163</v>
      </c>
      <c r="K289" s="1" t="s">
        <v>62</v>
      </c>
      <c r="L289" s="1"/>
      <c r="M289" s="1"/>
      <c r="N289" s="1" t="str">
        <f t="shared" si="42"/>
        <v>No</v>
      </c>
      <c r="O289" s="1">
        <f t="shared" si="43"/>
        <v>101</v>
      </c>
      <c r="P289" s="1">
        <f t="shared" si="44"/>
        <v>131</v>
      </c>
      <c r="Q289" s="1">
        <f t="shared" si="44"/>
        <v>12</v>
      </c>
      <c r="R289" s="1">
        <f t="shared" si="41"/>
        <v>1</v>
      </c>
      <c r="S289" s="34">
        <f t="shared" si="41"/>
        <v>93.12</v>
      </c>
      <c r="T289" s="1" t="str">
        <f t="shared" si="45"/>
        <v>not out</v>
      </c>
      <c r="U289" s="1" t="str">
        <f t="shared" si="46"/>
        <v>2</v>
      </c>
      <c r="V289" s="1" t="str">
        <f t="shared" si="47"/>
        <v xml:space="preserve"> West Indies</v>
      </c>
      <c r="W289" s="1" t="str">
        <f t="shared" si="48"/>
        <v>Harare</v>
      </c>
      <c r="X289" s="1" t="str">
        <f t="shared" si="49"/>
        <v>No</v>
      </c>
      <c r="Y289" s="1"/>
    </row>
    <row r="290" spans="1:25" ht="14.25" customHeight="1">
      <c r="A290" s="1"/>
      <c r="B290" s="1">
        <v>273</v>
      </c>
      <c r="C290" s="1" t="s">
        <v>131</v>
      </c>
      <c r="D290" s="1" t="s">
        <v>140</v>
      </c>
      <c r="E290" s="1" t="s">
        <v>131</v>
      </c>
      <c r="F290" s="1" t="s">
        <v>131</v>
      </c>
      <c r="G290" s="1" t="s">
        <v>210</v>
      </c>
      <c r="H290" s="1" t="s">
        <v>24</v>
      </c>
      <c r="I290" s="1" t="s">
        <v>151</v>
      </c>
      <c r="J290" s="1" t="s">
        <v>163</v>
      </c>
      <c r="K290" s="1" t="s">
        <v>62</v>
      </c>
      <c r="L290" s="1"/>
      <c r="M290" s="1"/>
      <c r="N290" s="1" t="str">
        <f t="shared" si="42"/>
        <v>No</v>
      </c>
      <c r="O290" s="1">
        <f t="shared" si="43"/>
        <v>38</v>
      </c>
      <c r="P290" s="1">
        <f t="shared" si="44"/>
        <v>4</v>
      </c>
      <c r="Q290" s="1">
        <f t="shared" si="44"/>
        <v>0</v>
      </c>
      <c r="R290" s="1">
        <f t="shared" ref="R290:S353" si="50">IF(F290="-","NA",F290*1)</f>
        <v>0</v>
      </c>
      <c r="S290" s="34">
        <f t="shared" si="50"/>
        <v>0</v>
      </c>
      <c r="T290" s="1" t="str">
        <f t="shared" si="45"/>
        <v>caught</v>
      </c>
      <c r="U290" s="1" t="str">
        <f t="shared" si="46"/>
        <v>2</v>
      </c>
      <c r="V290" s="1" t="str">
        <f t="shared" si="47"/>
        <v xml:space="preserve"> West Indies</v>
      </c>
      <c r="W290" s="1" t="str">
        <f t="shared" si="48"/>
        <v>Harare</v>
      </c>
      <c r="X290" s="1" t="str">
        <f t="shared" si="49"/>
        <v>Yes</v>
      </c>
      <c r="Y290" s="1"/>
    </row>
    <row r="291" spans="1:25" ht="14.25" customHeight="1">
      <c r="A291" s="1"/>
      <c r="B291" s="1">
        <v>274</v>
      </c>
      <c r="C291" s="1" t="s">
        <v>413</v>
      </c>
      <c r="D291" s="1" t="s">
        <v>458</v>
      </c>
      <c r="E291" s="1" t="s">
        <v>161</v>
      </c>
      <c r="F291" s="1" t="s">
        <v>131</v>
      </c>
      <c r="G291" s="1" t="s">
        <v>1109</v>
      </c>
      <c r="H291" s="1" t="s">
        <v>24</v>
      </c>
      <c r="I291" s="1" t="s">
        <v>130</v>
      </c>
      <c r="J291" s="1" t="s">
        <v>191</v>
      </c>
      <c r="K291" s="1" t="s">
        <v>43</v>
      </c>
      <c r="L291" s="1"/>
      <c r="M291" s="1"/>
      <c r="N291" s="1" t="str">
        <f t="shared" si="42"/>
        <v>No</v>
      </c>
      <c r="O291" s="1" t="str">
        <f t="shared" si="43"/>
        <v>NA</v>
      </c>
      <c r="P291" s="1">
        <f t="shared" si="44"/>
        <v>129</v>
      </c>
      <c r="Q291" s="1">
        <f t="shared" si="44"/>
        <v>9</v>
      </c>
      <c r="R291" s="1">
        <f t="shared" si="50"/>
        <v>0</v>
      </c>
      <c r="S291" s="34">
        <f t="shared" si="50"/>
        <v>78.290000000000006</v>
      </c>
      <c r="T291" s="1" t="str">
        <f t="shared" si="45"/>
        <v>caught</v>
      </c>
      <c r="U291" s="1" t="str">
        <f t="shared" si="46"/>
        <v>1</v>
      </c>
      <c r="V291" s="1" t="str">
        <f t="shared" si="47"/>
        <v xml:space="preserve"> South Africa</v>
      </c>
      <c r="W291" s="1" t="str">
        <f t="shared" si="48"/>
        <v>Johannesburg</v>
      </c>
      <c r="X291" s="1" t="str">
        <f t="shared" si="49"/>
        <v>Yes</v>
      </c>
      <c r="Y291" s="1"/>
    </row>
    <row r="292" spans="1:25" ht="14.25" customHeight="1">
      <c r="A292" s="1"/>
      <c r="B292" s="1">
        <v>275</v>
      </c>
      <c r="C292" s="1" t="s">
        <v>139</v>
      </c>
      <c r="D292" s="1" t="s">
        <v>192</v>
      </c>
      <c r="E292" s="1" t="s">
        <v>202</v>
      </c>
      <c r="F292" s="1" t="s">
        <v>131</v>
      </c>
      <c r="G292" s="1" t="s">
        <v>155</v>
      </c>
      <c r="H292" s="1" t="s">
        <v>24</v>
      </c>
      <c r="I292" s="1" t="s">
        <v>130</v>
      </c>
      <c r="J292" s="1" t="s">
        <v>191</v>
      </c>
      <c r="K292" s="1" t="s">
        <v>36</v>
      </c>
      <c r="L292" s="1"/>
      <c r="M292" s="1"/>
      <c r="N292" s="1" t="str">
        <f t="shared" si="42"/>
        <v>No</v>
      </c>
      <c r="O292" s="1">
        <f t="shared" si="43"/>
        <v>3</v>
      </c>
      <c r="P292" s="1">
        <f t="shared" si="44"/>
        <v>57</v>
      </c>
      <c r="Q292" s="1">
        <f t="shared" si="44"/>
        <v>5</v>
      </c>
      <c r="R292" s="1">
        <f t="shared" si="50"/>
        <v>0</v>
      </c>
      <c r="S292" s="34">
        <f t="shared" si="50"/>
        <v>66.66</v>
      </c>
      <c r="T292" s="1" t="str">
        <f t="shared" si="45"/>
        <v>caught</v>
      </c>
      <c r="U292" s="1" t="str">
        <f t="shared" si="46"/>
        <v>1</v>
      </c>
      <c r="V292" s="1" t="str">
        <f t="shared" si="47"/>
        <v xml:space="preserve"> South Africa</v>
      </c>
      <c r="W292" s="1" t="str">
        <f t="shared" si="48"/>
        <v>Centurion</v>
      </c>
      <c r="X292" s="1" t="str">
        <f t="shared" si="49"/>
        <v>Yes</v>
      </c>
      <c r="Y292" s="1"/>
    </row>
    <row r="293" spans="1:25" ht="14.25" customHeight="1">
      <c r="A293" s="1"/>
      <c r="B293" s="1">
        <v>276</v>
      </c>
      <c r="C293" s="1" t="s">
        <v>57</v>
      </c>
      <c r="D293" s="1" t="s">
        <v>157</v>
      </c>
      <c r="E293" s="1" t="s">
        <v>157</v>
      </c>
      <c r="F293" s="1" t="s">
        <v>157</v>
      </c>
      <c r="G293" s="1" t="s">
        <v>157</v>
      </c>
      <c r="H293" s="1" t="s">
        <v>157</v>
      </c>
      <c r="I293" s="1" t="s">
        <v>151</v>
      </c>
      <c r="J293" s="1" t="s">
        <v>1012</v>
      </c>
      <c r="K293" s="1" t="s">
        <v>979</v>
      </c>
      <c r="L293" s="1"/>
      <c r="M293" s="1"/>
      <c r="N293" s="1" t="str">
        <f t="shared" si="42"/>
        <v>Yes</v>
      </c>
      <c r="O293" s="1">
        <f t="shared" si="43"/>
        <v>37</v>
      </c>
      <c r="P293" s="1" t="str">
        <f t="shared" si="44"/>
        <v>NA</v>
      </c>
      <c r="Q293" s="1" t="str">
        <f t="shared" si="44"/>
        <v>NA</v>
      </c>
      <c r="R293" s="1" t="str">
        <f t="shared" si="50"/>
        <v>NA</v>
      </c>
      <c r="S293" s="34" t="str">
        <f t="shared" si="50"/>
        <v>NA</v>
      </c>
      <c r="T293" s="1" t="str">
        <f t="shared" si="45"/>
        <v>NA</v>
      </c>
      <c r="U293" s="1" t="str">
        <f t="shared" si="46"/>
        <v>2</v>
      </c>
      <c r="V293" s="1" t="str">
        <f t="shared" si="47"/>
        <v xml:space="preserve"> Kenya</v>
      </c>
      <c r="W293" s="1" t="str">
        <f t="shared" si="48"/>
        <v>Bloemfontein</v>
      </c>
      <c r="X293" s="1" t="str">
        <f t="shared" si="49"/>
        <v>No</v>
      </c>
      <c r="Y293" s="1"/>
    </row>
    <row r="294" spans="1:25" ht="14.25" customHeight="1">
      <c r="A294" s="1"/>
      <c r="B294" s="1">
        <v>277</v>
      </c>
      <c r="C294" s="1" t="s">
        <v>148</v>
      </c>
      <c r="D294" s="1" t="s">
        <v>238</v>
      </c>
      <c r="E294" s="1" t="s">
        <v>131</v>
      </c>
      <c r="F294" s="1" t="s">
        <v>131</v>
      </c>
      <c r="G294" s="1" t="s">
        <v>1110</v>
      </c>
      <c r="H294" s="1" t="s">
        <v>29</v>
      </c>
      <c r="I294" s="1" t="s">
        <v>151</v>
      </c>
      <c r="J294" s="1" t="s">
        <v>1012</v>
      </c>
      <c r="K294" s="1" t="s">
        <v>71</v>
      </c>
      <c r="L294" s="1"/>
      <c r="M294" s="1"/>
      <c r="N294" s="1" t="str">
        <f t="shared" si="42"/>
        <v>No</v>
      </c>
      <c r="O294" s="1">
        <f t="shared" si="43"/>
        <v>146</v>
      </c>
      <c r="P294" s="1">
        <f t="shared" si="44"/>
        <v>20</v>
      </c>
      <c r="Q294" s="1">
        <f t="shared" si="44"/>
        <v>0</v>
      </c>
      <c r="R294" s="1">
        <f t="shared" si="50"/>
        <v>0</v>
      </c>
      <c r="S294" s="34">
        <f t="shared" si="50"/>
        <v>15</v>
      </c>
      <c r="T294" s="1" t="str">
        <f t="shared" si="45"/>
        <v>bowled</v>
      </c>
      <c r="U294" s="1" t="str">
        <f t="shared" si="46"/>
        <v>2</v>
      </c>
      <c r="V294" s="1" t="str">
        <f t="shared" si="47"/>
        <v xml:space="preserve"> Kenya</v>
      </c>
      <c r="W294" s="1" t="str">
        <f t="shared" si="48"/>
        <v>Gqeberha</v>
      </c>
      <c r="X294" s="1" t="str">
        <f t="shared" si="49"/>
        <v>Yes</v>
      </c>
      <c r="Y294" s="1"/>
    </row>
    <row r="295" spans="1:25" ht="14.25" customHeight="1">
      <c r="A295" s="1"/>
      <c r="B295" s="1">
        <v>278</v>
      </c>
      <c r="C295" s="1" t="s">
        <v>134</v>
      </c>
      <c r="D295" s="1" t="s">
        <v>248</v>
      </c>
      <c r="E295" s="1" t="s">
        <v>202</v>
      </c>
      <c r="F295" s="1" t="s">
        <v>131</v>
      </c>
      <c r="G295" s="1" t="s">
        <v>1111</v>
      </c>
      <c r="H295" s="1" t="s">
        <v>29</v>
      </c>
      <c r="I295" s="1" t="s">
        <v>151</v>
      </c>
      <c r="J295" s="1" t="s">
        <v>191</v>
      </c>
      <c r="K295" s="1" t="s">
        <v>981</v>
      </c>
      <c r="L295" s="1"/>
      <c r="M295" s="1"/>
      <c r="N295" s="1" t="str">
        <f t="shared" si="42"/>
        <v>No</v>
      </c>
      <c r="O295" s="1">
        <f t="shared" si="43"/>
        <v>17</v>
      </c>
      <c r="P295" s="1">
        <f t="shared" si="44"/>
        <v>35</v>
      </c>
      <c r="Q295" s="1">
        <f t="shared" si="44"/>
        <v>5</v>
      </c>
      <c r="R295" s="1">
        <f t="shared" si="50"/>
        <v>0</v>
      </c>
      <c r="S295" s="34">
        <f t="shared" si="50"/>
        <v>105.71</v>
      </c>
      <c r="T295" s="1" t="str">
        <f t="shared" si="45"/>
        <v>bowled</v>
      </c>
      <c r="U295" s="1" t="str">
        <f t="shared" si="46"/>
        <v>2</v>
      </c>
      <c r="V295" s="1" t="str">
        <f t="shared" si="47"/>
        <v xml:space="preserve"> South Africa</v>
      </c>
      <c r="W295" s="1" t="str">
        <f t="shared" si="48"/>
        <v>East London</v>
      </c>
      <c r="X295" s="1" t="str">
        <f t="shared" si="49"/>
        <v>Yes</v>
      </c>
      <c r="Y295" s="1"/>
    </row>
    <row r="296" spans="1:25" ht="14.25" customHeight="1">
      <c r="A296" s="1"/>
      <c r="B296" s="1">
        <v>279</v>
      </c>
      <c r="C296" s="1" t="s">
        <v>1100</v>
      </c>
      <c r="D296" s="1" t="s">
        <v>1112</v>
      </c>
      <c r="E296" s="1" t="s">
        <v>306</v>
      </c>
      <c r="F296" s="1" t="s">
        <v>131</v>
      </c>
      <c r="G296" s="1" t="s">
        <v>1113</v>
      </c>
      <c r="H296" s="1" t="s">
        <v>24</v>
      </c>
      <c r="I296" s="1" t="s">
        <v>130</v>
      </c>
      <c r="J296" s="1" t="s">
        <v>1012</v>
      </c>
      <c r="K296" s="1" t="s">
        <v>117</v>
      </c>
      <c r="L296" s="1"/>
      <c r="M296" s="1"/>
      <c r="N296" s="1" t="str">
        <f t="shared" si="42"/>
        <v>No</v>
      </c>
      <c r="O296" s="1">
        <f t="shared" si="43"/>
        <v>36</v>
      </c>
      <c r="P296" s="1">
        <f t="shared" si="44"/>
        <v>132</v>
      </c>
      <c r="Q296" s="1">
        <f t="shared" si="44"/>
        <v>17</v>
      </c>
      <c r="R296" s="1">
        <f t="shared" si="50"/>
        <v>0</v>
      </c>
      <c r="S296" s="34">
        <f t="shared" si="50"/>
        <v>110.6</v>
      </c>
      <c r="T296" s="1" t="str">
        <f t="shared" si="45"/>
        <v>caught</v>
      </c>
      <c r="U296" s="1" t="str">
        <f t="shared" si="46"/>
        <v>1</v>
      </c>
      <c r="V296" s="1" t="str">
        <f t="shared" si="47"/>
        <v xml:space="preserve"> Kenya</v>
      </c>
      <c r="W296" s="1" t="str">
        <f t="shared" si="48"/>
        <v>Paarl</v>
      </c>
      <c r="X296" s="1" t="str">
        <f t="shared" si="49"/>
        <v>Yes</v>
      </c>
      <c r="Y296" s="1"/>
    </row>
    <row r="297" spans="1:25" ht="14.25" customHeight="1">
      <c r="A297" s="1"/>
      <c r="B297" s="1">
        <v>280</v>
      </c>
      <c r="C297" s="1" t="s">
        <v>306</v>
      </c>
      <c r="D297" s="1" t="s">
        <v>386</v>
      </c>
      <c r="E297" s="1" t="s">
        <v>148</v>
      </c>
      <c r="F297" s="1" t="s">
        <v>131</v>
      </c>
      <c r="G297" s="1" t="s">
        <v>1114</v>
      </c>
      <c r="H297" s="1" t="s">
        <v>29</v>
      </c>
      <c r="I297" s="1" t="s">
        <v>130</v>
      </c>
      <c r="J297" s="1" t="s">
        <v>191</v>
      </c>
      <c r="K297" s="1" t="s">
        <v>69</v>
      </c>
      <c r="L297" s="1"/>
      <c r="M297" s="1"/>
      <c r="N297" s="1" t="str">
        <f t="shared" si="42"/>
        <v>No</v>
      </c>
      <c r="O297" s="1">
        <f t="shared" si="43"/>
        <v>45</v>
      </c>
      <c r="P297" s="1">
        <f t="shared" si="44"/>
        <v>42</v>
      </c>
      <c r="Q297" s="1">
        <f t="shared" si="44"/>
        <v>3</v>
      </c>
      <c r="R297" s="1">
        <f t="shared" si="50"/>
        <v>0</v>
      </c>
      <c r="S297" s="34">
        <f t="shared" si="50"/>
        <v>40.47</v>
      </c>
      <c r="T297" s="1" t="str">
        <f t="shared" si="45"/>
        <v>bowled</v>
      </c>
      <c r="U297" s="1" t="str">
        <f t="shared" si="46"/>
        <v>1</v>
      </c>
      <c r="V297" s="1" t="str">
        <f t="shared" si="47"/>
        <v xml:space="preserve"> South Africa</v>
      </c>
      <c r="W297" s="1" t="str">
        <f t="shared" si="48"/>
        <v>Durban</v>
      </c>
      <c r="X297" s="1" t="str">
        <f t="shared" si="49"/>
        <v>Yes</v>
      </c>
      <c r="Y297" s="1"/>
    </row>
    <row r="298" spans="1:25" ht="14.25" customHeight="1">
      <c r="A298" s="1"/>
      <c r="B298" s="1">
        <v>281</v>
      </c>
      <c r="C298" s="1" t="s">
        <v>258</v>
      </c>
      <c r="D298" s="1" t="s">
        <v>321</v>
      </c>
      <c r="E298" s="1" t="s">
        <v>136</v>
      </c>
      <c r="F298" s="1" t="s">
        <v>131</v>
      </c>
      <c r="G298" s="1" t="s">
        <v>1115</v>
      </c>
      <c r="H298" s="1" t="s">
        <v>29</v>
      </c>
      <c r="I298" s="1" t="s">
        <v>130</v>
      </c>
      <c r="J298" s="1" t="s">
        <v>234</v>
      </c>
      <c r="K298" s="1" t="s">
        <v>51</v>
      </c>
      <c r="L298" s="1"/>
      <c r="M298" s="1"/>
      <c r="N298" s="1" t="str">
        <f t="shared" si="42"/>
        <v>No</v>
      </c>
      <c r="O298" s="1">
        <f t="shared" si="43"/>
        <v>68</v>
      </c>
      <c r="P298" s="1">
        <f t="shared" si="44"/>
        <v>43</v>
      </c>
      <c r="Q298" s="1">
        <f t="shared" si="44"/>
        <v>6</v>
      </c>
      <c r="R298" s="1">
        <f t="shared" si="50"/>
        <v>0</v>
      </c>
      <c r="S298" s="34">
        <f t="shared" si="50"/>
        <v>83.72</v>
      </c>
      <c r="T298" s="1" t="str">
        <f t="shared" si="45"/>
        <v>bowled</v>
      </c>
      <c r="U298" s="1" t="str">
        <f t="shared" si="46"/>
        <v>1</v>
      </c>
      <c r="V298" s="1" t="str">
        <f t="shared" si="47"/>
        <v xml:space="preserve"> England</v>
      </c>
      <c r="W298" s="1" t="str">
        <f t="shared" si="48"/>
        <v>Eden Gardens</v>
      </c>
      <c r="X298" s="1" t="str">
        <f t="shared" si="49"/>
        <v>Yes</v>
      </c>
      <c r="Y298" s="1"/>
    </row>
    <row r="299" spans="1:25" ht="14.25" customHeight="1">
      <c r="A299" s="1"/>
      <c r="B299" s="1">
        <v>282</v>
      </c>
      <c r="C299" s="1" t="s">
        <v>405</v>
      </c>
      <c r="D299" s="1" t="s">
        <v>380</v>
      </c>
      <c r="E299" s="1" t="s">
        <v>136</v>
      </c>
      <c r="F299" s="1" t="s">
        <v>131</v>
      </c>
      <c r="G299" s="1" t="s">
        <v>178</v>
      </c>
      <c r="H299" s="1" t="s">
        <v>26</v>
      </c>
      <c r="I299" s="1" t="s">
        <v>151</v>
      </c>
      <c r="J299" s="1" t="s">
        <v>234</v>
      </c>
      <c r="K299" s="1" t="s">
        <v>86</v>
      </c>
      <c r="L299" s="1"/>
      <c r="M299" s="1"/>
      <c r="N299" s="1" t="str">
        <f t="shared" si="42"/>
        <v>No</v>
      </c>
      <c r="O299" s="1">
        <f t="shared" si="43"/>
        <v>87</v>
      </c>
      <c r="P299" s="1">
        <f t="shared" si="44"/>
        <v>60</v>
      </c>
      <c r="Q299" s="1">
        <f t="shared" si="44"/>
        <v>6</v>
      </c>
      <c r="R299" s="1">
        <f t="shared" si="50"/>
        <v>0</v>
      </c>
      <c r="S299" s="34">
        <f t="shared" si="50"/>
        <v>75</v>
      </c>
      <c r="T299" s="1" t="str">
        <f t="shared" si="45"/>
        <v>run out</v>
      </c>
      <c r="U299" s="1" t="str">
        <f t="shared" si="46"/>
        <v>2</v>
      </c>
      <c r="V299" s="1" t="str">
        <f t="shared" si="47"/>
        <v xml:space="preserve"> England</v>
      </c>
      <c r="W299" s="1" t="str">
        <f t="shared" si="48"/>
        <v>Cuttack</v>
      </c>
      <c r="X299" s="1" t="str">
        <f t="shared" si="49"/>
        <v>Yes</v>
      </c>
      <c r="Y299" s="1"/>
    </row>
    <row r="300" spans="1:25" ht="14.25" customHeight="1">
      <c r="A300" s="1"/>
      <c r="B300" s="1">
        <v>283</v>
      </c>
      <c r="C300" s="1" t="s">
        <v>184</v>
      </c>
      <c r="D300" s="1" t="s">
        <v>311</v>
      </c>
      <c r="E300" s="1" t="s">
        <v>167</v>
      </c>
      <c r="F300" s="1" t="s">
        <v>131</v>
      </c>
      <c r="G300" s="1" t="s">
        <v>1116</v>
      </c>
      <c r="H300" s="1" t="s">
        <v>19</v>
      </c>
      <c r="I300" s="1" t="s">
        <v>151</v>
      </c>
      <c r="J300" s="1" t="s">
        <v>234</v>
      </c>
      <c r="K300" s="1" t="s">
        <v>68</v>
      </c>
      <c r="L300" s="1"/>
      <c r="M300" s="1"/>
      <c r="N300" s="1" t="str">
        <f t="shared" si="42"/>
        <v>No</v>
      </c>
      <c r="O300" s="1">
        <f t="shared" si="43"/>
        <v>18</v>
      </c>
      <c r="P300" s="1">
        <f t="shared" si="44"/>
        <v>79</v>
      </c>
      <c r="Q300" s="1">
        <f t="shared" si="44"/>
        <v>10</v>
      </c>
      <c r="R300" s="1">
        <f t="shared" si="50"/>
        <v>0</v>
      </c>
      <c r="S300" s="34">
        <f t="shared" si="50"/>
        <v>86.07</v>
      </c>
      <c r="T300" s="1" t="str">
        <f t="shared" si="45"/>
        <v>lbw</v>
      </c>
      <c r="U300" s="1" t="str">
        <f t="shared" si="46"/>
        <v>2</v>
      </c>
      <c r="V300" s="1" t="str">
        <f t="shared" si="47"/>
        <v xml:space="preserve"> England</v>
      </c>
      <c r="W300" s="1" t="str">
        <f t="shared" si="48"/>
        <v>Chennai</v>
      </c>
      <c r="X300" s="1" t="str">
        <f t="shared" si="49"/>
        <v>Yes</v>
      </c>
      <c r="Y300" s="1"/>
    </row>
    <row r="301" spans="1:25" ht="14.25" customHeight="1">
      <c r="A301" s="1"/>
      <c r="B301" s="1">
        <v>284</v>
      </c>
      <c r="C301" s="1" t="s">
        <v>227</v>
      </c>
      <c r="D301" s="1" t="s">
        <v>135</v>
      </c>
      <c r="E301" s="1" t="s">
        <v>325</v>
      </c>
      <c r="F301" s="1" t="s">
        <v>130</v>
      </c>
      <c r="G301" s="1" t="s">
        <v>1117</v>
      </c>
      <c r="H301" s="1" t="s">
        <v>32</v>
      </c>
      <c r="I301" s="1" t="s">
        <v>151</v>
      </c>
      <c r="J301" s="1" t="s">
        <v>234</v>
      </c>
      <c r="K301" s="1" t="s">
        <v>101</v>
      </c>
      <c r="L301" s="1"/>
      <c r="M301" s="1"/>
      <c r="N301" s="1" t="str">
        <f t="shared" si="42"/>
        <v>No</v>
      </c>
      <c r="O301" s="1">
        <f t="shared" si="43"/>
        <v>12</v>
      </c>
      <c r="P301" s="1">
        <f t="shared" si="44"/>
        <v>67</v>
      </c>
      <c r="Q301" s="1">
        <f t="shared" si="44"/>
        <v>13</v>
      </c>
      <c r="R301" s="1">
        <f t="shared" si="50"/>
        <v>1</v>
      </c>
      <c r="S301" s="34">
        <f t="shared" si="50"/>
        <v>129.85</v>
      </c>
      <c r="T301" s="1" t="str">
        <f t="shared" si="45"/>
        <v>not out</v>
      </c>
      <c r="U301" s="1" t="str">
        <f t="shared" si="46"/>
        <v>2</v>
      </c>
      <c r="V301" s="1" t="str">
        <f t="shared" si="47"/>
        <v xml:space="preserve"> England</v>
      </c>
      <c r="W301" s="1" t="str">
        <f t="shared" si="48"/>
        <v>Kanpur</v>
      </c>
      <c r="X301" s="1" t="str">
        <f t="shared" si="49"/>
        <v>No</v>
      </c>
      <c r="Y301" s="1"/>
    </row>
    <row r="302" spans="1:25" ht="14.25" customHeight="1">
      <c r="A302" s="1"/>
      <c r="B302" s="1">
        <v>285</v>
      </c>
      <c r="C302" s="1" t="s">
        <v>199</v>
      </c>
      <c r="D302" s="1" t="s">
        <v>153</v>
      </c>
      <c r="E302" s="1" t="s">
        <v>148</v>
      </c>
      <c r="F302" s="1" t="s">
        <v>131</v>
      </c>
      <c r="G302" s="1" t="s">
        <v>905</v>
      </c>
      <c r="H302" s="1" t="s">
        <v>24</v>
      </c>
      <c r="I302" s="1" t="s">
        <v>151</v>
      </c>
      <c r="J302" s="1" t="s">
        <v>234</v>
      </c>
      <c r="K302" s="1" t="s">
        <v>52</v>
      </c>
      <c r="L302" s="1"/>
      <c r="M302" s="1"/>
      <c r="N302" s="1" t="str">
        <f t="shared" si="42"/>
        <v>No</v>
      </c>
      <c r="O302" s="1">
        <f t="shared" si="43"/>
        <v>34</v>
      </c>
      <c r="P302" s="1">
        <f t="shared" si="44"/>
        <v>16</v>
      </c>
      <c r="Q302" s="1">
        <f t="shared" si="44"/>
        <v>3</v>
      </c>
      <c r="R302" s="1">
        <f t="shared" si="50"/>
        <v>0</v>
      </c>
      <c r="S302" s="34">
        <f t="shared" si="50"/>
        <v>112.5</v>
      </c>
      <c r="T302" s="1" t="str">
        <f t="shared" si="45"/>
        <v>caught</v>
      </c>
      <c r="U302" s="1" t="str">
        <f t="shared" si="46"/>
        <v>2</v>
      </c>
      <c r="V302" s="1" t="str">
        <f t="shared" si="47"/>
        <v xml:space="preserve"> England</v>
      </c>
      <c r="W302" s="1" t="str">
        <f t="shared" si="48"/>
        <v>Delhi</v>
      </c>
      <c r="X302" s="1" t="str">
        <f t="shared" si="49"/>
        <v>Yes</v>
      </c>
      <c r="Y302" s="1"/>
    </row>
    <row r="303" spans="1:25" ht="14.25" customHeight="1">
      <c r="A303" s="1"/>
      <c r="B303" s="1">
        <v>286</v>
      </c>
      <c r="C303" s="1" t="s">
        <v>128</v>
      </c>
      <c r="D303" s="1" t="s">
        <v>199</v>
      </c>
      <c r="E303" s="1" t="s">
        <v>130</v>
      </c>
      <c r="F303" s="1" t="s">
        <v>130</v>
      </c>
      <c r="G303" s="1" t="s">
        <v>155</v>
      </c>
      <c r="H303" s="1" t="s">
        <v>24</v>
      </c>
      <c r="I303" s="1" t="s">
        <v>151</v>
      </c>
      <c r="J303" s="1" t="s">
        <v>234</v>
      </c>
      <c r="K303" s="1" t="s">
        <v>75</v>
      </c>
      <c r="L303" s="1"/>
      <c r="M303" s="1"/>
      <c r="N303" s="1" t="str">
        <f t="shared" si="42"/>
        <v>No</v>
      </c>
      <c r="O303" s="1">
        <f t="shared" si="43"/>
        <v>65</v>
      </c>
      <c r="P303" s="1">
        <f t="shared" si="44"/>
        <v>18</v>
      </c>
      <c r="Q303" s="1">
        <f t="shared" si="44"/>
        <v>1</v>
      </c>
      <c r="R303" s="1">
        <f t="shared" si="50"/>
        <v>1</v>
      </c>
      <c r="S303" s="34">
        <f t="shared" si="50"/>
        <v>66.66</v>
      </c>
      <c r="T303" s="1" t="str">
        <f t="shared" si="45"/>
        <v>caught</v>
      </c>
      <c r="U303" s="1" t="str">
        <f t="shared" si="46"/>
        <v>2</v>
      </c>
      <c r="V303" s="1" t="str">
        <f t="shared" si="47"/>
        <v xml:space="preserve"> England</v>
      </c>
      <c r="W303" s="1" t="str">
        <f t="shared" si="48"/>
        <v>Wankhede</v>
      </c>
      <c r="X303" s="1" t="str">
        <f t="shared" si="49"/>
        <v>Yes</v>
      </c>
      <c r="Y303" s="1"/>
    </row>
    <row r="304" spans="1:25" ht="14.25" customHeight="1">
      <c r="A304" s="1"/>
      <c r="B304" s="1">
        <v>287</v>
      </c>
      <c r="C304" s="1" t="s">
        <v>479</v>
      </c>
      <c r="D304" s="1" t="s">
        <v>405</v>
      </c>
      <c r="E304" s="1" t="s">
        <v>151</v>
      </c>
      <c r="F304" s="1" t="s">
        <v>131</v>
      </c>
      <c r="G304" s="1" t="s">
        <v>1118</v>
      </c>
      <c r="H304" s="1" t="s">
        <v>32</v>
      </c>
      <c r="I304" s="1" t="s">
        <v>151</v>
      </c>
      <c r="J304" s="1" t="s">
        <v>163</v>
      </c>
      <c r="K304" s="1" t="s">
        <v>120</v>
      </c>
      <c r="L304" s="1"/>
      <c r="M304" s="1"/>
      <c r="N304" s="1" t="str">
        <f t="shared" si="42"/>
        <v>No</v>
      </c>
      <c r="O304" s="1">
        <f t="shared" si="43"/>
        <v>1</v>
      </c>
      <c r="P304" s="1">
        <f t="shared" si="44"/>
        <v>45</v>
      </c>
      <c r="Q304" s="1">
        <f t="shared" si="44"/>
        <v>2</v>
      </c>
      <c r="R304" s="1">
        <f t="shared" si="50"/>
        <v>0</v>
      </c>
      <c r="S304" s="34">
        <f t="shared" si="50"/>
        <v>75.55</v>
      </c>
      <c r="T304" s="1" t="str">
        <f t="shared" si="45"/>
        <v>not out</v>
      </c>
      <c r="U304" s="1" t="str">
        <f t="shared" si="46"/>
        <v>2</v>
      </c>
      <c r="V304" s="1" t="str">
        <f t="shared" si="47"/>
        <v xml:space="preserve"> West Indies</v>
      </c>
      <c r="W304" s="1" t="str">
        <f t="shared" si="48"/>
        <v>Bridgetown</v>
      </c>
      <c r="X304" s="1" t="str">
        <f t="shared" si="49"/>
        <v>No</v>
      </c>
      <c r="Y304" s="1"/>
    </row>
    <row r="305" spans="1:25" ht="14.25" customHeight="1">
      <c r="A305" s="1"/>
      <c r="B305" s="1">
        <v>288</v>
      </c>
      <c r="C305" s="1" t="s">
        <v>172</v>
      </c>
      <c r="D305" s="1" t="s">
        <v>222</v>
      </c>
      <c r="E305" s="1" t="s">
        <v>148</v>
      </c>
      <c r="F305" s="1" t="s">
        <v>130</v>
      </c>
      <c r="G305" s="1" t="s">
        <v>462</v>
      </c>
      <c r="H305" s="1" t="s">
        <v>29</v>
      </c>
      <c r="I305" s="1" t="s">
        <v>130</v>
      </c>
      <c r="J305" s="1" t="s">
        <v>163</v>
      </c>
      <c r="K305" s="1" t="s">
        <v>76</v>
      </c>
      <c r="L305" s="1"/>
      <c r="M305" s="1"/>
      <c r="N305" s="1" t="str">
        <f t="shared" si="42"/>
        <v>No</v>
      </c>
      <c r="O305" s="1">
        <f t="shared" si="43"/>
        <v>49</v>
      </c>
      <c r="P305" s="1">
        <f t="shared" si="44"/>
        <v>70</v>
      </c>
      <c r="Q305" s="1">
        <f t="shared" si="44"/>
        <v>3</v>
      </c>
      <c r="R305" s="1">
        <f t="shared" si="50"/>
        <v>1</v>
      </c>
      <c r="S305" s="34">
        <f t="shared" si="50"/>
        <v>92.85</v>
      </c>
      <c r="T305" s="1" t="str">
        <f t="shared" si="45"/>
        <v>bowled</v>
      </c>
      <c r="U305" s="1" t="str">
        <f t="shared" si="46"/>
        <v>1</v>
      </c>
      <c r="V305" s="1" t="str">
        <f t="shared" si="47"/>
        <v xml:space="preserve"> West Indies</v>
      </c>
      <c r="W305" s="1" t="str">
        <f t="shared" si="48"/>
        <v>Port of Spain</v>
      </c>
      <c r="X305" s="1" t="str">
        <f t="shared" si="49"/>
        <v>Yes</v>
      </c>
      <c r="Y305" s="1"/>
    </row>
    <row r="306" spans="1:25" ht="14.25" customHeight="1">
      <c r="A306" s="1"/>
      <c r="B306" s="1">
        <v>289</v>
      </c>
      <c r="C306" s="1" t="s">
        <v>130</v>
      </c>
      <c r="D306" s="1" t="s">
        <v>161</v>
      </c>
      <c r="E306" s="1" t="s">
        <v>131</v>
      </c>
      <c r="F306" s="1" t="s">
        <v>131</v>
      </c>
      <c r="G306" s="1" t="s">
        <v>895</v>
      </c>
      <c r="H306" s="1" t="s">
        <v>19</v>
      </c>
      <c r="I306" s="1" t="s">
        <v>151</v>
      </c>
      <c r="J306" s="1" t="s">
        <v>234</v>
      </c>
      <c r="K306" s="1" t="s">
        <v>82</v>
      </c>
      <c r="L306" s="1"/>
      <c r="M306" s="1"/>
      <c r="N306" s="1" t="str">
        <f t="shared" si="42"/>
        <v>No</v>
      </c>
      <c r="O306" s="1">
        <f t="shared" si="43"/>
        <v>105</v>
      </c>
      <c r="P306" s="1">
        <f t="shared" si="44"/>
        <v>9</v>
      </c>
      <c r="Q306" s="1">
        <f t="shared" si="44"/>
        <v>0</v>
      </c>
      <c r="R306" s="1">
        <f t="shared" si="50"/>
        <v>0</v>
      </c>
      <c r="S306" s="34">
        <f t="shared" si="50"/>
        <v>11.11</v>
      </c>
      <c r="T306" s="1" t="str">
        <f t="shared" si="45"/>
        <v>lbw</v>
      </c>
      <c r="U306" s="1" t="str">
        <f t="shared" si="46"/>
        <v>2</v>
      </c>
      <c r="V306" s="1" t="str">
        <f t="shared" si="47"/>
        <v xml:space="preserve"> England</v>
      </c>
      <c r="W306" s="1" t="str">
        <f t="shared" si="48"/>
        <v>Lord's</v>
      </c>
      <c r="X306" s="1" t="str">
        <f t="shared" si="49"/>
        <v>Yes</v>
      </c>
      <c r="Y306" s="1"/>
    </row>
    <row r="307" spans="1:25" ht="14.25" customHeight="1">
      <c r="A307" s="1"/>
      <c r="B307" s="1">
        <v>290</v>
      </c>
      <c r="C307" s="1" t="s">
        <v>249</v>
      </c>
      <c r="D307" s="1" t="s">
        <v>222</v>
      </c>
      <c r="E307" s="1" t="s">
        <v>148</v>
      </c>
      <c r="F307" s="1" t="s">
        <v>130</v>
      </c>
      <c r="G307" s="1" t="s">
        <v>493</v>
      </c>
      <c r="H307" s="1" t="s">
        <v>24</v>
      </c>
      <c r="I307" s="1" t="s">
        <v>151</v>
      </c>
      <c r="J307" s="1" t="s">
        <v>133</v>
      </c>
      <c r="K307" s="1" t="s">
        <v>81</v>
      </c>
      <c r="L307" s="1"/>
      <c r="M307" s="1"/>
      <c r="N307" s="1" t="str">
        <f t="shared" si="42"/>
        <v>No</v>
      </c>
      <c r="O307" s="1">
        <f t="shared" si="43"/>
        <v>19</v>
      </c>
      <c r="P307" s="1">
        <f t="shared" si="44"/>
        <v>70</v>
      </c>
      <c r="Q307" s="1">
        <f t="shared" si="44"/>
        <v>3</v>
      </c>
      <c r="R307" s="1">
        <f t="shared" si="50"/>
        <v>1</v>
      </c>
      <c r="S307" s="34">
        <f t="shared" si="50"/>
        <v>70</v>
      </c>
      <c r="T307" s="1" t="str">
        <f t="shared" si="45"/>
        <v>caught</v>
      </c>
      <c r="U307" s="1" t="str">
        <f t="shared" si="46"/>
        <v>2</v>
      </c>
      <c r="V307" s="1" t="str">
        <f t="shared" si="47"/>
        <v xml:space="preserve"> Sri Lanka</v>
      </c>
      <c r="W307" s="1" t="str">
        <f t="shared" si="48"/>
        <v>The Oval</v>
      </c>
      <c r="X307" s="1" t="str">
        <f t="shared" si="49"/>
        <v>Yes</v>
      </c>
      <c r="Y307" s="1"/>
    </row>
    <row r="308" spans="1:25" ht="14.25" customHeight="1">
      <c r="A308" s="1"/>
      <c r="B308" s="1">
        <v>291</v>
      </c>
      <c r="C308" s="1" t="s">
        <v>1119</v>
      </c>
      <c r="D308" s="1" t="s">
        <v>290</v>
      </c>
      <c r="E308" s="1" t="s">
        <v>189</v>
      </c>
      <c r="F308" s="1" t="s">
        <v>130</v>
      </c>
      <c r="G308" s="1" t="s">
        <v>1120</v>
      </c>
      <c r="H308" s="1" t="s">
        <v>32</v>
      </c>
      <c r="I308" s="1" t="s">
        <v>130</v>
      </c>
      <c r="J308" s="1" t="s">
        <v>234</v>
      </c>
      <c r="K308" s="1" t="s">
        <v>79</v>
      </c>
      <c r="L308" s="1"/>
      <c r="M308" s="1"/>
      <c r="N308" s="1" t="str">
        <f t="shared" si="42"/>
        <v>No</v>
      </c>
      <c r="O308" s="1">
        <f t="shared" si="43"/>
        <v>36</v>
      </c>
      <c r="P308" s="1">
        <f t="shared" si="44"/>
        <v>108</v>
      </c>
      <c r="Q308" s="1">
        <f t="shared" si="44"/>
        <v>8</v>
      </c>
      <c r="R308" s="1">
        <f t="shared" si="50"/>
        <v>1</v>
      </c>
      <c r="S308" s="34">
        <f t="shared" si="50"/>
        <v>97.22</v>
      </c>
      <c r="T308" s="1" t="str">
        <f t="shared" si="45"/>
        <v>not out</v>
      </c>
      <c r="U308" s="1" t="str">
        <f t="shared" si="46"/>
        <v>1</v>
      </c>
      <c r="V308" s="1" t="str">
        <f t="shared" si="47"/>
        <v xml:space="preserve"> England</v>
      </c>
      <c r="W308" s="1" t="str">
        <f t="shared" si="48"/>
        <v>Chester-le-Street</v>
      </c>
      <c r="X308" s="1" t="str">
        <f t="shared" si="49"/>
        <v>No</v>
      </c>
      <c r="Y308" s="1"/>
    </row>
    <row r="309" spans="1:25" ht="14.25" customHeight="1">
      <c r="A309" s="1"/>
      <c r="B309" s="1">
        <v>292</v>
      </c>
      <c r="C309" s="1" t="s">
        <v>170</v>
      </c>
      <c r="D309" s="1" t="s">
        <v>138</v>
      </c>
      <c r="E309" s="1" t="s">
        <v>148</v>
      </c>
      <c r="F309" s="1" t="s">
        <v>131</v>
      </c>
      <c r="G309" s="1" t="s">
        <v>685</v>
      </c>
      <c r="H309" s="1" t="s">
        <v>24</v>
      </c>
      <c r="I309" s="1" t="s">
        <v>151</v>
      </c>
      <c r="J309" s="1" t="s">
        <v>133</v>
      </c>
      <c r="K309" s="1" t="s">
        <v>99</v>
      </c>
      <c r="L309" s="1"/>
      <c r="M309" s="1"/>
      <c r="N309" s="1" t="str">
        <f t="shared" si="42"/>
        <v>No</v>
      </c>
      <c r="O309" s="1">
        <f t="shared" si="43"/>
        <v>113</v>
      </c>
      <c r="P309" s="1">
        <f t="shared" si="44"/>
        <v>25</v>
      </c>
      <c r="Q309" s="1">
        <f t="shared" si="44"/>
        <v>3</v>
      </c>
      <c r="R309" s="1">
        <f t="shared" si="50"/>
        <v>0</v>
      </c>
      <c r="S309" s="34">
        <f t="shared" si="50"/>
        <v>76</v>
      </c>
      <c r="T309" s="1" t="str">
        <f t="shared" si="45"/>
        <v>caught</v>
      </c>
      <c r="U309" s="1" t="str">
        <f t="shared" si="46"/>
        <v>2</v>
      </c>
      <c r="V309" s="1" t="str">
        <f t="shared" si="47"/>
        <v xml:space="preserve"> Sri Lanka</v>
      </c>
      <c r="W309" s="1" t="str">
        <f t="shared" si="48"/>
        <v>Birmingham</v>
      </c>
      <c r="X309" s="1" t="str">
        <f t="shared" si="49"/>
        <v>Yes</v>
      </c>
      <c r="Y309" s="1"/>
    </row>
    <row r="310" spans="1:25" ht="14.25" customHeight="1">
      <c r="A310" s="1"/>
      <c r="B310" s="1">
        <v>293</v>
      </c>
      <c r="C310" s="1" t="s">
        <v>258</v>
      </c>
      <c r="D310" s="1" t="s">
        <v>200</v>
      </c>
      <c r="E310" s="1" t="s">
        <v>202</v>
      </c>
      <c r="F310" s="1" t="s">
        <v>131</v>
      </c>
      <c r="G310" s="1" t="s">
        <v>1121</v>
      </c>
      <c r="H310" s="1" t="s">
        <v>24</v>
      </c>
      <c r="I310" s="1" t="s">
        <v>151</v>
      </c>
      <c r="J310" s="1" t="s">
        <v>234</v>
      </c>
      <c r="K310" s="1" t="s">
        <v>81</v>
      </c>
      <c r="L310" s="1"/>
      <c r="M310" s="1"/>
      <c r="N310" s="1" t="str">
        <f t="shared" si="42"/>
        <v>No</v>
      </c>
      <c r="O310" s="1">
        <f t="shared" si="43"/>
        <v>14</v>
      </c>
      <c r="P310" s="1">
        <f t="shared" si="44"/>
        <v>29</v>
      </c>
      <c r="Q310" s="1">
        <f t="shared" si="44"/>
        <v>5</v>
      </c>
      <c r="R310" s="1">
        <f t="shared" si="50"/>
        <v>0</v>
      </c>
      <c r="S310" s="34">
        <f t="shared" si="50"/>
        <v>124.13</v>
      </c>
      <c r="T310" s="1" t="str">
        <f t="shared" si="45"/>
        <v>caught</v>
      </c>
      <c r="U310" s="1" t="str">
        <f t="shared" si="46"/>
        <v>2</v>
      </c>
      <c r="V310" s="1" t="str">
        <f t="shared" si="47"/>
        <v xml:space="preserve"> England</v>
      </c>
      <c r="W310" s="1" t="str">
        <f t="shared" si="48"/>
        <v>The Oval</v>
      </c>
      <c r="X310" s="1" t="str">
        <f t="shared" si="49"/>
        <v>Yes</v>
      </c>
      <c r="Y310" s="1"/>
    </row>
    <row r="311" spans="1:25" ht="14.25" customHeight="1">
      <c r="A311" s="1"/>
      <c r="B311" s="1">
        <v>294</v>
      </c>
      <c r="C311" s="1" t="s">
        <v>297</v>
      </c>
      <c r="D311" s="1" t="s">
        <v>180</v>
      </c>
      <c r="E311" s="1" t="s">
        <v>128</v>
      </c>
      <c r="F311" s="1" t="s">
        <v>130</v>
      </c>
      <c r="G311" s="1" t="s">
        <v>1122</v>
      </c>
      <c r="H311" s="1" t="s">
        <v>24</v>
      </c>
      <c r="I311" s="1" t="s">
        <v>130</v>
      </c>
      <c r="J311" s="1" t="s">
        <v>133</v>
      </c>
      <c r="K311" s="1" t="s">
        <v>612</v>
      </c>
      <c r="L311" s="1"/>
      <c r="M311" s="1"/>
      <c r="N311" s="1" t="str">
        <f t="shared" si="42"/>
        <v>No</v>
      </c>
      <c r="O311" s="1">
        <f t="shared" si="43"/>
        <v>7</v>
      </c>
      <c r="P311" s="1">
        <f t="shared" si="44"/>
        <v>102</v>
      </c>
      <c r="Q311" s="1">
        <f t="shared" si="44"/>
        <v>12</v>
      </c>
      <c r="R311" s="1">
        <f t="shared" si="50"/>
        <v>1</v>
      </c>
      <c r="S311" s="34">
        <f t="shared" si="50"/>
        <v>110.78</v>
      </c>
      <c r="T311" s="1" t="str">
        <f t="shared" si="45"/>
        <v>caught</v>
      </c>
      <c r="U311" s="1" t="str">
        <f t="shared" si="46"/>
        <v>1</v>
      </c>
      <c r="V311" s="1" t="str">
        <f t="shared" si="47"/>
        <v xml:space="preserve"> Sri Lanka</v>
      </c>
      <c r="W311" s="1" t="str">
        <f t="shared" si="48"/>
        <v>Bristol</v>
      </c>
      <c r="X311" s="1" t="str">
        <f t="shared" si="49"/>
        <v>Yes</v>
      </c>
      <c r="Y311" s="1"/>
    </row>
    <row r="312" spans="1:25" ht="14.25" customHeight="1">
      <c r="A312" s="1"/>
      <c r="B312" s="1">
        <v>295</v>
      </c>
      <c r="C312" s="1" t="s">
        <v>205</v>
      </c>
      <c r="D312" s="1" t="s">
        <v>170</v>
      </c>
      <c r="E312" s="1" t="s">
        <v>130</v>
      </c>
      <c r="F312" s="1" t="s">
        <v>131</v>
      </c>
      <c r="G312" s="1" t="s">
        <v>522</v>
      </c>
      <c r="H312" s="1" t="s">
        <v>29</v>
      </c>
      <c r="I312" s="1" t="s">
        <v>151</v>
      </c>
      <c r="J312" s="1" t="s">
        <v>234</v>
      </c>
      <c r="K312" s="1" t="s">
        <v>82</v>
      </c>
      <c r="L312" s="1"/>
      <c r="M312" s="1"/>
      <c r="N312" s="1" t="str">
        <f t="shared" si="42"/>
        <v>No</v>
      </c>
      <c r="O312" s="1">
        <f t="shared" si="43"/>
        <v>9</v>
      </c>
      <c r="P312" s="1">
        <f t="shared" si="44"/>
        <v>19</v>
      </c>
      <c r="Q312" s="1">
        <f t="shared" si="44"/>
        <v>1</v>
      </c>
      <c r="R312" s="1">
        <f t="shared" si="50"/>
        <v>0</v>
      </c>
      <c r="S312" s="34">
        <f t="shared" si="50"/>
        <v>73.680000000000007</v>
      </c>
      <c r="T312" s="1" t="str">
        <f t="shared" si="45"/>
        <v>bowled</v>
      </c>
      <c r="U312" s="1" t="str">
        <f t="shared" si="46"/>
        <v>2</v>
      </c>
      <c r="V312" s="1" t="str">
        <f t="shared" si="47"/>
        <v xml:space="preserve"> England</v>
      </c>
      <c r="W312" s="1" t="str">
        <f t="shared" si="48"/>
        <v>Lord's</v>
      </c>
      <c r="X312" s="1" t="str">
        <f t="shared" si="49"/>
        <v>Yes</v>
      </c>
      <c r="Y312" s="1"/>
    </row>
    <row r="313" spans="1:25" ht="14.25" customHeight="1">
      <c r="A313" s="1"/>
      <c r="B313" s="1">
        <v>296</v>
      </c>
      <c r="C313" s="1" t="s">
        <v>144</v>
      </c>
      <c r="D313" s="1" t="s">
        <v>153</v>
      </c>
      <c r="E313" s="1" t="s">
        <v>131</v>
      </c>
      <c r="F313" s="1" t="s">
        <v>131</v>
      </c>
      <c r="G313" s="1" t="s">
        <v>1123</v>
      </c>
      <c r="H313" s="1" t="s">
        <v>24</v>
      </c>
      <c r="I313" s="1" t="s">
        <v>130</v>
      </c>
      <c r="J313" s="1" t="s">
        <v>195</v>
      </c>
      <c r="K313" s="1" t="s">
        <v>27</v>
      </c>
      <c r="L313" s="1"/>
      <c r="M313" s="1"/>
      <c r="N313" s="1" t="str">
        <f t="shared" si="42"/>
        <v>No</v>
      </c>
      <c r="O313" s="1">
        <f t="shared" si="43"/>
        <v>16</v>
      </c>
      <c r="P313" s="1">
        <f t="shared" si="44"/>
        <v>16</v>
      </c>
      <c r="Q313" s="1">
        <f t="shared" si="44"/>
        <v>0</v>
      </c>
      <c r="R313" s="1">
        <f t="shared" si="50"/>
        <v>0</v>
      </c>
      <c r="S313" s="34">
        <f t="shared" si="50"/>
        <v>43.75</v>
      </c>
      <c r="T313" s="1" t="str">
        <f t="shared" si="45"/>
        <v>caught</v>
      </c>
      <c r="U313" s="1" t="str">
        <f t="shared" si="46"/>
        <v>1</v>
      </c>
      <c r="V313" s="1" t="str">
        <f t="shared" si="47"/>
        <v xml:space="preserve"> Zimbabwe</v>
      </c>
      <c r="W313" s="1" t="str">
        <f t="shared" si="48"/>
        <v>Colombo (RPS)</v>
      </c>
      <c r="X313" s="1" t="str">
        <f t="shared" si="49"/>
        <v>Yes</v>
      </c>
      <c r="Y313" s="1"/>
    </row>
    <row r="314" spans="1:25" ht="14.25" customHeight="1">
      <c r="A314" s="1"/>
      <c r="B314" s="1">
        <v>297</v>
      </c>
      <c r="C314" s="1" t="s">
        <v>763</v>
      </c>
      <c r="D314" s="1" t="s">
        <v>238</v>
      </c>
      <c r="E314" s="1" t="s">
        <v>131</v>
      </c>
      <c r="F314" s="1" t="s">
        <v>131</v>
      </c>
      <c r="G314" s="1" t="s">
        <v>1124</v>
      </c>
      <c r="H314" s="1" t="s">
        <v>32</v>
      </c>
      <c r="I314" s="1" t="s">
        <v>151</v>
      </c>
      <c r="J314" s="1" t="s">
        <v>234</v>
      </c>
      <c r="K314" s="1" t="s">
        <v>27</v>
      </c>
      <c r="L314" s="1"/>
      <c r="M314" s="1"/>
      <c r="N314" s="1" t="str">
        <f t="shared" si="42"/>
        <v>No</v>
      </c>
      <c r="O314" s="1" t="str">
        <f t="shared" si="43"/>
        <v>NA</v>
      </c>
      <c r="P314" s="1">
        <f t="shared" si="44"/>
        <v>20</v>
      </c>
      <c r="Q314" s="1">
        <f t="shared" si="44"/>
        <v>0</v>
      </c>
      <c r="R314" s="1">
        <f t="shared" si="50"/>
        <v>0</v>
      </c>
      <c r="S314" s="34">
        <f t="shared" si="50"/>
        <v>45</v>
      </c>
      <c r="T314" s="1" t="str">
        <f t="shared" si="45"/>
        <v>not out</v>
      </c>
      <c r="U314" s="1" t="str">
        <f t="shared" si="46"/>
        <v>2</v>
      </c>
      <c r="V314" s="1" t="str">
        <f t="shared" si="47"/>
        <v xml:space="preserve"> England</v>
      </c>
      <c r="W314" s="1" t="str">
        <f t="shared" si="48"/>
        <v>Colombo (RPS)</v>
      </c>
      <c r="X314" s="1" t="str">
        <f t="shared" si="49"/>
        <v>No</v>
      </c>
      <c r="Y314" s="1"/>
    </row>
    <row r="315" spans="1:25" ht="14.25" customHeight="1">
      <c r="A315" s="1"/>
      <c r="B315" s="1">
        <v>298</v>
      </c>
      <c r="C315" s="1" t="s">
        <v>153</v>
      </c>
      <c r="D315" s="1" t="s">
        <v>200</v>
      </c>
      <c r="E315" s="1" t="s">
        <v>130</v>
      </c>
      <c r="F315" s="1" t="s">
        <v>131</v>
      </c>
      <c r="G315" s="1" t="s">
        <v>1125</v>
      </c>
      <c r="H315" s="1" t="s">
        <v>26</v>
      </c>
      <c r="I315" s="1" t="s">
        <v>130</v>
      </c>
      <c r="J315" s="1" t="s">
        <v>191</v>
      </c>
      <c r="K315" s="1" t="s">
        <v>27</v>
      </c>
      <c r="L315" s="1"/>
      <c r="M315" s="1"/>
      <c r="N315" s="1" t="str">
        <f t="shared" si="42"/>
        <v>No</v>
      </c>
      <c r="O315" s="1">
        <f t="shared" si="43"/>
        <v>7</v>
      </c>
      <c r="P315" s="1">
        <f t="shared" si="44"/>
        <v>29</v>
      </c>
      <c r="Q315" s="1">
        <f t="shared" si="44"/>
        <v>1</v>
      </c>
      <c r="R315" s="1">
        <f t="shared" si="50"/>
        <v>0</v>
      </c>
      <c r="S315" s="34">
        <f t="shared" si="50"/>
        <v>55.17</v>
      </c>
      <c r="T315" s="1" t="str">
        <f t="shared" si="45"/>
        <v>run out</v>
      </c>
      <c r="U315" s="1" t="str">
        <f t="shared" si="46"/>
        <v>1</v>
      </c>
      <c r="V315" s="1" t="str">
        <f t="shared" si="47"/>
        <v xml:space="preserve"> South Africa</v>
      </c>
      <c r="W315" s="1" t="str">
        <f t="shared" si="48"/>
        <v>Colombo (RPS)</v>
      </c>
      <c r="X315" s="1" t="str">
        <f t="shared" si="49"/>
        <v>Yes</v>
      </c>
      <c r="Y315" s="1"/>
    </row>
    <row r="316" spans="1:25" ht="14.25" customHeight="1">
      <c r="A316" s="1"/>
      <c r="B316" s="1">
        <v>299</v>
      </c>
      <c r="C316" s="1" t="s">
        <v>57</v>
      </c>
      <c r="D316" s="1" t="s">
        <v>157</v>
      </c>
      <c r="E316" s="1" t="s">
        <v>157</v>
      </c>
      <c r="F316" s="1" t="s">
        <v>157</v>
      </c>
      <c r="G316" s="1" t="s">
        <v>157</v>
      </c>
      <c r="H316" s="1" t="s">
        <v>157</v>
      </c>
      <c r="I316" s="1" t="s">
        <v>151</v>
      </c>
      <c r="J316" s="1" t="s">
        <v>133</v>
      </c>
      <c r="K316" s="1" t="s">
        <v>27</v>
      </c>
      <c r="L316" s="1"/>
      <c r="M316" s="1"/>
      <c r="N316" s="1" t="str">
        <f t="shared" si="42"/>
        <v>Yes</v>
      </c>
      <c r="O316" s="1">
        <f t="shared" si="43"/>
        <v>0</v>
      </c>
      <c r="P316" s="1" t="str">
        <f t="shared" si="44"/>
        <v>NA</v>
      </c>
      <c r="Q316" s="1" t="str">
        <f t="shared" si="44"/>
        <v>NA</v>
      </c>
      <c r="R316" s="1" t="str">
        <f t="shared" si="50"/>
        <v>NA</v>
      </c>
      <c r="S316" s="34" t="str">
        <f t="shared" si="50"/>
        <v>NA</v>
      </c>
      <c r="T316" s="1" t="str">
        <f t="shared" si="45"/>
        <v>NA</v>
      </c>
      <c r="U316" s="1" t="str">
        <f t="shared" si="46"/>
        <v>2</v>
      </c>
      <c r="V316" s="1" t="str">
        <f t="shared" si="47"/>
        <v xml:space="preserve"> Sri Lanka</v>
      </c>
      <c r="W316" s="1" t="str">
        <f t="shared" si="48"/>
        <v>Colombo (RPS)</v>
      </c>
      <c r="X316" s="1" t="str">
        <f t="shared" si="49"/>
        <v>No</v>
      </c>
      <c r="Y316" s="1"/>
    </row>
    <row r="317" spans="1:25" ht="14.25" customHeight="1">
      <c r="A317" s="1"/>
      <c r="B317" s="1">
        <v>300</v>
      </c>
      <c r="C317" s="1" t="s">
        <v>532</v>
      </c>
      <c r="D317" s="1" t="s">
        <v>129</v>
      </c>
      <c r="E317" s="1" t="s">
        <v>130</v>
      </c>
      <c r="F317" s="1" t="s">
        <v>131</v>
      </c>
      <c r="G317" s="1" t="s">
        <v>588</v>
      </c>
      <c r="H317" s="1" t="s">
        <v>32</v>
      </c>
      <c r="I317" s="1" t="s">
        <v>151</v>
      </c>
      <c r="J317" s="1" t="s">
        <v>133</v>
      </c>
      <c r="K317" s="1" t="s">
        <v>27</v>
      </c>
      <c r="L317" s="1"/>
      <c r="M317" s="1"/>
      <c r="N317" s="1" t="str">
        <f t="shared" si="42"/>
        <v>No</v>
      </c>
      <c r="O317" s="1">
        <f t="shared" si="43"/>
        <v>1</v>
      </c>
      <c r="P317" s="1">
        <f t="shared" si="44"/>
        <v>22</v>
      </c>
      <c r="Q317" s="1">
        <f t="shared" si="44"/>
        <v>1</v>
      </c>
      <c r="R317" s="1">
        <f t="shared" si="50"/>
        <v>0</v>
      </c>
      <c r="S317" s="34">
        <f t="shared" si="50"/>
        <v>31.81</v>
      </c>
      <c r="T317" s="1" t="str">
        <f t="shared" si="45"/>
        <v>not out</v>
      </c>
      <c r="U317" s="1" t="str">
        <f t="shared" si="46"/>
        <v>2</v>
      </c>
      <c r="V317" s="1" t="str">
        <f t="shared" si="47"/>
        <v xml:space="preserve"> Sri Lanka</v>
      </c>
      <c r="W317" s="1" t="str">
        <f t="shared" si="48"/>
        <v>Colombo (RPS)</v>
      </c>
      <c r="X317" s="1" t="str">
        <f t="shared" si="49"/>
        <v>No</v>
      </c>
      <c r="Y317" s="1"/>
    </row>
    <row r="318" spans="1:25" ht="14.25" customHeight="1">
      <c r="A318" s="1"/>
      <c r="B318" s="1">
        <v>301</v>
      </c>
      <c r="C318" s="1" t="s">
        <v>131</v>
      </c>
      <c r="D318" s="1" t="s">
        <v>167</v>
      </c>
      <c r="E318" s="1" t="s">
        <v>131</v>
      </c>
      <c r="F318" s="1" t="s">
        <v>131</v>
      </c>
      <c r="G318" s="1" t="s">
        <v>210</v>
      </c>
      <c r="H318" s="1" t="s">
        <v>19</v>
      </c>
      <c r="I318" s="1" t="s">
        <v>151</v>
      </c>
      <c r="J318" s="1" t="s">
        <v>211</v>
      </c>
      <c r="K318" s="1" t="s">
        <v>105</v>
      </c>
      <c r="L318" s="1"/>
      <c r="M318" s="1"/>
      <c r="N318" s="1" t="str">
        <f t="shared" si="42"/>
        <v>No</v>
      </c>
      <c r="O318" s="1">
        <f t="shared" si="43"/>
        <v>1</v>
      </c>
      <c r="P318" s="1">
        <f t="shared" si="44"/>
        <v>10</v>
      </c>
      <c r="Q318" s="1">
        <f t="shared" si="44"/>
        <v>0</v>
      </c>
      <c r="R318" s="1">
        <f t="shared" si="50"/>
        <v>0</v>
      </c>
      <c r="S318" s="34">
        <f t="shared" si="50"/>
        <v>0</v>
      </c>
      <c r="T318" s="1" t="str">
        <f t="shared" si="45"/>
        <v>lbw</v>
      </c>
      <c r="U318" s="1" t="str">
        <f t="shared" si="46"/>
        <v>2</v>
      </c>
      <c r="V318" s="1" t="str">
        <f t="shared" si="47"/>
        <v xml:space="preserve"> New Zealand</v>
      </c>
      <c r="W318" s="1" t="str">
        <f t="shared" si="48"/>
        <v>Wellington</v>
      </c>
      <c r="X318" s="1" t="str">
        <f t="shared" si="49"/>
        <v>Yes</v>
      </c>
      <c r="Y318" s="1"/>
    </row>
    <row r="319" spans="1:25" ht="14.25" customHeight="1">
      <c r="A319" s="1"/>
      <c r="B319" s="1">
        <v>302</v>
      </c>
      <c r="C319" s="1" t="s">
        <v>130</v>
      </c>
      <c r="D319" s="1" t="s">
        <v>325</v>
      </c>
      <c r="E319" s="1" t="s">
        <v>131</v>
      </c>
      <c r="F319" s="1" t="s">
        <v>131</v>
      </c>
      <c r="G319" s="1" t="s">
        <v>389</v>
      </c>
      <c r="H319" s="1" t="s">
        <v>24</v>
      </c>
      <c r="I319" s="1" t="s">
        <v>151</v>
      </c>
      <c r="J319" s="1" t="s">
        <v>211</v>
      </c>
      <c r="K319" s="1" t="s">
        <v>104</v>
      </c>
      <c r="L319" s="1"/>
      <c r="M319" s="1"/>
      <c r="N319" s="1" t="str">
        <f t="shared" si="42"/>
        <v>No</v>
      </c>
      <c r="O319" s="1">
        <f t="shared" si="43"/>
        <v>52</v>
      </c>
      <c r="P319" s="1">
        <f t="shared" si="44"/>
        <v>13</v>
      </c>
      <c r="Q319" s="1">
        <f t="shared" si="44"/>
        <v>0</v>
      </c>
      <c r="R319" s="1">
        <f t="shared" si="50"/>
        <v>0</v>
      </c>
      <c r="S319" s="34">
        <f t="shared" si="50"/>
        <v>7.69</v>
      </c>
      <c r="T319" s="1" t="str">
        <f t="shared" si="45"/>
        <v>caught</v>
      </c>
      <c r="U319" s="1" t="str">
        <f t="shared" si="46"/>
        <v>2</v>
      </c>
      <c r="V319" s="1" t="str">
        <f t="shared" si="47"/>
        <v xml:space="preserve"> New Zealand</v>
      </c>
      <c r="W319" s="1" t="str">
        <f t="shared" si="48"/>
        <v>Auckland</v>
      </c>
      <c r="X319" s="1" t="str">
        <f t="shared" si="49"/>
        <v>Yes</v>
      </c>
      <c r="Y319" s="1"/>
    </row>
    <row r="320" spans="1:25" ht="14.25" customHeight="1">
      <c r="A320" s="1"/>
      <c r="B320" s="1">
        <v>303</v>
      </c>
      <c r="C320" s="1" t="s">
        <v>130</v>
      </c>
      <c r="D320" s="1" t="s">
        <v>136</v>
      </c>
      <c r="E320" s="1" t="s">
        <v>131</v>
      </c>
      <c r="F320" s="1" t="s">
        <v>131</v>
      </c>
      <c r="G320" s="1" t="s">
        <v>481</v>
      </c>
      <c r="H320" s="1" t="s">
        <v>24</v>
      </c>
      <c r="I320" s="1" t="s">
        <v>130</v>
      </c>
      <c r="J320" s="1" t="s">
        <v>211</v>
      </c>
      <c r="K320" s="1" t="s">
        <v>103</v>
      </c>
      <c r="L320" s="1"/>
      <c r="M320" s="1"/>
      <c r="N320" s="1" t="str">
        <f t="shared" si="42"/>
        <v>No</v>
      </c>
      <c r="O320" s="1">
        <f t="shared" si="43"/>
        <v>36</v>
      </c>
      <c r="P320" s="1">
        <f t="shared" si="44"/>
        <v>6</v>
      </c>
      <c r="Q320" s="1">
        <f t="shared" si="44"/>
        <v>0</v>
      </c>
      <c r="R320" s="1">
        <f t="shared" si="50"/>
        <v>0</v>
      </c>
      <c r="S320" s="34">
        <f t="shared" si="50"/>
        <v>16.66</v>
      </c>
      <c r="T320" s="1" t="str">
        <f t="shared" si="45"/>
        <v>caught</v>
      </c>
      <c r="U320" s="1" t="str">
        <f t="shared" si="46"/>
        <v>1</v>
      </c>
      <c r="V320" s="1" t="str">
        <f t="shared" si="47"/>
        <v xml:space="preserve"> New Zealand</v>
      </c>
      <c r="W320" s="1" t="str">
        <f t="shared" si="48"/>
        <v>Hamilton</v>
      </c>
      <c r="X320" s="1" t="str">
        <f t="shared" si="49"/>
        <v>Yes</v>
      </c>
      <c r="Y320" s="1"/>
    </row>
    <row r="321" spans="1:25" ht="14.25" customHeight="1">
      <c r="A321" s="1"/>
      <c r="B321" s="1">
        <v>304</v>
      </c>
      <c r="C321" s="1" t="s">
        <v>327</v>
      </c>
      <c r="D321" s="1" t="s">
        <v>454</v>
      </c>
      <c r="E321" s="1" t="s">
        <v>144</v>
      </c>
      <c r="F321" s="1" t="s">
        <v>131</v>
      </c>
      <c r="G321" s="1" t="s">
        <v>614</v>
      </c>
      <c r="H321" s="1" t="s">
        <v>24</v>
      </c>
      <c r="I321" s="1" t="s">
        <v>130</v>
      </c>
      <c r="J321" s="1" t="s">
        <v>240</v>
      </c>
      <c r="K321" s="1" t="s">
        <v>117</v>
      </c>
      <c r="L321" s="1"/>
      <c r="M321" s="1"/>
      <c r="N321" s="1" t="str">
        <f t="shared" si="42"/>
        <v>No</v>
      </c>
      <c r="O321" s="1">
        <f t="shared" si="43"/>
        <v>81</v>
      </c>
      <c r="P321" s="1">
        <f t="shared" si="44"/>
        <v>72</v>
      </c>
      <c r="Q321" s="1">
        <f t="shared" si="44"/>
        <v>7</v>
      </c>
      <c r="R321" s="1">
        <f t="shared" si="50"/>
        <v>0</v>
      </c>
      <c r="S321" s="34">
        <f t="shared" si="50"/>
        <v>72.22</v>
      </c>
      <c r="T321" s="1" t="str">
        <f t="shared" si="45"/>
        <v>caught</v>
      </c>
      <c r="U321" s="1" t="str">
        <f t="shared" si="46"/>
        <v>1</v>
      </c>
      <c r="V321" s="1" t="str">
        <f t="shared" si="47"/>
        <v xml:space="preserve"> Netherlands</v>
      </c>
      <c r="W321" s="1" t="str">
        <f t="shared" si="48"/>
        <v>Paarl</v>
      </c>
      <c r="X321" s="1" t="str">
        <f t="shared" si="49"/>
        <v>Yes</v>
      </c>
      <c r="Y321" s="1"/>
    </row>
    <row r="322" spans="1:25" ht="14.25" customHeight="1">
      <c r="A322" s="1"/>
      <c r="B322" s="1">
        <v>305</v>
      </c>
      <c r="C322" s="1" t="s">
        <v>258</v>
      </c>
      <c r="D322" s="1" t="s">
        <v>241</v>
      </c>
      <c r="E322" s="1" t="s">
        <v>148</v>
      </c>
      <c r="F322" s="1" t="s">
        <v>131</v>
      </c>
      <c r="G322" s="1" t="s">
        <v>1126</v>
      </c>
      <c r="H322" s="1" t="s">
        <v>19</v>
      </c>
      <c r="I322" s="1" t="s">
        <v>130</v>
      </c>
      <c r="J322" s="1" t="s">
        <v>158</v>
      </c>
      <c r="K322" s="1" t="s">
        <v>36</v>
      </c>
      <c r="L322" s="1"/>
      <c r="M322" s="1"/>
      <c r="N322" s="1" t="str">
        <f t="shared" si="42"/>
        <v>No</v>
      </c>
      <c r="O322" s="1">
        <f t="shared" si="43"/>
        <v>152</v>
      </c>
      <c r="P322" s="1">
        <f t="shared" si="44"/>
        <v>59</v>
      </c>
      <c r="Q322" s="1">
        <f t="shared" si="44"/>
        <v>3</v>
      </c>
      <c r="R322" s="1">
        <f t="shared" si="50"/>
        <v>0</v>
      </c>
      <c r="S322" s="34">
        <f t="shared" si="50"/>
        <v>61.01</v>
      </c>
      <c r="T322" s="1" t="str">
        <f t="shared" si="45"/>
        <v>lbw</v>
      </c>
      <c r="U322" s="1" t="str">
        <f t="shared" si="46"/>
        <v>1</v>
      </c>
      <c r="V322" s="1" t="str">
        <f t="shared" si="47"/>
        <v xml:space="preserve"> Australia</v>
      </c>
      <c r="W322" s="1" t="str">
        <f t="shared" si="48"/>
        <v>Centurion</v>
      </c>
      <c r="X322" s="1" t="str">
        <f t="shared" si="49"/>
        <v>Yes</v>
      </c>
      <c r="Y322" s="1"/>
    </row>
    <row r="323" spans="1:25" ht="14.25" customHeight="1">
      <c r="A323" s="1"/>
      <c r="B323" s="1">
        <v>306</v>
      </c>
      <c r="C323" s="1" t="s">
        <v>250</v>
      </c>
      <c r="D323" s="1" t="s">
        <v>179</v>
      </c>
      <c r="E323" s="1" t="s">
        <v>167</v>
      </c>
      <c r="F323" s="1" t="s">
        <v>131</v>
      </c>
      <c r="G323" s="1" t="s">
        <v>1127</v>
      </c>
      <c r="H323" s="1" t="s">
        <v>29</v>
      </c>
      <c r="I323" s="1" t="s">
        <v>130</v>
      </c>
      <c r="J323" s="1" t="s">
        <v>195</v>
      </c>
      <c r="K323" s="1" t="s">
        <v>62</v>
      </c>
      <c r="L323" s="1"/>
      <c r="M323" s="1"/>
      <c r="N323" s="1" t="str">
        <f t="shared" si="42"/>
        <v>No</v>
      </c>
      <c r="O323" s="1">
        <f t="shared" si="43"/>
        <v>50</v>
      </c>
      <c r="P323" s="1">
        <f t="shared" si="44"/>
        <v>91</v>
      </c>
      <c r="Q323" s="1">
        <f t="shared" si="44"/>
        <v>10</v>
      </c>
      <c r="R323" s="1">
        <f t="shared" si="50"/>
        <v>0</v>
      </c>
      <c r="S323" s="34">
        <f t="shared" si="50"/>
        <v>89.01</v>
      </c>
      <c r="T323" s="1" t="str">
        <f t="shared" si="45"/>
        <v>bowled</v>
      </c>
      <c r="U323" s="1" t="str">
        <f t="shared" si="46"/>
        <v>1</v>
      </c>
      <c r="V323" s="1" t="str">
        <f t="shared" si="47"/>
        <v xml:space="preserve"> Zimbabwe</v>
      </c>
      <c r="W323" s="1" t="str">
        <f t="shared" si="48"/>
        <v>Harare</v>
      </c>
      <c r="X323" s="1" t="str">
        <f t="shared" si="49"/>
        <v>Yes</v>
      </c>
      <c r="Y323" s="1"/>
    </row>
    <row r="324" spans="1:25" ht="14.25" customHeight="1">
      <c r="A324" s="1"/>
      <c r="B324" s="1">
        <v>307</v>
      </c>
      <c r="C324" s="1" t="s">
        <v>1128</v>
      </c>
      <c r="D324" s="1" t="s">
        <v>1129</v>
      </c>
      <c r="E324" s="1" t="s">
        <v>199</v>
      </c>
      <c r="F324" s="1" t="s">
        <v>131</v>
      </c>
      <c r="G324" s="1" t="s">
        <v>1130</v>
      </c>
      <c r="H324" s="1" t="s">
        <v>29</v>
      </c>
      <c r="I324" s="1" t="s">
        <v>130</v>
      </c>
      <c r="J324" s="1" t="s">
        <v>1131</v>
      </c>
      <c r="K324" s="1" t="s">
        <v>1132</v>
      </c>
      <c r="L324" s="1"/>
      <c r="M324" s="1"/>
      <c r="N324" s="1" t="str">
        <f t="shared" si="42"/>
        <v>No</v>
      </c>
      <c r="O324" s="1">
        <f t="shared" si="43"/>
        <v>98</v>
      </c>
      <c r="P324" s="1">
        <f t="shared" si="44"/>
        <v>151</v>
      </c>
      <c r="Q324" s="1">
        <f t="shared" si="44"/>
        <v>18</v>
      </c>
      <c r="R324" s="1">
        <f t="shared" si="50"/>
        <v>0</v>
      </c>
      <c r="S324" s="34">
        <f t="shared" si="50"/>
        <v>100.66</v>
      </c>
      <c r="T324" s="1" t="str">
        <f t="shared" si="45"/>
        <v>bowled</v>
      </c>
      <c r="U324" s="1" t="str">
        <f t="shared" si="46"/>
        <v>1</v>
      </c>
      <c r="V324" s="1" t="str">
        <f t="shared" si="47"/>
        <v xml:space="preserve"> Namibia</v>
      </c>
      <c r="W324" s="1" t="str">
        <f t="shared" si="48"/>
        <v>Pietermaritzburg</v>
      </c>
      <c r="X324" s="1" t="str">
        <f t="shared" si="49"/>
        <v>Yes</v>
      </c>
      <c r="Y324" s="1"/>
    </row>
    <row r="325" spans="1:25" ht="14.25" customHeight="1">
      <c r="A325" s="1"/>
      <c r="B325" s="1">
        <v>308</v>
      </c>
      <c r="C325" s="1" t="s">
        <v>360</v>
      </c>
      <c r="D325" s="1" t="s">
        <v>327</v>
      </c>
      <c r="E325" s="1" t="s">
        <v>189</v>
      </c>
      <c r="F325" s="1" t="s">
        <v>130</v>
      </c>
      <c r="G325" s="1" t="s">
        <v>1133</v>
      </c>
      <c r="H325" s="1" t="s">
        <v>24</v>
      </c>
      <c r="I325" s="1" t="s">
        <v>130</v>
      </c>
      <c r="J325" s="1" t="s">
        <v>234</v>
      </c>
      <c r="K325" s="1" t="s">
        <v>69</v>
      </c>
      <c r="L325" s="1"/>
      <c r="M325" s="1"/>
      <c r="N325" s="1" t="str">
        <f t="shared" si="42"/>
        <v>No</v>
      </c>
      <c r="O325" s="1">
        <f t="shared" si="43"/>
        <v>5</v>
      </c>
      <c r="P325" s="1">
        <f t="shared" si="44"/>
        <v>52</v>
      </c>
      <c r="Q325" s="1">
        <f t="shared" si="44"/>
        <v>8</v>
      </c>
      <c r="R325" s="1">
        <f t="shared" si="50"/>
        <v>1</v>
      </c>
      <c r="S325" s="34">
        <f t="shared" si="50"/>
        <v>96.15</v>
      </c>
      <c r="T325" s="1" t="str">
        <f t="shared" si="45"/>
        <v>caught</v>
      </c>
      <c r="U325" s="1" t="str">
        <f t="shared" si="46"/>
        <v>1</v>
      </c>
      <c r="V325" s="1" t="str">
        <f t="shared" si="47"/>
        <v xml:space="preserve"> England</v>
      </c>
      <c r="W325" s="1" t="str">
        <f t="shared" si="48"/>
        <v>Durban</v>
      </c>
      <c r="X325" s="1" t="str">
        <f t="shared" si="49"/>
        <v>Yes</v>
      </c>
      <c r="Y325" s="1"/>
    </row>
    <row r="326" spans="1:25" ht="14.25" customHeight="1">
      <c r="A326" s="1"/>
      <c r="B326" s="1">
        <v>309</v>
      </c>
      <c r="C326" s="1" t="s">
        <v>265</v>
      </c>
      <c r="D326" s="1" t="s">
        <v>447</v>
      </c>
      <c r="E326" s="1" t="s">
        <v>128</v>
      </c>
      <c r="F326" s="1" t="s">
        <v>130</v>
      </c>
      <c r="G326" s="1" t="s">
        <v>1134</v>
      </c>
      <c r="H326" s="1" t="s">
        <v>24</v>
      </c>
      <c r="I326" s="1" t="s">
        <v>151</v>
      </c>
      <c r="J326" s="1" t="s">
        <v>156</v>
      </c>
      <c r="K326" s="1" t="s">
        <v>36</v>
      </c>
      <c r="L326" s="1"/>
      <c r="M326" s="1"/>
      <c r="N326" s="1" t="str">
        <f t="shared" si="42"/>
        <v>No</v>
      </c>
      <c r="O326" s="1">
        <f t="shared" si="43"/>
        <v>97</v>
      </c>
      <c r="P326" s="1">
        <f t="shared" si="44"/>
        <v>75</v>
      </c>
      <c r="Q326" s="1">
        <f t="shared" si="44"/>
        <v>12</v>
      </c>
      <c r="R326" s="1">
        <f t="shared" si="50"/>
        <v>1</v>
      </c>
      <c r="S326" s="34">
        <f t="shared" si="50"/>
        <v>130.66</v>
      </c>
      <c r="T326" s="1" t="str">
        <f t="shared" si="45"/>
        <v>caught</v>
      </c>
      <c r="U326" s="1" t="str">
        <f t="shared" si="46"/>
        <v>2</v>
      </c>
      <c r="V326" s="1" t="str">
        <f t="shared" si="47"/>
        <v xml:space="preserve"> Pakistan</v>
      </c>
      <c r="W326" s="1" t="str">
        <f t="shared" si="48"/>
        <v>Centurion</v>
      </c>
      <c r="X326" s="1" t="str">
        <f t="shared" si="49"/>
        <v>Yes</v>
      </c>
      <c r="Y326" s="1"/>
    </row>
    <row r="327" spans="1:25" ht="14.25" customHeight="1">
      <c r="A327" s="1"/>
      <c r="B327" s="1">
        <v>310</v>
      </c>
      <c r="C327" s="1" t="s">
        <v>202</v>
      </c>
      <c r="D327" s="1" t="s">
        <v>128</v>
      </c>
      <c r="E327" s="1" t="s">
        <v>130</v>
      </c>
      <c r="F327" s="1" t="s">
        <v>131</v>
      </c>
      <c r="G327" s="1" t="s">
        <v>691</v>
      </c>
      <c r="H327" s="1" t="s">
        <v>24</v>
      </c>
      <c r="I327" s="1" t="s">
        <v>151</v>
      </c>
      <c r="J327" s="1" t="s">
        <v>1012</v>
      </c>
      <c r="K327" s="1" t="s">
        <v>70</v>
      </c>
      <c r="L327" s="1"/>
      <c r="M327" s="1"/>
      <c r="N327" s="1" t="str">
        <f t="shared" si="42"/>
        <v>No</v>
      </c>
      <c r="O327" s="1">
        <f t="shared" si="43"/>
        <v>15</v>
      </c>
      <c r="P327" s="1">
        <f t="shared" si="44"/>
        <v>12</v>
      </c>
      <c r="Q327" s="1">
        <f t="shared" si="44"/>
        <v>1</v>
      </c>
      <c r="R327" s="1">
        <f t="shared" si="50"/>
        <v>0</v>
      </c>
      <c r="S327" s="34">
        <f t="shared" si="50"/>
        <v>41.66</v>
      </c>
      <c r="T327" s="1" t="str">
        <f t="shared" si="45"/>
        <v>caught</v>
      </c>
      <c r="U327" s="1" t="str">
        <f t="shared" si="46"/>
        <v>2</v>
      </c>
      <c r="V327" s="1" t="str">
        <f t="shared" si="47"/>
        <v xml:space="preserve"> Kenya</v>
      </c>
      <c r="W327" s="1" t="str">
        <f t="shared" si="48"/>
        <v>Cape Town</v>
      </c>
      <c r="X327" s="1" t="str">
        <f t="shared" si="49"/>
        <v>Yes</v>
      </c>
      <c r="Y327" s="1"/>
    </row>
    <row r="328" spans="1:25" ht="14.25" customHeight="1">
      <c r="A328" s="1"/>
      <c r="B328" s="1">
        <v>311</v>
      </c>
      <c r="C328" s="1" t="s">
        <v>395</v>
      </c>
      <c r="D328" s="1" t="s">
        <v>291</v>
      </c>
      <c r="E328" s="1" t="s">
        <v>144</v>
      </c>
      <c r="F328" s="1" t="s">
        <v>130</v>
      </c>
      <c r="G328" s="1" t="s">
        <v>1135</v>
      </c>
      <c r="H328" s="1" t="s">
        <v>24</v>
      </c>
      <c r="I328" s="1" t="s">
        <v>130</v>
      </c>
      <c r="J328" s="1" t="s">
        <v>133</v>
      </c>
      <c r="K328" s="1" t="s">
        <v>43</v>
      </c>
      <c r="L328" s="1"/>
      <c r="M328" s="1"/>
      <c r="N328" s="1" t="str">
        <f t="shared" si="42"/>
        <v>No</v>
      </c>
      <c r="O328" s="1">
        <f t="shared" si="43"/>
        <v>83</v>
      </c>
      <c r="P328" s="1">
        <f t="shared" si="44"/>
        <v>120</v>
      </c>
      <c r="Q328" s="1">
        <f t="shared" si="44"/>
        <v>7</v>
      </c>
      <c r="R328" s="1">
        <f t="shared" si="50"/>
        <v>1</v>
      </c>
      <c r="S328" s="34">
        <f t="shared" si="50"/>
        <v>80.83</v>
      </c>
      <c r="T328" s="1" t="str">
        <f t="shared" si="45"/>
        <v>caught</v>
      </c>
      <c r="U328" s="1" t="str">
        <f t="shared" si="46"/>
        <v>1</v>
      </c>
      <c r="V328" s="1" t="str">
        <f t="shared" si="47"/>
        <v xml:space="preserve"> Sri Lanka</v>
      </c>
      <c r="W328" s="1" t="str">
        <f t="shared" si="48"/>
        <v>Johannesburg</v>
      </c>
      <c r="X328" s="1" t="str">
        <f t="shared" si="49"/>
        <v>Yes</v>
      </c>
      <c r="Y328" s="1"/>
    </row>
    <row r="329" spans="1:25" ht="14.25" customHeight="1">
      <c r="A329" s="1"/>
      <c r="B329" s="1">
        <v>312</v>
      </c>
      <c r="C329" s="1" t="s">
        <v>283</v>
      </c>
      <c r="D329" s="1" t="s">
        <v>153</v>
      </c>
      <c r="E329" s="1" t="s">
        <v>148</v>
      </c>
      <c r="F329" s="1" t="s">
        <v>131</v>
      </c>
      <c r="G329" s="1" t="s">
        <v>754</v>
      </c>
      <c r="H329" s="1" t="s">
        <v>24</v>
      </c>
      <c r="I329" s="1" t="s">
        <v>151</v>
      </c>
      <c r="J329" s="1" t="s">
        <v>211</v>
      </c>
      <c r="K329" s="1" t="s">
        <v>36</v>
      </c>
      <c r="L329" s="1"/>
      <c r="M329" s="1"/>
      <c r="N329" s="1" t="str">
        <f t="shared" si="42"/>
        <v>No</v>
      </c>
      <c r="O329" s="1">
        <f t="shared" si="43"/>
        <v>4</v>
      </c>
      <c r="P329" s="1">
        <f t="shared" si="44"/>
        <v>16</v>
      </c>
      <c r="Q329" s="1">
        <f t="shared" si="44"/>
        <v>3</v>
      </c>
      <c r="R329" s="1">
        <f t="shared" si="50"/>
        <v>0</v>
      </c>
      <c r="S329" s="34">
        <f t="shared" si="50"/>
        <v>93.75</v>
      </c>
      <c r="T329" s="1" t="str">
        <f t="shared" si="45"/>
        <v>caught</v>
      </c>
      <c r="U329" s="1" t="str">
        <f t="shared" si="46"/>
        <v>2</v>
      </c>
      <c r="V329" s="1" t="str">
        <f t="shared" si="47"/>
        <v xml:space="preserve"> New Zealand</v>
      </c>
      <c r="W329" s="1" t="str">
        <f t="shared" si="48"/>
        <v>Centurion</v>
      </c>
      <c r="X329" s="1" t="str">
        <f t="shared" si="49"/>
        <v>Yes</v>
      </c>
      <c r="Y329" s="1"/>
    </row>
    <row r="330" spans="1:25" ht="14.25" customHeight="1">
      <c r="A330" s="1"/>
      <c r="B330" s="1">
        <v>313</v>
      </c>
      <c r="C330" s="1" t="s">
        <v>231</v>
      </c>
      <c r="D330" s="1" t="s">
        <v>413</v>
      </c>
      <c r="E330" s="1" t="s">
        <v>202</v>
      </c>
      <c r="F330" s="1" t="s">
        <v>130</v>
      </c>
      <c r="G330" s="1" t="s">
        <v>1136</v>
      </c>
      <c r="H330" s="1" t="s">
        <v>24</v>
      </c>
      <c r="I330" s="1" t="s">
        <v>130</v>
      </c>
      <c r="J330" s="1" t="s">
        <v>1012</v>
      </c>
      <c r="K330" s="1" t="s">
        <v>69</v>
      </c>
      <c r="L330" s="1"/>
      <c r="M330" s="1"/>
      <c r="N330" s="1" t="str">
        <f t="shared" si="42"/>
        <v>No</v>
      </c>
      <c r="O330" s="1">
        <f t="shared" si="43"/>
        <v>48</v>
      </c>
      <c r="P330" s="1">
        <f t="shared" si="44"/>
        <v>101</v>
      </c>
      <c r="Q330" s="1">
        <f t="shared" si="44"/>
        <v>5</v>
      </c>
      <c r="R330" s="1">
        <f t="shared" si="50"/>
        <v>1</v>
      </c>
      <c r="S330" s="34">
        <f t="shared" si="50"/>
        <v>82.17</v>
      </c>
      <c r="T330" s="1" t="str">
        <f t="shared" si="45"/>
        <v>caught</v>
      </c>
      <c r="U330" s="1" t="str">
        <f t="shared" si="46"/>
        <v>1</v>
      </c>
      <c r="V330" s="1" t="str">
        <f t="shared" si="47"/>
        <v xml:space="preserve"> Kenya</v>
      </c>
      <c r="W330" s="1" t="str">
        <f t="shared" si="48"/>
        <v>Durban</v>
      </c>
      <c r="X330" s="1" t="str">
        <f t="shared" si="49"/>
        <v>Yes</v>
      </c>
      <c r="Y330" s="1"/>
    </row>
    <row r="331" spans="1:25" ht="14.25" customHeight="1">
      <c r="A331" s="1"/>
      <c r="B331" s="1">
        <v>314</v>
      </c>
      <c r="C331" s="1" t="s">
        <v>140</v>
      </c>
      <c r="D331" s="1" t="s">
        <v>202</v>
      </c>
      <c r="E331" s="1" t="s">
        <v>130</v>
      </c>
      <c r="F331" s="1" t="s">
        <v>131</v>
      </c>
      <c r="G331" s="1" t="s">
        <v>361</v>
      </c>
      <c r="H331" s="1" t="s">
        <v>24</v>
      </c>
      <c r="I331" s="1" t="s">
        <v>151</v>
      </c>
      <c r="J331" s="1" t="s">
        <v>158</v>
      </c>
      <c r="K331" s="1" t="s">
        <v>43</v>
      </c>
      <c r="L331" s="1"/>
      <c r="M331" s="1"/>
      <c r="N331" s="1" t="str">
        <f t="shared" si="42"/>
        <v>No</v>
      </c>
      <c r="O331" s="1">
        <f t="shared" si="43"/>
        <v>100</v>
      </c>
      <c r="P331" s="1">
        <f t="shared" si="44"/>
        <v>5</v>
      </c>
      <c r="Q331" s="1">
        <f t="shared" si="44"/>
        <v>1</v>
      </c>
      <c r="R331" s="1">
        <f t="shared" si="50"/>
        <v>0</v>
      </c>
      <c r="S331" s="34">
        <f t="shared" si="50"/>
        <v>80</v>
      </c>
      <c r="T331" s="1" t="str">
        <f t="shared" si="45"/>
        <v>caught</v>
      </c>
      <c r="U331" s="1" t="str">
        <f t="shared" si="46"/>
        <v>2</v>
      </c>
      <c r="V331" s="1" t="str">
        <f t="shared" si="47"/>
        <v xml:space="preserve"> Australia</v>
      </c>
      <c r="W331" s="1" t="str">
        <f t="shared" si="48"/>
        <v>Johannesburg</v>
      </c>
      <c r="X331" s="1" t="str">
        <f t="shared" si="49"/>
        <v>Yes</v>
      </c>
      <c r="Y331" s="1"/>
    </row>
    <row r="332" spans="1:25" ht="14.25" customHeight="1">
      <c r="A332" s="1"/>
      <c r="B332" s="1">
        <v>315</v>
      </c>
      <c r="C332" s="1" t="s">
        <v>783</v>
      </c>
      <c r="D332" s="1" t="s">
        <v>143</v>
      </c>
      <c r="E332" s="1" t="s">
        <v>202</v>
      </c>
      <c r="F332" s="1" t="s">
        <v>131</v>
      </c>
      <c r="G332" s="1" t="s">
        <v>245</v>
      </c>
      <c r="H332" s="1" t="s">
        <v>32</v>
      </c>
      <c r="I332" s="1" t="s">
        <v>130</v>
      </c>
      <c r="J332" s="1" t="s">
        <v>211</v>
      </c>
      <c r="K332" s="1" t="s">
        <v>68</v>
      </c>
      <c r="L332" s="1"/>
      <c r="M332" s="1"/>
      <c r="N332" s="1" t="str">
        <f t="shared" si="42"/>
        <v>No</v>
      </c>
      <c r="O332" s="1">
        <f t="shared" si="43"/>
        <v>68</v>
      </c>
      <c r="P332" s="1">
        <f t="shared" si="44"/>
        <v>66</v>
      </c>
      <c r="Q332" s="1">
        <f t="shared" si="44"/>
        <v>5</v>
      </c>
      <c r="R332" s="1">
        <f t="shared" si="50"/>
        <v>0</v>
      </c>
      <c r="S332" s="34">
        <f t="shared" si="50"/>
        <v>72.72</v>
      </c>
      <c r="T332" s="1" t="str">
        <f t="shared" si="45"/>
        <v>not out</v>
      </c>
      <c r="U332" s="1" t="str">
        <f t="shared" si="46"/>
        <v>1</v>
      </c>
      <c r="V332" s="1" t="str">
        <f t="shared" si="47"/>
        <v xml:space="preserve"> New Zealand</v>
      </c>
      <c r="W332" s="1" t="str">
        <f t="shared" si="48"/>
        <v>Chennai</v>
      </c>
      <c r="X332" s="1" t="str">
        <f t="shared" si="49"/>
        <v>No</v>
      </c>
      <c r="Y332" s="1"/>
    </row>
    <row r="333" spans="1:25" ht="14.25" customHeight="1">
      <c r="A333" s="1"/>
      <c r="B333" s="1">
        <v>316</v>
      </c>
      <c r="C333" s="1" t="s">
        <v>342</v>
      </c>
      <c r="D333" s="1" t="s">
        <v>302</v>
      </c>
      <c r="E333" s="1" t="s">
        <v>161</v>
      </c>
      <c r="F333" s="1" t="s">
        <v>130</v>
      </c>
      <c r="G333" s="1" t="s">
        <v>1137</v>
      </c>
      <c r="H333" s="1" t="s">
        <v>24</v>
      </c>
      <c r="I333" s="1" t="s">
        <v>130</v>
      </c>
      <c r="J333" s="1" t="s">
        <v>158</v>
      </c>
      <c r="K333" s="1" t="s">
        <v>58</v>
      </c>
      <c r="L333" s="1"/>
      <c r="M333" s="1"/>
      <c r="N333" s="1" t="str">
        <f t="shared" si="42"/>
        <v>No</v>
      </c>
      <c r="O333" s="1">
        <f t="shared" si="43"/>
        <v>14</v>
      </c>
      <c r="P333" s="1">
        <f t="shared" si="44"/>
        <v>119</v>
      </c>
      <c r="Q333" s="1">
        <f t="shared" si="44"/>
        <v>9</v>
      </c>
      <c r="R333" s="1">
        <f t="shared" si="50"/>
        <v>1</v>
      </c>
      <c r="S333" s="34">
        <f t="shared" si="50"/>
        <v>84.03</v>
      </c>
      <c r="T333" s="1" t="str">
        <f t="shared" si="45"/>
        <v>caught</v>
      </c>
      <c r="U333" s="1" t="str">
        <f t="shared" si="46"/>
        <v>1</v>
      </c>
      <c r="V333" s="1" t="str">
        <f t="shared" si="47"/>
        <v xml:space="preserve"> Australia</v>
      </c>
      <c r="W333" s="1" t="str">
        <f t="shared" si="48"/>
        <v>Gwalior</v>
      </c>
      <c r="X333" s="1" t="str">
        <f t="shared" si="49"/>
        <v>Yes</v>
      </c>
      <c r="Y333" s="1"/>
    </row>
    <row r="334" spans="1:25" ht="14.25" customHeight="1">
      <c r="A334" s="1"/>
      <c r="B334" s="1">
        <v>317</v>
      </c>
      <c r="C334" s="1" t="s">
        <v>184</v>
      </c>
      <c r="D334" s="1" t="s">
        <v>242</v>
      </c>
      <c r="E334" s="1" t="s">
        <v>167</v>
      </c>
      <c r="F334" s="1" t="s">
        <v>131</v>
      </c>
      <c r="G334" s="1" t="s">
        <v>932</v>
      </c>
      <c r="H334" s="1" t="s">
        <v>29</v>
      </c>
      <c r="I334" s="1" t="s">
        <v>151</v>
      </c>
      <c r="J334" s="1" t="s">
        <v>158</v>
      </c>
      <c r="K334" s="1" t="s">
        <v>75</v>
      </c>
      <c r="L334" s="1"/>
      <c r="M334" s="1"/>
      <c r="N334" s="1" t="str">
        <f t="shared" si="42"/>
        <v>No</v>
      </c>
      <c r="O334" s="1">
        <f t="shared" si="43"/>
        <v>89</v>
      </c>
      <c r="P334" s="1">
        <f t="shared" si="44"/>
        <v>76</v>
      </c>
      <c r="Q334" s="1">
        <f t="shared" si="44"/>
        <v>10</v>
      </c>
      <c r="R334" s="1">
        <f t="shared" si="50"/>
        <v>0</v>
      </c>
      <c r="S334" s="34">
        <f t="shared" si="50"/>
        <v>89.47</v>
      </c>
      <c r="T334" s="1" t="str">
        <f t="shared" si="45"/>
        <v>bowled</v>
      </c>
      <c r="U334" s="1" t="str">
        <f t="shared" si="46"/>
        <v>2</v>
      </c>
      <c r="V334" s="1" t="str">
        <f t="shared" si="47"/>
        <v xml:space="preserve"> Australia</v>
      </c>
      <c r="W334" s="1" t="str">
        <f t="shared" si="48"/>
        <v>Wankhede</v>
      </c>
      <c r="X334" s="1" t="str">
        <f t="shared" si="49"/>
        <v>Yes</v>
      </c>
      <c r="Y334" s="1"/>
    </row>
    <row r="335" spans="1:25" ht="14.25" customHeight="1">
      <c r="A335" s="1"/>
      <c r="B335" s="1">
        <v>318</v>
      </c>
      <c r="C335" s="1" t="s">
        <v>205</v>
      </c>
      <c r="D335" s="1" t="s">
        <v>205</v>
      </c>
      <c r="E335" s="1" t="s">
        <v>148</v>
      </c>
      <c r="F335" s="1" t="s">
        <v>131</v>
      </c>
      <c r="G335" s="1" t="s">
        <v>152</v>
      </c>
      <c r="H335" s="1" t="s">
        <v>19</v>
      </c>
      <c r="I335" s="1" t="s">
        <v>130</v>
      </c>
      <c r="J335" s="1" t="s">
        <v>211</v>
      </c>
      <c r="K335" s="1" t="s">
        <v>86</v>
      </c>
      <c r="L335" s="1"/>
      <c r="M335" s="1"/>
      <c r="N335" s="1" t="str">
        <f t="shared" si="42"/>
        <v>No</v>
      </c>
      <c r="O335" s="1">
        <f t="shared" si="43"/>
        <v>102</v>
      </c>
      <c r="P335" s="1">
        <f t="shared" si="44"/>
        <v>14</v>
      </c>
      <c r="Q335" s="1">
        <f t="shared" si="44"/>
        <v>3</v>
      </c>
      <c r="R335" s="1">
        <f t="shared" si="50"/>
        <v>0</v>
      </c>
      <c r="S335" s="34">
        <f t="shared" si="50"/>
        <v>100</v>
      </c>
      <c r="T335" s="1" t="str">
        <f t="shared" si="45"/>
        <v>lbw</v>
      </c>
      <c r="U335" s="1" t="str">
        <f t="shared" si="46"/>
        <v>1</v>
      </c>
      <c r="V335" s="1" t="str">
        <f t="shared" si="47"/>
        <v xml:space="preserve"> New Zealand</v>
      </c>
      <c r="W335" s="1" t="str">
        <f t="shared" si="48"/>
        <v>Cuttack</v>
      </c>
      <c r="X335" s="1" t="str">
        <f t="shared" si="49"/>
        <v>Yes</v>
      </c>
      <c r="Y335" s="1"/>
    </row>
    <row r="336" spans="1:25" ht="14.25" customHeight="1">
      <c r="A336" s="1"/>
      <c r="B336" s="1">
        <v>319</v>
      </c>
      <c r="C336" s="1" t="s">
        <v>486</v>
      </c>
      <c r="D336" s="1" t="s">
        <v>179</v>
      </c>
      <c r="E336" s="1" t="s">
        <v>128</v>
      </c>
      <c r="F336" s="1" t="s">
        <v>130</v>
      </c>
      <c r="G336" s="1" t="s">
        <v>487</v>
      </c>
      <c r="H336" s="1" t="s">
        <v>29</v>
      </c>
      <c r="I336" s="1" t="s">
        <v>151</v>
      </c>
      <c r="J336" s="1" t="s">
        <v>158</v>
      </c>
      <c r="K336" s="1" t="s">
        <v>67</v>
      </c>
      <c r="L336" s="1"/>
      <c r="M336" s="1"/>
      <c r="N336" s="1" t="str">
        <f t="shared" si="42"/>
        <v>No</v>
      </c>
      <c r="O336" s="1">
        <f t="shared" si="43"/>
        <v>45</v>
      </c>
      <c r="P336" s="1">
        <f t="shared" si="44"/>
        <v>91</v>
      </c>
      <c r="Q336" s="1">
        <f t="shared" si="44"/>
        <v>12</v>
      </c>
      <c r="R336" s="1">
        <f t="shared" si="50"/>
        <v>1</v>
      </c>
      <c r="S336" s="34">
        <f t="shared" si="50"/>
        <v>97.8</v>
      </c>
      <c r="T336" s="1" t="str">
        <f t="shared" si="45"/>
        <v>bowled</v>
      </c>
      <c r="U336" s="1" t="str">
        <f t="shared" si="46"/>
        <v>2</v>
      </c>
      <c r="V336" s="1" t="str">
        <f t="shared" si="47"/>
        <v xml:space="preserve"> Australia</v>
      </c>
      <c r="W336" s="1" t="str">
        <f t="shared" si="48"/>
        <v>Bengaluru</v>
      </c>
      <c r="X336" s="1" t="str">
        <f t="shared" si="49"/>
        <v>Yes</v>
      </c>
      <c r="Y336" s="1"/>
    </row>
    <row r="337" spans="1:25" ht="14.25" customHeight="1">
      <c r="A337" s="1"/>
      <c r="B337" s="1">
        <v>320</v>
      </c>
      <c r="C337" s="1" t="s">
        <v>180</v>
      </c>
      <c r="D337" s="1" t="s">
        <v>179</v>
      </c>
      <c r="E337" s="1" t="s">
        <v>128</v>
      </c>
      <c r="F337" s="1" t="s">
        <v>130</v>
      </c>
      <c r="G337" s="1" t="s">
        <v>1138</v>
      </c>
      <c r="H337" s="1" t="s">
        <v>24</v>
      </c>
      <c r="I337" s="1" t="s">
        <v>130</v>
      </c>
      <c r="J337" s="1" t="s">
        <v>211</v>
      </c>
      <c r="K337" s="1" t="s">
        <v>990</v>
      </c>
      <c r="L337" s="1"/>
      <c r="M337" s="1"/>
      <c r="N337" s="1" t="str">
        <f t="shared" si="42"/>
        <v>No</v>
      </c>
      <c r="O337" s="1">
        <f t="shared" si="43"/>
        <v>63</v>
      </c>
      <c r="P337" s="1">
        <f t="shared" si="44"/>
        <v>91</v>
      </c>
      <c r="Q337" s="1">
        <f t="shared" si="44"/>
        <v>12</v>
      </c>
      <c r="R337" s="1">
        <f t="shared" si="50"/>
        <v>1</v>
      </c>
      <c r="S337" s="34">
        <f t="shared" si="50"/>
        <v>112.08</v>
      </c>
      <c r="T337" s="1" t="str">
        <f t="shared" si="45"/>
        <v>caught</v>
      </c>
      <c r="U337" s="1" t="str">
        <f t="shared" si="46"/>
        <v>1</v>
      </c>
      <c r="V337" s="1" t="str">
        <f t="shared" si="47"/>
        <v xml:space="preserve"> New Zealand</v>
      </c>
      <c r="W337" s="1" t="str">
        <f t="shared" si="48"/>
        <v>Hyderabad (Deccan)</v>
      </c>
      <c r="X337" s="1" t="str">
        <f t="shared" si="49"/>
        <v>Yes</v>
      </c>
      <c r="Y337" s="1"/>
    </row>
    <row r="338" spans="1:25" ht="14.25" customHeight="1">
      <c r="A338" s="1"/>
      <c r="B338" s="1">
        <v>321</v>
      </c>
      <c r="C338" s="1" t="s">
        <v>405</v>
      </c>
      <c r="D338" s="1" t="s">
        <v>143</v>
      </c>
      <c r="E338" s="1" t="s">
        <v>202</v>
      </c>
      <c r="F338" s="1" t="s">
        <v>131</v>
      </c>
      <c r="G338" s="1" t="s">
        <v>308</v>
      </c>
      <c r="H338" s="1" t="s">
        <v>29</v>
      </c>
      <c r="I338" s="1" t="s">
        <v>151</v>
      </c>
      <c r="J338" s="1" t="s">
        <v>158</v>
      </c>
      <c r="K338" s="1" t="s">
        <v>51</v>
      </c>
      <c r="L338" s="1"/>
      <c r="M338" s="1"/>
      <c r="N338" s="1" t="str">
        <f t="shared" ref="N338:N401" si="51">IF(OR(C338="DNB",C338="TDNB"),"Yes","No")</f>
        <v>No</v>
      </c>
      <c r="O338" s="1">
        <f t="shared" ref="O338:O401" si="52">IF(N340="Yes", "NA",SUBSTITUTE(C340,"*","")*1)</f>
        <v>44</v>
      </c>
      <c r="P338" s="1">
        <f t="shared" si="44"/>
        <v>66</v>
      </c>
      <c r="Q338" s="1">
        <f t="shared" si="44"/>
        <v>5</v>
      </c>
      <c r="R338" s="1">
        <f t="shared" si="50"/>
        <v>0</v>
      </c>
      <c r="S338" s="34">
        <f t="shared" si="50"/>
        <v>68.180000000000007</v>
      </c>
      <c r="T338" s="1" t="str">
        <f t="shared" si="45"/>
        <v>bowled</v>
      </c>
      <c r="U338" s="1" t="str">
        <f t="shared" si="46"/>
        <v>2</v>
      </c>
      <c r="V338" s="1" t="str">
        <f t="shared" si="47"/>
        <v xml:space="preserve"> Australia</v>
      </c>
      <c r="W338" s="1" t="str">
        <f t="shared" si="48"/>
        <v>Eden Gardens</v>
      </c>
      <c r="X338" s="1" t="str">
        <f t="shared" si="49"/>
        <v>Yes</v>
      </c>
      <c r="Y338" s="1"/>
    </row>
    <row r="339" spans="1:25" ht="14.25" customHeight="1">
      <c r="A339" s="1"/>
      <c r="B339" s="1">
        <v>322</v>
      </c>
      <c r="C339" s="1" t="s">
        <v>262</v>
      </c>
      <c r="D339" s="1" t="s">
        <v>701</v>
      </c>
      <c r="E339" s="1" t="s">
        <v>189</v>
      </c>
      <c r="F339" s="1" t="s">
        <v>130</v>
      </c>
      <c r="G339" s="1" t="s">
        <v>1139</v>
      </c>
      <c r="H339" s="1" t="s">
        <v>24</v>
      </c>
      <c r="I339" s="1" t="s">
        <v>151</v>
      </c>
      <c r="J339" s="1" t="s">
        <v>158</v>
      </c>
      <c r="K339" s="1" t="s">
        <v>88</v>
      </c>
      <c r="L339" s="1"/>
      <c r="M339" s="1"/>
      <c r="N339" s="1" t="str">
        <f t="shared" si="51"/>
        <v>No</v>
      </c>
      <c r="O339" s="1">
        <f t="shared" si="52"/>
        <v>86</v>
      </c>
      <c r="P339" s="1">
        <f t="shared" ref="P339:Q402" si="53">IF(D339="-","NA",D339*1)</f>
        <v>69</v>
      </c>
      <c r="Q339" s="1">
        <f t="shared" si="53"/>
        <v>8</v>
      </c>
      <c r="R339" s="1">
        <f t="shared" si="50"/>
        <v>1</v>
      </c>
      <c r="S339" s="34">
        <f t="shared" si="50"/>
        <v>91.3</v>
      </c>
      <c r="T339" s="1" t="str">
        <f t="shared" ref="T339:T402" si="54">IF(H339="-","NA",H339)</f>
        <v>caught</v>
      </c>
      <c r="U339" s="1" t="str">
        <f t="shared" ref="U339:U402" si="55">I339</f>
        <v>2</v>
      </c>
      <c r="V339" s="1" t="str">
        <f t="shared" ref="V339:V402" si="56">SUBSTITUTE(J339,"v","")</f>
        <v xml:space="preserve"> Australia</v>
      </c>
      <c r="W339" s="1" t="str">
        <f t="shared" ref="W339:W402" si="57">K339</f>
        <v>Melbourne</v>
      </c>
      <c r="X339" s="1" t="str">
        <f t="shared" ref="X339:X402" si="58">IF(N339="Yes","No",IF(T339="not out","No","Yes"))</f>
        <v>Yes</v>
      </c>
      <c r="Y339" s="1"/>
    </row>
    <row r="340" spans="1:25" ht="14.25" customHeight="1">
      <c r="A340" s="1"/>
      <c r="B340" s="1">
        <v>323</v>
      </c>
      <c r="C340" s="1" t="s">
        <v>369</v>
      </c>
      <c r="D340" s="1" t="s">
        <v>241</v>
      </c>
      <c r="E340" s="1" t="s">
        <v>136</v>
      </c>
      <c r="F340" s="1" t="s">
        <v>131</v>
      </c>
      <c r="G340" s="1" t="s">
        <v>1140</v>
      </c>
      <c r="H340" s="1" t="s">
        <v>29</v>
      </c>
      <c r="I340" s="1" t="s">
        <v>151</v>
      </c>
      <c r="J340" s="1" t="s">
        <v>195</v>
      </c>
      <c r="K340" s="1" t="s">
        <v>93</v>
      </c>
      <c r="L340" s="1"/>
      <c r="M340" s="1"/>
      <c r="N340" s="1" t="str">
        <f t="shared" si="51"/>
        <v>No</v>
      </c>
      <c r="O340" s="1">
        <f t="shared" si="52"/>
        <v>5</v>
      </c>
      <c r="P340" s="1">
        <f t="shared" si="53"/>
        <v>59</v>
      </c>
      <c r="Q340" s="1">
        <f t="shared" si="53"/>
        <v>6</v>
      </c>
      <c r="R340" s="1">
        <f t="shared" si="50"/>
        <v>0</v>
      </c>
      <c r="S340" s="34">
        <f t="shared" si="50"/>
        <v>74.569999999999993</v>
      </c>
      <c r="T340" s="1" t="str">
        <f t="shared" si="54"/>
        <v>bowled</v>
      </c>
      <c r="U340" s="1" t="str">
        <f t="shared" si="55"/>
        <v>2</v>
      </c>
      <c r="V340" s="1" t="str">
        <f t="shared" si="56"/>
        <v xml:space="preserve"> Zimbabwe</v>
      </c>
      <c r="W340" s="1" t="str">
        <f t="shared" si="57"/>
        <v>Hobart</v>
      </c>
      <c r="X340" s="1" t="str">
        <f t="shared" si="58"/>
        <v>Yes</v>
      </c>
      <c r="Y340" s="1"/>
    </row>
    <row r="341" spans="1:25" ht="14.25" customHeight="1">
      <c r="A341" s="1"/>
      <c r="B341" s="1">
        <v>324</v>
      </c>
      <c r="C341" s="1" t="s">
        <v>288</v>
      </c>
      <c r="D341" s="1" t="s">
        <v>187</v>
      </c>
      <c r="E341" s="1" t="s">
        <v>189</v>
      </c>
      <c r="F341" s="1" t="s">
        <v>131</v>
      </c>
      <c r="G341" s="1" t="s">
        <v>1141</v>
      </c>
      <c r="H341" s="1" t="s">
        <v>24</v>
      </c>
      <c r="I341" s="1" t="s">
        <v>130</v>
      </c>
      <c r="J341" s="1" t="s">
        <v>158</v>
      </c>
      <c r="K341" s="1" t="s">
        <v>91</v>
      </c>
      <c r="L341" s="1"/>
      <c r="M341" s="1"/>
      <c r="N341" s="1" t="str">
        <f t="shared" si="51"/>
        <v>No</v>
      </c>
      <c r="O341" s="1">
        <f t="shared" si="52"/>
        <v>3</v>
      </c>
      <c r="P341" s="1">
        <f t="shared" si="53"/>
        <v>95</v>
      </c>
      <c r="Q341" s="1">
        <f t="shared" si="53"/>
        <v>8</v>
      </c>
      <c r="R341" s="1">
        <f t="shared" si="50"/>
        <v>0</v>
      </c>
      <c r="S341" s="34">
        <f t="shared" si="50"/>
        <v>90.52</v>
      </c>
      <c r="T341" s="1" t="str">
        <f t="shared" si="54"/>
        <v>caught</v>
      </c>
      <c r="U341" s="1" t="str">
        <f t="shared" si="55"/>
        <v>1</v>
      </c>
      <c r="V341" s="1" t="str">
        <f t="shared" si="56"/>
        <v xml:space="preserve"> Australia</v>
      </c>
      <c r="W341" s="1" t="str">
        <f t="shared" si="57"/>
        <v>Brisbane</v>
      </c>
      <c r="X341" s="1" t="str">
        <f t="shared" si="58"/>
        <v>Yes</v>
      </c>
      <c r="Y341" s="1"/>
    </row>
    <row r="342" spans="1:25" ht="14.25" customHeight="1">
      <c r="A342" s="1"/>
      <c r="B342" s="1">
        <v>325</v>
      </c>
      <c r="C342" s="1" t="s">
        <v>202</v>
      </c>
      <c r="D342" s="1" t="s">
        <v>136</v>
      </c>
      <c r="E342" s="1" t="s">
        <v>130</v>
      </c>
      <c r="F342" s="1" t="s">
        <v>131</v>
      </c>
      <c r="G342" s="1" t="s">
        <v>496</v>
      </c>
      <c r="H342" s="1" t="s">
        <v>24</v>
      </c>
      <c r="I342" s="1" t="s">
        <v>130</v>
      </c>
      <c r="J342" s="1" t="s">
        <v>158</v>
      </c>
      <c r="K342" s="1" t="s">
        <v>89</v>
      </c>
      <c r="L342" s="1"/>
      <c r="M342" s="1"/>
      <c r="N342" s="1" t="str">
        <f t="shared" si="51"/>
        <v>No</v>
      </c>
      <c r="O342" s="1">
        <f t="shared" si="52"/>
        <v>8</v>
      </c>
      <c r="P342" s="1">
        <f t="shared" si="53"/>
        <v>6</v>
      </c>
      <c r="Q342" s="1">
        <f t="shared" si="53"/>
        <v>1</v>
      </c>
      <c r="R342" s="1">
        <f t="shared" si="50"/>
        <v>0</v>
      </c>
      <c r="S342" s="34">
        <f t="shared" si="50"/>
        <v>83.33</v>
      </c>
      <c r="T342" s="1" t="str">
        <f t="shared" si="54"/>
        <v>caught</v>
      </c>
      <c r="U342" s="1" t="str">
        <f t="shared" si="55"/>
        <v>1</v>
      </c>
      <c r="V342" s="1" t="str">
        <f t="shared" si="56"/>
        <v xml:space="preserve"> Australia</v>
      </c>
      <c r="W342" s="1" t="str">
        <f t="shared" si="57"/>
        <v>W.A.C.A</v>
      </c>
      <c r="X342" s="1" t="str">
        <f t="shared" si="58"/>
        <v>Yes</v>
      </c>
      <c r="Y342" s="1"/>
    </row>
    <row r="343" spans="1:25" ht="14.25" customHeight="1">
      <c r="A343" s="1"/>
      <c r="B343" s="1">
        <v>326</v>
      </c>
      <c r="C343" s="1" t="s">
        <v>148</v>
      </c>
      <c r="D343" s="1" t="s">
        <v>189</v>
      </c>
      <c r="E343" s="1" t="s">
        <v>131</v>
      </c>
      <c r="F343" s="1" t="s">
        <v>131</v>
      </c>
      <c r="G343" s="1" t="s">
        <v>388</v>
      </c>
      <c r="H343" s="1" t="s">
        <v>24</v>
      </c>
      <c r="I343" s="1" t="s">
        <v>151</v>
      </c>
      <c r="J343" s="1" t="s">
        <v>195</v>
      </c>
      <c r="K343" s="1" t="s">
        <v>89</v>
      </c>
      <c r="L343" s="1"/>
      <c r="M343" s="1"/>
      <c r="N343" s="1" t="str">
        <f t="shared" si="51"/>
        <v>No</v>
      </c>
      <c r="O343" s="1">
        <f t="shared" si="52"/>
        <v>27</v>
      </c>
      <c r="P343" s="1">
        <f t="shared" si="53"/>
        <v>8</v>
      </c>
      <c r="Q343" s="1">
        <f t="shared" si="53"/>
        <v>0</v>
      </c>
      <c r="R343" s="1">
        <f t="shared" si="50"/>
        <v>0</v>
      </c>
      <c r="S343" s="34">
        <f t="shared" si="50"/>
        <v>37.5</v>
      </c>
      <c r="T343" s="1" t="str">
        <f t="shared" si="54"/>
        <v>caught</v>
      </c>
      <c r="U343" s="1" t="str">
        <f t="shared" si="55"/>
        <v>2</v>
      </c>
      <c r="V343" s="1" t="str">
        <f t="shared" si="56"/>
        <v xml:space="preserve"> Zimbabwe</v>
      </c>
      <c r="W343" s="1" t="str">
        <f t="shared" si="57"/>
        <v>W.A.C.A</v>
      </c>
      <c r="X343" s="1" t="str">
        <f t="shared" si="58"/>
        <v>Yes</v>
      </c>
      <c r="Y343" s="1"/>
    </row>
    <row r="344" spans="1:25" ht="14.25" customHeight="1">
      <c r="A344" s="1"/>
      <c r="B344" s="1">
        <v>327</v>
      </c>
      <c r="C344" s="1" t="s">
        <v>189</v>
      </c>
      <c r="D344" s="1" t="s">
        <v>129</v>
      </c>
      <c r="E344" s="1" t="s">
        <v>130</v>
      </c>
      <c r="F344" s="1" t="s">
        <v>131</v>
      </c>
      <c r="G344" s="1" t="s">
        <v>814</v>
      </c>
      <c r="H344" s="1" t="s">
        <v>29</v>
      </c>
      <c r="I344" s="1" t="s">
        <v>130</v>
      </c>
      <c r="J344" s="1" t="s">
        <v>158</v>
      </c>
      <c r="K344" s="1" t="s">
        <v>88</v>
      </c>
      <c r="L344" s="1"/>
      <c r="M344" s="1"/>
      <c r="N344" s="1" t="str">
        <f t="shared" si="51"/>
        <v>No</v>
      </c>
      <c r="O344" s="1">
        <f t="shared" si="52"/>
        <v>28</v>
      </c>
      <c r="P344" s="1">
        <f t="shared" si="53"/>
        <v>22</v>
      </c>
      <c r="Q344" s="1">
        <f t="shared" si="53"/>
        <v>1</v>
      </c>
      <c r="R344" s="1">
        <f t="shared" si="50"/>
        <v>0</v>
      </c>
      <c r="S344" s="34">
        <f t="shared" si="50"/>
        <v>36.36</v>
      </c>
      <c r="T344" s="1" t="str">
        <f t="shared" si="54"/>
        <v>bowled</v>
      </c>
      <c r="U344" s="1" t="str">
        <f t="shared" si="55"/>
        <v>1</v>
      </c>
      <c r="V344" s="1" t="str">
        <f t="shared" si="56"/>
        <v xml:space="preserve"> Australia</v>
      </c>
      <c r="W344" s="1" t="str">
        <f t="shared" si="57"/>
        <v>Melbourne</v>
      </c>
      <c r="X344" s="1" t="str">
        <f t="shared" si="58"/>
        <v>Yes</v>
      </c>
      <c r="Y344" s="1"/>
    </row>
    <row r="345" spans="1:25" ht="14.25" customHeight="1">
      <c r="A345" s="1"/>
      <c r="B345" s="1">
        <v>328</v>
      </c>
      <c r="C345" s="1" t="s">
        <v>169</v>
      </c>
      <c r="D345" s="1" t="s">
        <v>359</v>
      </c>
      <c r="E345" s="1" t="s">
        <v>140</v>
      </c>
      <c r="F345" s="1" t="s">
        <v>131</v>
      </c>
      <c r="G345" s="1" t="s">
        <v>1142</v>
      </c>
      <c r="H345" s="1" t="s">
        <v>24</v>
      </c>
      <c r="I345" s="1" t="s">
        <v>151</v>
      </c>
      <c r="J345" s="1" t="s">
        <v>158</v>
      </c>
      <c r="K345" s="1" t="s">
        <v>92</v>
      </c>
      <c r="L345" s="1"/>
      <c r="M345" s="1"/>
      <c r="N345" s="1" t="str">
        <f t="shared" si="51"/>
        <v>No</v>
      </c>
      <c r="O345" s="1">
        <f t="shared" si="52"/>
        <v>141</v>
      </c>
      <c r="P345" s="1">
        <f t="shared" si="53"/>
        <v>40</v>
      </c>
      <c r="Q345" s="1">
        <f t="shared" si="53"/>
        <v>4</v>
      </c>
      <c r="R345" s="1">
        <f t="shared" si="50"/>
        <v>0</v>
      </c>
      <c r="S345" s="34">
        <f t="shared" si="50"/>
        <v>67.5</v>
      </c>
      <c r="T345" s="1" t="str">
        <f t="shared" si="54"/>
        <v>caught</v>
      </c>
      <c r="U345" s="1" t="str">
        <f t="shared" si="55"/>
        <v>2</v>
      </c>
      <c r="V345" s="1" t="str">
        <f t="shared" si="56"/>
        <v xml:space="preserve"> Australia</v>
      </c>
      <c r="W345" s="1" t="str">
        <f t="shared" si="57"/>
        <v>Sydney</v>
      </c>
      <c r="X345" s="1" t="str">
        <f t="shared" si="58"/>
        <v>Yes</v>
      </c>
      <c r="Y345" s="1"/>
    </row>
    <row r="346" spans="1:25" ht="14.25" customHeight="1">
      <c r="A346" s="1"/>
      <c r="B346" s="1">
        <v>329</v>
      </c>
      <c r="C346" s="1" t="s">
        <v>207</v>
      </c>
      <c r="D346" s="1" t="s">
        <v>248</v>
      </c>
      <c r="E346" s="1" t="s">
        <v>140</v>
      </c>
      <c r="F346" s="1" t="s">
        <v>130</v>
      </c>
      <c r="G346" s="1" t="s">
        <v>361</v>
      </c>
      <c r="H346" s="1" t="s">
        <v>24</v>
      </c>
      <c r="I346" s="1" t="s">
        <v>130</v>
      </c>
      <c r="J346" s="1" t="s">
        <v>156</v>
      </c>
      <c r="K346" s="1" t="s">
        <v>568</v>
      </c>
      <c r="L346" s="1"/>
      <c r="M346" s="1"/>
      <c r="N346" s="1" t="str">
        <f t="shared" si="51"/>
        <v>No</v>
      </c>
      <c r="O346" s="1">
        <f t="shared" si="52"/>
        <v>0</v>
      </c>
      <c r="P346" s="1">
        <f t="shared" si="53"/>
        <v>35</v>
      </c>
      <c r="Q346" s="1">
        <f t="shared" si="53"/>
        <v>4</v>
      </c>
      <c r="R346" s="1">
        <f t="shared" si="50"/>
        <v>1</v>
      </c>
      <c r="S346" s="34">
        <f t="shared" si="50"/>
        <v>80</v>
      </c>
      <c r="T346" s="1" t="str">
        <f t="shared" si="54"/>
        <v>caught</v>
      </c>
      <c r="U346" s="1" t="str">
        <f t="shared" si="55"/>
        <v>1</v>
      </c>
      <c r="V346" s="1" t="str">
        <f t="shared" si="56"/>
        <v xml:space="preserve"> Pakistan</v>
      </c>
      <c r="W346" s="1" t="str">
        <f t="shared" si="57"/>
        <v>Karachi</v>
      </c>
      <c r="X346" s="1" t="str">
        <f t="shared" si="58"/>
        <v>Yes</v>
      </c>
      <c r="Y346" s="1"/>
    </row>
    <row r="347" spans="1:25" ht="14.25" customHeight="1">
      <c r="A347" s="1"/>
      <c r="B347" s="1">
        <v>330</v>
      </c>
      <c r="C347" s="1" t="s">
        <v>1064</v>
      </c>
      <c r="D347" s="1" t="s">
        <v>1143</v>
      </c>
      <c r="E347" s="1" t="s">
        <v>306</v>
      </c>
      <c r="F347" s="1" t="s">
        <v>130</v>
      </c>
      <c r="G347" s="1" t="s">
        <v>1144</v>
      </c>
      <c r="H347" s="1" t="s">
        <v>24</v>
      </c>
      <c r="I347" s="1" t="s">
        <v>151</v>
      </c>
      <c r="J347" s="1" t="s">
        <v>156</v>
      </c>
      <c r="K347" s="1" t="s">
        <v>562</v>
      </c>
      <c r="L347" s="1"/>
      <c r="M347" s="1"/>
      <c r="N347" s="1" t="str">
        <f t="shared" si="51"/>
        <v>No</v>
      </c>
      <c r="O347" s="1">
        <f t="shared" si="52"/>
        <v>7</v>
      </c>
      <c r="P347" s="1">
        <f t="shared" si="53"/>
        <v>135</v>
      </c>
      <c r="Q347" s="1">
        <f t="shared" si="53"/>
        <v>17</v>
      </c>
      <c r="R347" s="1">
        <f t="shared" si="50"/>
        <v>1</v>
      </c>
      <c r="S347" s="34">
        <f t="shared" si="50"/>
        <v>104.44</v>
      </c>
      <c r="T347" s="1" t="str">
        <f t="shared" si="54"/>
        <v>caught</v>
      </c>
      <c r="U347" s="1" t="str">
        <f t="shared" si="55"/>
        <v>2</v>
      </c>
      <c r="V347" s="1" t="str">
        <f t="shared" si="56"/>
        <v xml:space="preserve"> Pakistan</v>
      </c>
      <c r="W347" s="1" t="str">
        <f t="shared" si="57"/>
        <v>Rawalpindi</v>
      </c>
      <c r="X347" s="1" t="str">
        <f t="shared" si="58"/>
        <v>Yes</v>
      </c>
      <c r="Y347" s="1"/>
    </row>
    <row r="348" spans="1:25" ht="14.25" customHeight="1">
      <c r="A348" s="1"/>
      <c r="B348" s="1">
        <v>331</v>
      </c>
      <c r="C348" s="1" t="s">
        <v>131</v>
      </c>
      <c r="D348" s="1" t="s">
        <v>202</v>
      </c>
      <c r="E348" s="1" t="s">
        <v>131</v>
      </c>
      <c r="F348" s="1" t="s">
        <v>131</v>
      </c>
      <c r="G348" s="1" t="s">
        <v>210</v>
      </c>
      <c r="H348" s="1" t="s">
        <v>24</v>
      </c>
      <c r="I348" s="1" t="s">
        <v>130</v>
      </c>
      <c r="J348" s="1" t="s">
        <v>156</v>
      </c>
      <c r="K348" s="1" t="s">
        <v>561</v>
      </c>
      <c r="L348" s="1"/>
      <c r="M348" s="1"/>
      <c r="N348" s="1" t="str">
        <f t="shared" si="51"/>
        <v>No</v>
      </c>
      <c r="O348" s="1">
        <f t="shared" si="52"/>
        <v>37</v>
      </c>
      <c r="P348" s="1">
        <f t="shared" si="53"/>
        <v>5</v>
      </c>
      <c r="Q348" s="1">
        <f t="shared" si="53"/>
        <v>0</v>
      </c>
      <c r="R348" s="1">
        <f t="shared" si="50"/>
        <v>0</v>
      </c>
      <c r="S348" s="34">
        <f t="shared" si="50"/>
        <v>0</v>
      </c>
      <c r="T348" s="1" t="str">
        <f t="shared" si="54"/>
        <v>caught</v>
      </c>
      <c r="U348" s="1" t="str">
        <f t="shared" si="55"/>
        <v>1</v>
      </c>
      <c r="V348" s="1" t="str">
        <f t="shared" si="56"/>
        <v xml:space="preserve"> Pakistan</v>
      </c>
      <c r="W348" s="1" t="str">
        <f t="shared" si="57"/>
        <v>Peshawar</v>
      </c>
      <c r="X348" s="1" t="str">
        <f t="shared" si="58"/>
        <v>Yes</v>
      </c>
      <c r="Y348" s="1"/>
    </row>
    <row r="349" spans="1:25" ht="14.25" customHeight="1">
      <c r="A349" s="1"/>
      <c r="B349" s="1">
        <v>332</v>
      </c>
      <c r="C349" s="1" t="s">
        <v>144</v>
      </c>
      <c r="D349" s="1" t="s">
        <v>325</v>
      </c>
      <c r="E349" s="1" t="s">
        <v>130</v>
      </c>
      <c r="F349" s="1" t="s">
        <v>131</v>
      </c>
      <c r="G349" s="1" t="s">
        <v>558</v>
      </c>
      <c r="H349" s="1" t="s">
        <v>24</v>
      </c>
      <c r="I349" s="1" t="s">
        <v>151</v>
      </c>
      <c r="J349" s="1" t="s">
        <v>156</v>
      </c>
      <c r="K349" s="1" t="s">
        <v>565</v>
      </c>
      <c r="L349" s="1"/>
      <c r="M349" s="1"/>
      <c r="N349" s="1" t="str">
        <f t="shared" si="51"/>
        <v>No</v>
      </c>
      <c r="O349" s="1">
        <f t="shared" si="52"/>
        <v>18</v>
      </c>
      <c r="P349" s="1">
        <f t="shared" si="53"/>
        <v>13</v>
      </c>
      <c r="Q349" s="1">
        <f t="shared" si="53"/>
        <v>1</v>
      </c>
      <c r="R349" s="1">
        <f t="shared" si="50"/>
        <v>0</v>
      </c>
      <c r="S349" s="34">
        <f t="shared" si="50"/>
        <v>53.84</v>
      </c>
      <c r="T349" s="1" t="str">
        <f t="shared" si="54"/>
        <v>caught</v>
      </c>
      <c r="U349" s="1" t="str">
        <f t="shared" si="55"/>
        <v>2</v>
      </c>
      <c r="V349" s="1" t="str">
        <f t="shared" si="56"/>
        <v xml:space="preserve"> Pakistan</v>
      </c>
      <c r="W349" s="1" t="str">
        <f t="shared" si="57"/>
        <v>Lahore</v>
      </c>
      <c r="X349" s="1" t="str">
        <f t="shared" si="58"/>
        <v>Yes</v>
      </c>
      <c r="Y349" s="1"/>
    </row>
    <row r="350" spans="1:25" ht="14.25" customHeight="1">
      <c r="A350" s="1"/>
      <c r="B350" s="1">
        <v>333</v>
      </c>
      <c r="C350" s="1" t="s">
        <v>134</v>
      </c>
      <c r="D350" s="1" t="s">
        <v>355</v>
      </c>
      <c r="E350" s="1" t="s">
        <v>144</v>
      </c>
      <c r="F350" s="1" t="s">
        <v>131</v>
      </c>
      <c r="G350" s="1" t="s">
        <v>1145</v>
      </c>
      <c r="H350" s="1" t="s">
        <v>24</v>
      </c>
      <c r="I350" s="1" t="s">
        <v>130</v>
      </c>
      <c r="J350" s="1" t="s">
        <v>156</v>
      </c>
      <c r="K350" s="1" t="s">
        <v>565</v>
      </c>
      <c r="L350" s="1"/>
      <c r="M350" s="1"/>
      <c r="N350" s="1" t="str">
        <f t="shared" si="51"/>
        <v>No</v>
      </c>
      <c r="O350" s="1">
        <f t="shared" si="52"/>
        <v>11</v>
      </c>
      <c r="P350" s="1">
        <f t="shared" si="53"/>
        <v>48</v>
      </c>
      <c r="Q350" s="1">
        <f t="shared" si="53"/>
        <v>7</v>
      </c>
      <c r="R350" s="1">
        <f t="shared" si="50"/>
        <v>0</v>
      </c>
      <c r="S350" s="34">
        <f t="shared" si="50"/>
        <v>77.08</v>
      </c>
      <c r="T350" s="1" t="str">
        <f t="shared" si="54"/>
        <v>caught</v>
      </c>
      <c r="U350" s="1" t="str">
        <f t="shared" si="55"/>
        <v>1</v>
      </c>
      <c r="V350" s="1" t="str">
        <f t="shared" si="56"/>
        <v xml:space="preserve"> Pakistan</v>
      </c>
      <c r="W350" s="1" t="str">
        <f t="shared" si="57"/>
        <v>Lahore</v>
      </c>
      <c r="X350" s="1" t="str">
        <f t="shared" si="58"/>
        <v>Yes</v>
      </c>
      <c r="Y350" s="1"/>
    </row>
    <row r="351" spans="1:25" ht="14.25" customHeight="1">
      <c r="A351" s="1"/>
      <c r="B351" s="1">
        <v>334</v>
      </c>
      <c r="C351" s="1" t="s">
        <v>199</v>
      </c>
      <c r="D351" s="1" t="s">
        <v>138</v>
      </c>
      <c r="E351" s="1" t="s">
        <v>151</v>
      </c>
      <c r="F351" s="1" t="s">
        <v>131</v>
      </c>
      <c r="G351" s="1" t="s">
        <v>1056</v>
      </c>
      <c r="H351" s="1" t="s">
        <v>24</v>
      </c>
      <c r="I351" s="1" t="s">
        <v>130</v>
      </c>
      <c r="J351" s="1" t="s">
        <v>383</v>
      </c>
      <c r="K351" s="1" t="s">
        <v>21</v>
      </c>
      <c r="L351" s="1"/>
      <c r="M351" s="1"/>
      <c r="N351" s="1" t="str">
        <f t="shared" si="51"/>
        <v>No</v>
      </c>
      <c r="O351" s="1">
        <f t="shared" si="52"/>
        <v>82</v>
      </c>
      <c r="P351" s="1">
        <f t="shared" si="53"/>
        <v>25</v>
      </c>
      <c r="Q351" s="1">
        <f t="shared" si="53"/>
        <v>2</v>
      </c>
      <c r="R351" s="1">
        <f t="shared" si="50"/>
        <v>0</v>
      </c>
      <c r="S351" s="34">
        <f t="shared" si="50"/>
        <v>72</v>
      </c>
      <c r="T351" s="1" t="str">
        <f t="shared" si="54"/>
        <v>caught</v>
      </c>
      <c r="U351" s="1" t="str">
        <f t="shared" si="55"/>
        <v>1</v>
      </c>
      <c r="V351" s="1" t="str">
        <f t="shared" si="56"/>
        <v xml:space="preserve"> U.A.E.</v>
      </c>
      <c r="W351" s="1" t="str">
        <f t="shared" si="57"/>
        <v>Dambulla</v>
      </c>
      <c r="X351" s="1" t="str">
        <f t="shared" si="58"/>
        <v>Yes</v>
      </c>
      <c r="Y351" s="1"/>
    </row>
    <row r="352" spans="1:25" ht="14.25" customHeight="1">
      <c r="A352" s="1"/>
      <c r="B352" s="1">
        <v>335</v>
      </c>
      <c r="C352" s="1" t="s">
        <v>176</v>
      </c>
      <c r="D352" s="1" t="s">
        <v>325</v>
      </c>
      <c r="E352" s="1" t="s">
        <v>151</v>
      </c>
      <c r="F352" s="1" t="s">
        <v>131</v>
      </c>
      <c r="G352" s="1" t="s">
        <v>998</v>
      </c>
      <c r="H352" s="1" t="s">
        <v>24</v>
      </c>
      <c r="I352" s="1" t="s">
        <v>151</v>
      </c>
      <c r="J352" s="1" t="s">
        <v>133</v>
      </c>
      <c r="K352" s="1" t="s">
        <v>21</v>
      </c>
      <c r="L352" s="1"/>
      <c r="M352" s="1"/>
      <c r="N352" s="1" t="str">
        <f t="shared" si="51"/>
        <v>No</v>
      </c>
      <c r="O352" s="1">
        <f t="shared" si="52"/>
        <v>78</v>
      </c>
      <c r="P352" s="1">
        <f t="shared" si="53"/>
        <v>13</v>
      </c>
      <c r="Q352" s="1">
        <f t="shared" si="53"/>
        <v>2</v>
      </c>
      <c r="R352" s="1">
        <f t="shared" si="50"/>
        <v>0</v>
      </c>
      <c r="S352" s="34">
        <f t="shared" si="50"/>
        <v>84.61</v>
      </c>
      <c r="T352" s="1" t="str">
        <f t="shared" si="54"/>
        <v>caught</v>
      </c>
      <c r="U352" s="1" t="str">
        <f t="shared" si="55"/>
        <v>2</v>
      </c>
      <c r="V352" s="1" t="str">
        <f t="shared" si="56"/>
        <v xml:space="preserve"> Sri Lanka</v>
      </c>
      <c r="W352" s="1" t="str">
        <f t="shared" si="57"/>
        <v>Dambulla</v>
      </c>
      <c r="X352" s="1" t="str">
        <f t="shared" si="58"/>
        <v>Yes</v>
      </c>
      <c r="Y352" s="1"/>
    </row>
    <row r="353" spans="1:25" ht="14.25" customHeight="1">
      <c r="A353" s="1"/>
      <c r="B353" s="1">
        <v>336</v>
      </c>
      <c r="C353" s="1" t="s">
        <v>425</v>
      </c>
      <c r="D353" s="1" t="s">
        <v>374</v>
      </c>
      <c r="E353" s="1" t="s">
        <v>167</v>
      </c>
      <c r="F353" s="1" t="s">
        <v>130</v>
      </c>
      <c r="G353" s="1" t="s">
        <v>1146</v>
      </c>
      <c r="H353" s="1" t="s">
        <v>32</v>
      </c>
      <c r="I353" s="1" t="s">
        <v>151</v>
      </c>
      <c r="J353" s="1" t="s">
        <v>182</v>
      </c>
      <c r="K353" s="1" t="s">
        <v>584</v>
      </c>
      <c r="L353" s="1"/>
      <c r="M353" s="1"/>
      <c r="N353" s="1" t="str">
        <f t="shared" si="51"/>
        <v>No</v>
      </c>
      <c r="O353" s="1">
        <f t="shared" si="52"/>
        <v>18</v>
      </c>
      <c r="P353" s="1">
        <f t="shared" si="53"/>
        <v>126</v>
      </c>
      <c r="Q353" s="1">
        <f t="shared" si="53"/>
        <v>10</v>
      </c>
      <c r="R353" s="1">
        <f t="shared" si="50"/>
        <v>1</v>
      </c>
      <c r="S353" s="34">
        <f t="shared" si="50"/>
        <v>65.069999999999993</v>
      </c>
      <c r="T353" s="1" t="str">
        <f t="shared" si="54"/>
        <v>not out</v>
      </c>
      <c r="U353" s="1" t="str">
        <f t="shared" si="55"/>
        <v>2</v>
      </c>
      <c r="V353" s="1" t="str">
        <f t="shared" si="56"/>
        <v xml:space="preserve"> Bangladesh</v>
      </c>
      <c r="W353" s="1" t="str">
        <f t="shared" si="57"/>
        <v>Colombo (SSC)</v>
      </c>
      <c r="X353" s="1" t="str">
        <f t="shared" si="58"/>
        <v>No</v>
      </c>
      <c r="Y353" s="1"/>
    </row>
    <row r="354" spans="1:25" ht="14.25" customHeight="1">
      <c r="A354" s="1"/>
      <c r="B354" s="1">
        <v>337</v>
      </c>
      <c r="C354" s="1" t="s">
        <v>348</v>
      </c>
      <c r="D354" s="1" t="s">
        <v>251</v>
      </c>
      <c r="E354" s="1" t="s">
        <v>136</v>
      </c>
      <c r="F354" s="1" t="s">
        <v>131</v>
      </c>
      <c r="G354" s="1" t="s">
        <v>1147</v>
      </c>
      <c r="H354" s="1" t="s">
        <v>24</v>
      </c>
      <c r="I354" s="1" t="s">
        <v>151</v>
      </c>
      <c r="J354" s="1" t="s">
        <v>156</v>
      </c>
      <c r="K354" s="1" t="s">
        <v>27</v>
      </c>
      <c r="L354" s="1"/>
      <c r="M354" s="1"/>
      <c r="N354" s="1" t="str">
        <f t="shared" si="51"/>
        <v>No</v>
      </c>
      <c r="O354" s="1">
        <f t="shared" si="52"/>
        <v>74</v>
      </c>
      <c r="P354" s="1">
        <f t="shared" si="53"/>
        <v>103</v>
      </c>
      <c r="Q354" s="1">
        <f t="shared" si="53"/>
        <v>6</v>
      </c>
      <c r="R354" s="1">
        <f t="shared" ref="R354:S417" si="59">IF(F354="-","NA",F354*1)</f>
        <v>0</v>
      </c>
      <c r="S354" s="34">
        <f t="shared" si="59"/>
        <v>75.72</v>
      </c>
      <c r="T354" s="1" t="str">
        <f t="shared" si="54"/>
        <v>caught</v>
      </c>
      <c r="U354" s="1" t="str">
        <f t="shared" si="55"/>
        <v>2</v>
      </c>
      <c r="V354" s="1" t="str">
        <f t="shared" si="56"/>
        <v xml:space="preserve"> Pakistan</v>
      </c>
      <c r="W354" s="1" t="str">
        <f t="shared" si="57"/>
        <v>Colombo (RPS)</v>
      </c>
      <c r="X354" s="1" t="str">
        <f t="shared" si="58"/>
        <v>Yes</v>
      </c>
      <c r="Y354" s="1"/>
    </row>
    <row r="355" spans="1:25" ht="14.25" customHeight="1">
      <c r="A355" s="1"/>
      <c r="B355" s="1">
        <v>338</v>
      </c>
      <c r="C355" s="1" t="s">
        <v>199</v>
      </c>
      <c r="D355" s="1" t="s">
        <v>246</v>
      </c>
      <c r="E355" s="1" t="s">
        <v>148</v>
      </c>
      <c r="F355" s="1" t="s">
        <v>131</v>
      </c>
      <c r="G355" s="1" t="s">
        <v>520</v>
      </c>
      <c r="H355" s="1" t="s">
        <v>19</v>
      </c>
      <c r="I355" s="1" t="s">
        <v>130</v>
      </c>
      <c r="J355" s="1" t="s">
        <v>133</v>
      </c>
      <c r="K355" s="1" t="s">
        <v>27</v>
      </c>
      <c r="L355" s="1"/>
      <c r="M355" s="1"/>
      <c r="N355" s="1" t="str">
        <f t="shared" si="51"/>
        <v>No</v>
      </c>
      <c r="O355" s="1">
        <f t="shared" si="52"/>
        <v>16</v>
      </c>
      <c r="P355" s="1">
        <f t="shared" si="53"/>
        <v>21</v>
      </c>
      <c r="Q355" s="1">
        <f t="shared" si="53"/>
        <v>3</v>
      </c>
      <c r="R355" s="1">
        <f t="shared" si="59"/>
        <v>0</v>
      </c>
      <c r="S355" s="34">
        <f t="shared" si="59"/>
        <v>85.71</v>
      </c>
      <c r="T355" s="1" t="str">
        <f t="shared" si="54"/>
        <v>lbw</v>
      </c>
      <c r="U355" s="1" t="str">
        <f t="shared" si="55"/>
        <v>1</v>
      </c>
      <c r="V355" s="1" t="str">
        <f t="shared" si="56"/>
        <v xml:space="preserve"> Sri Lanka</v>
      </c>
      <c r="W355" s="1" t="str">
        <f t="shared" si="57"/>
        <v>Colombo (RPS)</v>
      </c>
      <c r="X355" s="1" t="str">
        <f t="shared" si="58"/>
        <v>Yes</v>
      </c>
      <c r="Y355" s="1"/>
    </row>
    <row r="356" spans="1:25" ht="14.25" customHeight="1">
      <c r="A356" s="1"/>
      <c r="B356" s="1">
        <v>339</v>
      </c>
      <c r="C356" s="1" t="s">
        <v>466</v>
      </c>
      <c r="D356" s="1" t="s">
        <v>342</v>
      </c>
      <c r="E356" s="1" t="s">
        <v>144</v>
      </c>
      <c r="F356" s="1" t="s">
        <v>130</v>
      </c>
      <c r="G356" s="1" t="s">
        <v>631</v>
      </c>
      <c r="H356" s="1" t="s">
        <v>29</v>
      </c>
      <c r="I356" s="1" t="s">
        <v>151</v>
      </c>
      <c r="J356" s="1" t="s">
        <v>133</v>
      </c>
      <c r="K356" s="1" t="s">
        <v>27</v>
      </c>
      <c r="L356" s="1"/>
      <c r="M356" s="1"/>
      <c r="N356" s="1" t="str">
        <f t="shared" si="51"/>
        <v>No</v>
      </c>
      <c r="O356" s="1">
        <f t="shared" si="52"/>
        <v>19</v>
      </c>
      <c r="P356" s="1">
        <f t="shared" si="53"/>
        <v>100</v>
      </c>
      <c r="Q356" s="1">
        <f t="shared" si="53"/>
        <v>7</v>
      </c>
      <c r="R356" s="1">
        <f t="shared" si="59"/>
        <v>1</v>
      </c>
      <c r="S356" s="34">
        <f t="shared" si="59"/>
        <v>74</v>
      </c>
      <c r="T356" s="1" t="str">
        <f t="shared" si="54"/>
        <v>bowled</v>
      </c>
      <c r="U356" s="1" t="str">
        <f t="shared" si="55"/>
        <v>2</v>
      </c>
      <c r="V356" s="1" t="str">
        <f t="shared" si="56"/>
        <v xml:space="preserve"> Sri Lanka</v>
      </c>
      <c r="W356" s="1" t="str">
        <f t="shared" si="57"/>
        <v>Colombo (RPS)</v>
      </c>
      <c r="X356" s="1" t="str">
        <f t="shared" si="58"/>
        <v>Yes</v>
      </c>
      <c r="Y356" s="1"/>
    </row>
    <row r="357" spans="1:25" ht="14.25" customHeight="1">
      <c r="A357" s="1"/>
      <c r="B357" s="1">
        <v>340</v>
      </c>
      <c r="C357" s="1" t="s">
        <v>153</v>
      </c>
      <c r="D357" s="1" t="s">
        <v>306</v>
      </c>
      <c r="E357" s="1" t="s">
        <v>151</v>
      </c>
      <c r="F357" s="1" t="s">
        <v>131</v>
      </c>
      <c r="G357" s="1" t="s">
        <v>278</v>
      </c>
      <c r="H357" s="1" t="s">
        <v>26</v>
      </c>
      <c r="I357" s="1" t="s">
        <v>130</v>
      </c>
      <c r="J357" s="1" t="s">
        <v>156</v>
      </c>
      <c r="K357" s="1" t="s">
        <v>51</v>
      </c>
      <c r="L357" s="1"/>
      <c r="M357" s="1"/>
      <c r="N357" s="1" t="str">
        <f t="shared" si="51"/>
        <v>No</v>
      </c>
      <c r="O357" s="1">
        <f t="shared" si="52"/>
        <v>47</v>
      </c>
      <c r="P357" s="1">
        <f t="shared" si="53"/>
        <v>17</v>
      </c>
      <c r="Q357" s="1">
        <f t="shared" si="53"/>
        <v>2</v>
      </c>
      <c r="R357" s="1">
        <f t="shared" si="59"/>
        <v>0</v>
      </c>
      <c r="S357" s="34">
        <f t="shared" si="59"/>
        <v>94.11</v>
      </c>
      <c r="T357" s="1" t="str">
        <f t="shared" si="54"/>
        <v>run out</v>
      </c>
      <c r="U357" s="1" t="str">
        <f t="shared" si="55"/>
        <v>1</v>
      </c>
      <c r="V357" s="1" t="str">
        <f t="shared" si="56"/>
        <v xml:space="preserve"> Pakistan</v>
      </c>
      <c r="W357" s="1" t="str">
        <f t="shared" si="57"/>
        <v>Eden Gardens</v>
      </c>
      <c r="X357" s="1" t="str">
        <f t="shared" si="58"/>
        <v>Yes</v>
      </c>
      <c r="Y357" s="1"/>
    </row>
    <row r="358" spans="1:25" ht="14.25" customHeight="1">
      <c r="A358" s="1"/>
      <c r="B358" s="1">
        <v>341</v>
      </c>
      <c r="C358" s="1" t="s">
        <v>170</v>
      </c>
      <c r="D358" s="1" t="s">
        <v>521</v>
      </c>
      <c r="E358" s="1" t="s">
        <v>148</v>
      </c>
      <c r="F358" s="1" t="s">
        <v>131</v>
      </c>
      <c r="G358" s="1" t="s">
        <v>1148</v>
      </c>
      <c r="H358" s="1" t="s">
        <v>24</v>
      </c>
      <c r="I358" s="1" t="s">
        <v>130</v>
      </c>
      <c r="J358" s="1" t="s">
        <v>182</v>
      </c>
      <c r="K358" s="1" t="s">
        <v>118</v>
      </c>
      <c r="L358" s="1"/>
      <c r="M358" s="1"/>
      <c r="N358" s="1" t="str">
        <f t="shared" si="51"/>
        <v>No</v>
      </c>
      <c r="O358" s="1">
        <f t="shared" si="52"/>
        <v>4</v>
      </c>
      <c r="P358" s="1">
        <f t="shared" si="53"/>
        <v>32</v>
      </c>
      <c r="Q358" s="1">
        <f t="shared" si="53"/>
        <v>3</v>
      </c>
      <c r="R358" s="1">
        <f t="shared" si="59"/>
        <v>0</v>
      </c>
      <c r="S358" s="34">
        <f t="shared" si="59"/>
        <v>59.37</v>
      </c>
      <c r="T358" s="1" t="str">
        <f t="shared" si="54"/>
        <v>caught</v>
      </c>
      <c r="U358" s="1" t="str">
        <f t="shared" si="55"/>
        <v>1</v>
      </c>
      <c r="V358" s="1" t="str">
        <f t="shared" si="56"/>
        <v xml:space="preserve"> Bangladesh</v>
      </c>
      <c r="W358" s="1" t="str">
        <f t="shared" si="57"/>
        <v>Chattogram</v>
      </c>
      <c r="X358" s="1" t="str">
        <f t="shared" si="58"/>
        <v>Yes</v>
      </c>
      <c r="Y358" s="1"/>
    </row>
    <row r="359" spans="1:25" ht="14.25" customHeight="1">
      <c r="A359" s="1"/>
      <c r="B359" s="1">
        <v>342</v>
      </c>
      <c r="C359" s="1" t="s">
        <v>419</v>
      </c>
      <c r="D359" s="1" t="s">
        <v>386</v>
      </c>
      <c r="E359" s="1" t="s">
        <v>161</v>
      </c>
      <c r="F359" s="1" t="s">
        <v>131</v>
      </c>
      <c r="G359" s="1" t="s">
        <v>1149</v>
      </c>
      <c r="H359" s="1" t="s">
        <v>24</v>
      </c>
      <c r="I359" s="1" t="s">
        <v>130</v>
      </c>
      <c r="J359" s="1" t="s">
        <v>182</v>
      </c>
      <c r="K359" s="1" t="s">
        <v>531</v>
      </c>
      <c r="L359" s="1"/>
      <c r="M359" s="1"/>
      <c r="N359" s="1" t="str">
        <f t="shared" si="51"/>
        <v>No</v>
      </c>
      <c r="O359" s="1">
        <f t="shared" si="52"/>
        <v>2</v>
      </c>
      <c r="P359" s="1">
        <f t="shared" si="53"/>
        <v>42</v>
      </c>
      <c r="Q359" s="1">
        <f t="shared" si="53"/>
        <v>9</v>
      </c>
      <c r="R359" s="1">
        <f t="shared" si="59"/>
        <v>0</v>
      </c>
      <c r="S359" s="34">
        <f t="shared" si="59"/>
        <v>111.9</v>
      </c>
      <c r="T359" s="1" t="str">
        <f t="shared" si="54"/>
        <v>caught</v>
      </c>
      <c r="U359" s="1" t="str">
        <f t="shared" si="55"/>
        <v>1</v>
      </c>
      <c r="V359" s="1" t="str">
        <f t="shared" si="56"/>
        <v xml:space="preserve"> Bangladesh</v>
      </c>
      <c r="W359" s="1" t="str">
        <f t="shared" si="57"/>
        <v>Dhaka</v>
      </c>
      <c r="X359" s="1" t="str">
        <f t="shared" si="58"/>
        <v>Yes</v>
      </c>
      <c r="Y359" s="1"/>
    </row>
    <row r="360" spans="1:25" ht="14.25" customHeight="1">
      <c r="A360" s="1"/>
      <c r="B360" s="1">
        <v>343</v>
      </c>
      <c r="C360" s="1" t="s">
        <v>140</v>
      </c>
      <c r="D360" s="1" t="s">
        <v>140</v>
      </c>
      <c r="E360" s="1" t="s">
        <v>130</v>
      </c>
      <c r="F360" s="1" t="s">
        <v>131</v>
      </c>
      <c r="G360" s="1" t="s">
        <v>152</v>
      </c>
      <c r="H360" s="1" t="s">
        <v>24</v>
      </c>
      <c r="I360" s="1" t="s">
        <v>130</v>
      </c>
      <c r="J360" s="1" t="s">
        <v>156</v>
      </c>
      <c r="K360" s="1" t="s">
        <v>96</v>
      </c>
      <c r="L360" s="1"/>
      <c r="M360" s="1"/>
      <c r="N360" s="1" t="str">
        <f t="shared" si="51"/>
        <v>No</v>
      </c>
      <c r="O360" s="1">
        <f t="shared" si="52"/>
        <v>6</v>
      </c>
      <c r="P360" s="1">
        <f t="shared" si="53"/>
        <v>4</v>
      </c>
      <c r="Q360" s="1">
        <f t="shared" si="53"/>
        <v>1</v>
      </c>
      <c r="R360" s="1">
        <f t="shared" si="59"/>
        <v>0</v>
      </c>
      <c r="S360" s="34">
        <f t="shared" si="59"/>
        <v>100</v>
      </c>
      <c r="T360" s="1" t="str">
        <f t="shared" si="54"/>
        <v>caught</v>
      </c>
      <c r="U360" s="1" t="str">
        <f t="shared" si="55"/>
        <v>1</v>
      </c>
      <c r="V360" s="1" t="str">
        <f t="shared" si="56"/>
        <v xml:space="preserve"> Pakistan</v>
      </c>
      <c r="W360" s="1" t="str">
        <f t="shared" si="57"/>
        <v>Kochi</v>
      </c>
      <c r="X360" s="1" t="str">
        <f t="shared" si="58"/>
        <v>Yes</v>
      </c>
      <c r="Y360" s="1"/>
    </row>
    <row r="361" spans="1:25" ht="14.25" customHeight="1">
      <c r="A361" s="1"/>
      <c r="B361" s="1">
        <v>344</v>
      </c>
      <c r="C361" s="1" t="s">
        <v>151</v>
      </c>
      <c r="D361" s="1" t="s">
        <v>189</v>
      </c>
      <c r="E361" s="1" t="s">
        <v>131</v>
      </c>
      <c r="F361" s="1" t="s">
        <v>131</v>
      </c>
      <c r="G361" s="1" t="s">
        <v>190</v>
      </c>
      <c r="H361" s="1" t="s">
        <v>26</v>
      </c>
      <c r="I361" s="1" t="s">
        <v>130</v>
      </c>
      <c r="J361" s="1" t="s">
        <v>156</v>
      </c>
      <c r="K361" s="1" t="s">
        <v>65</v>
      </c>
      <c r="L361" s="1"/>
      <c r="M361" s="1"/>
      <c r="N361" s="1" t="str">
        <f t="shared" si="51"/>
        <v>No</v>
      </c>
      <c r="O361" s="1">
        <f t="shared" si="52"/>
        <v>123</v>
      </c>
      <c r="P361" s="1">
        <f t="shared" si="53"/>
        <v>8</v>
      </c>
      <c r="Q361" s="1">
        <f t="shared" si="53"/>
        <v>0</v>
      </c>
      <c r="R361" s="1">
        <f t="shared" si="59"/>
        <v>0</v>
      </c>
      <c r="S361" s="34">
        <f t="shared" si="59"/>
        <v>25</v>
      </c>
      <c r="T361" s="1" t="str">
        <f t="shared" si="54"/>
        <v>run out</v>
      </c>
      <c r="U361" s="1" t="str">
        <f t="shared" si="55"/>
        <v>1</v>
      </c>
      <c r="V361" s="1" t="str">
        <f t="shared" si="56"/>
        <v xml:space="preserve"> Pakistan</v>
      </c>
      <c r="W361" s="1" t="str">
        <f t="shared" si="57"/>
        <v>Visakhapatnam</v>
      </c>
      <c r="X361" s="1" t="str">
        <f t="shared" si="58"/>
        <v>Yes</v>
      </c>
      <c r="Y361" s="1"/>
    </row>
    <row r="362" spans="1:25" ht="14.25" customHeight="1">
      <c r="A362" s="1"/>
      <c r="B362" s="1">
        <v>345</v>
      </c>
      <c r="C362" s="1" t="s">
        <v>136</v>
      </c>
      <c r="D362" s="1" t="s">
        <v>176</v>
      </c>
      <c r="E362" s="1" t="s">
        <v>130</v>
      </c>
      <c r="F362" s="1" t="s">
        <v>131</v>
      </c>
      <c r="G362" s="1" t="s">
        <v>132</v>
      </c>
      <c r="H362" s="1" t="s">
        <v>24</v>
      </c>
      <c r="I362" s="1" t="s">
        <v>151</v>
      </c>
      <c r="J362" s="1" t="s">
        <v>156</v>
      </c>
      <c r="K362" s="1" t="s">
        <v>535</v>
      </c>
      <c r="L362" s="1"/>
      <c r="M362" s="1"/>
      <c r="N362" s="1" t="str">
        <f t="shared" si="51"/>
        <v>No</v>
      </c>
      <c r="O362" s="1">
        <f t="shared" si="52"/>
        <v>1</v>
      </c>
      <c r="P362" s="1">
        <f t="shared" si="53"/>
        <v>11</v>
      </c>
      <c r="Q362" s="1">
        <f t="shared" si="53"/>
        <v>1</v>
      </c>
      <c r="R362" s="1">
        <f t="shared" si="59"/>
        <v>0</v>
      </c>
      <c r="S362" s="34">
        <f t="shared" si="59"/>
        <v>54.54</v>
      </c>
      <c r="T362" s="1" t="str">
        <f t="shared" si="54"/>
        <v>caught</v>
      </c>
      <c r="U362" s="1" t="str">
        <f t="shared" si="55"/>
        <v>2</v>
      </c>
      <c r="V362" s="1" t="str">
        <f t="shared" si="56"/>
        <v xml:space="preserve"> Pakistan</v>
      </c>
      <c r="W362" s="1" t="str">
        <f t="shared" si="57"/>
        <v>Jamshedpur</v>
      </c>
      <c r="X362" s="1" t="str">
        <f t="shared" si="58"/>
        <v>Yes</v>
      </c>
      <c r="Y362" s="1"/>
    </row>
    <row r="363" spans="1:25" ht="14.25" customHeight="1">
      <c r="A363" s="1"/>
      <c r="B363" s="1">
        <v>346</v>
      </c>
      <c r="C363" s="1" t="s">
        <v>272</v>
      </c>
      <c r="D363" s="1" t="s">
        <v>663</v>
      </c>
      <c r="E363" s="1" t="s">
        <v>128</v>
      </c>
      <c r="F363" s="1" t="s">
        <v>151</v>
      </c>
      <c r="G363" s="1" t="s">
        <v>1150</v>
      </c>
      <c r="H363" s="1" t="s">
        <v>29</v>
      </c>
      <c r="I363" s="1" t="s">
        <v>130</v>
      </c>
      <c r="J363" s="1" t="s">
        <v>156</v>
      </c>
      <c r="K363" s="1" t="s">
        <v>59</v>
      </c>
      <c r="L363" s="1"/>
      <c r="M363" s="1"/>
      <c r="N363" s="1" t="str">
        <f t="shared" si="51"/>
        <v>No</v>
      </c>
      <c r="O363" s="1">
        <f t="shared" si="52"/>
        <v>9</v>
      </c>
      <c r="P363" s="1">
        <f t="shared" si="53"/>
        <v>130</v>
      </c>
      <c r="Q363" s="1">
        <f t="shared" si="53"/>
        <v>12</v>
      </c>
      <c r="R363" s="1">
        <f t="shared" si="59"/>
        <v>2</v>
      </c>
      <c r="S363" s="34">
        <f t="shared" si="59"/>
        <v>94.61</v>
      </c>
      <c r="T363" s="1" t="str">
        <f t="shared" si="54"/>
        <v>bowled</v>
      </c>
      <c r="U363" s="1" t="str">
        <f t="shared" si="55"/>
        <v>1</v>
      </c>
      <c r="V363" s="1" t="str">
        <f t="shared" si="56"/>
        <v xml:space="preserve"> Pakistan</v>
      </c>
      <c r="W363" s="1" t="str">
        <f t="shared" si="57"/>
        <v>Ahmedabad</v>
      </c>
      <c r="X363" s="1" t="str">
        <f t="shared" si="58"/>
        <v>Yes</v>
      </c>
      <c r="Y363" s="1"/>
    </row>
    <row r="364" spans="1:25" ht="14.25" customHeight="1">
      <c r="A364" s="1"/>
      <c r="B364" s="1">
        <v>347</v>
      </c>
      <c r="C364" s="1" t="s">
        <v>130</v>
      </c>
      <c r="D364" s="1" t="s">
        <v>167</v>
      </c>
      <c r="E364" s="1" t="s">
        <v>131</v>
      </c>
      <c r="F364" s="1" t="s">
        <v>131</v>
      </c>
      <c r="G364" s="1" t="s">
        <v>919</v>
      </c>
      <c r="H364" s="1" t="s">
        <v>24</v>
      </c>
      <c r="I364" s="1" t="s">
        <v>130</v>
      </c>
      <c r="J364" s="1" t="s">
        <v>156</v>
      </c>
      <c r="K364" s="1" t="s">
        <v>101</v>
      </c>
      <c r="L364" s="1"/>
      <c r="M364" s="1"/>
      <c r="N364" s="1" t="str">
        <f t="shared" si="51"/>
        <v>No</v>
      </c>
      <c r="O364" s="1">
        <f t="shared" si="52"/>
        <v>93</v>
      </c>
      <c r="P364" s="1">
        <f t="shared" si="53"/>
        <v>10</v>
      </c>
      <c r="Q364" s="1">
        <f t="shared" si="53"/>
        <v>0</v>
      </c>
      <c r="R364" s="1">
        <f t="shared" si="59"/>
        <v>0</v>
      </c>
      <c r="S364" s="34">
        <f t="shared" si="59"/>
        <v>10</v>
      </c>
      <c r="T364" s="1" t="str">
        <f t="shared" si="54"/>
        <v>caught</v>
      </c>
      <c r="U364" s="1" t="str">
        <f t="shared" si="55"/>
        <v>1</v>
      </c>
      <c r="V364" s="1" t="str">
        <f t="shared" si="56"/>
        <v xml:space="preserve"> Pakistan</v>
      </c>
      <c r="W364" s="1" t="str">
        <f t="shared" si="57"/>
        <v>Kanpur</v>
      </c>
      <c r="X364" s="1" t="str">
        <f t="shared" si="58"/>
        <v>Yes</v>
      </c>
      <c r="Y364" s="1"/>
    </row>
    <row r="365" spans="1:25" ht="14.25" customHeight="1">
      <c r="A365" s="1"/>
      <c r="B365" s="1">
        <v>348</v>
      </c>
      <c r="C365" s="1" t="s">
        <v>161</v>
      </c>
      <c r="D365" s="1" t="s">
        <v>283</v>
      </c>
      <c r="E365" s="1" t="s">
        <v>131</v>
      </c>
      <c r="F365" s="1" t="s">
        <v>131</v>
      </c>
      <c r="G365" s="1" t="s">
        <v>239</v>
      </c>
      <c r="H365" s="1" t="s">
        <v>29</v>
      </c>
      <c r="I365" s="1" t="s">
        <v>151</v>
      </c>
      <c r="J365" s="1" t="s">
        <v>156</v>
      </c>
      <c r="K365" s="1" t="s">
        <v>52</v>
      </c>
      <c r="L365" s="1"/>
      <c r="M365" s="1"/>
      <c r="N365" s="1" t="str">
        <f t="shared" si="51"/>
        <v>No</v>
      </c>
      <c r="O365" s="1">
        <f t="shared" si="52"/>
        <v>67</v>
      </c>
      <c r="P365" s="1">
        <f t="shared" si="53"/>
        <v>15</v>
      </c>
      <c r="Q365" s="1">
        <f t="shared" si="53"/>
        <v>0</v>
      </c>
      <c r="R365" s="1">
        <f t="shared" si="59"/>
        <v>0</v>
      </c>
      <c r="S365" s="34">
        <f t="shared" si="59"/>
        <v>60</v>
      </c>
      <c r="T365" s="1" t="str">
        <f t="shared" si="54"/>
        <v>bowled</v>
      </c>
      <c r="U365" s="1" t="str">
        <f t="shared" si="55"/>
        <v>2</v>
      </c>
      <c r="V365" s="1" t="str">
        <f t="shared" si="56"/>
        <v xml:space="preserve"> Pakistan</v>
      </c>
      <c r="W365" s="1" t="str">
        <f t="shared" si="57"/>
        <v>Delhi</v>
      </c>
      <c r="X365" s="1" t="str">
        <f t="shared" si="58"/>
        <v>Yes</v>
      </c>
      <c r="Y365" s="1"/>
    </row>
    <row r="366" spans="1:25" ht="14.25" customHeight="1">
      <c r="A366" s="1"/>
      <c r="B366" s="1">
        <v>349</v>
      </c>
      <c r="C366" s="1" t="s">
        <v>260</v>
      </c>
      <c r="D366" s="1" t="s">
        <v>430</v>
      </c>
      <c r="E366" s="1" t="s">
        <v>161</v>
      </c>
      <c r="F366" s="1" t="s">
        <v>151</v>
      </c>
      <c r="G366" s="1" t="s">
        <v>1151</v>
      </c>
      <c r="H366" s="1" t="s">
        <v>24</v>
      </c>
      <c r="I366" s="1" t="s">
        <v>130</v>
      </c>
      <c r="J366" s="1" t="s">
        <v>133</v>
      </c>
      <c r="K366" s="1" t="s">
        <v>50</v>
      </c>
      <c r="L366" s="1"/>
      <c r="M366" s="1"/>
      <c r="N366" s="1" t="str">
        <f t="shared" si="51"/>
        <v>No</v>
      </c>
      <c r="O366" s="1">
        <f t="shared" si="52"/>
        <v>2</v>
      </c>
      <c r="P366" s="1">
        <f t="shared" si="53"/>
        <v>96</v>
      </c>
      <c r="Q366" s="1">
        <f t="shared" si="53"/>
        <v>9</v>
      </c>
      <c r="R366" s="1">
        <f t="shared" si="59"/>
        <v>2</v>
      </c>
      <c r="S366" s="34">
        <f t="shared" si="59"/>
        <v>96.87</v>
      </c>
      <c r="T366" s="1" t="str">
        <f t="shared" si="54"/>
        <v>caught</v>
      </c>
      <c r="U366" s="1" t="str">
        <f t="shared" si="55"/>
        <v>1</v>
      </c>
      <c r="V366" s="1" t="str">
        <f t="shared" si="56"/>
        <v xml:space="preserve"> Sri Lanka</v>
      </c>
      <c r="W366" s="1" t="str">
        <f t="shared" si="57"/>
        <v>Nagpur</v>
      </c>
      <c r="X366" s="1" t="str">
        <f t="shared" si="58"/>
        <v>Yes</v>
      </c>
      <c r="Y366" s="1"/>
    </row>
    <row r="367" spans="1:25" ht="14.25" customHeight="1">
      <c r="A367" s="1"/>
      <c r="B367" s="1">
        <v>350</v>
      </c>
      <c r="C367" s="1" t="s">
        <v>549</v>
      </c>
      <c r="D367" s="1" t="s">
        <v>701</v>
      </c>
      <c r="E367" s="1" t="s">
        <v>176</v>
      </c>
      <c r="F367" s="1" t="s">
        <v>131</v>
      </c>
      <c r="G367" s="1" t="s">
        <v>1152</v>
      </c>
      <c r="H367" s="1" t="s">
        <v>32</v>
      </c>
      <c r="I367" s="1" t="s">
        <v>151</v>
      </c>
      <c r="J367" s="1" t="s">
        <v>133</v>
      </c>
      <c r="K367" s="1" t="s">
        <v>46</v>
      </c>
      <c r="L367" s="1"/>
      <c r="M367" s="1"/>
      <c r="N367" s="1" t="str">
        <f t="shared" si="51"/>
        <v>No</v>
      </c>
      <c r="O367" s="1">
        <f t="shared" si="52"/>
        <v>11</v>
      </c>
      <c r="P367" s="1">
        <f t="shared" si="53"/>
        <v>69</v>
      </c>
      <c r="Q367" s="1">
        <f t="shared" si="53"/>
        <v>11</v>
      </c>
      <c r="R367" s="1">
        <f t="shared" si="59"/>
        <v>0</v>
      </c>
      <c r="S367" s="34">
        <f t="shared" si="59"/>
        <v>97.1</v>
      </c>
      <c r="T367" s="1" t="str">
        <f t="shared" si="54"/>
        <v>not out</v>
      </c>
      <c r="U367" s="1" t="str">
        <f t="shared" si="55"/>
        <v>2</v>
      </c>
      <c r="V367" s="1" t="str">
        <f t="shared" si="56"/>
        <v xml:space="preserve"> Sri Lanka</v>
      </c>
      <c r="W367" s="1" t="str">
        <f t="shared" si="57"/>
        <v>Mohali</v>
      </c>
      <c r="X367" s="1" t="str">
        <f t="shared" si="58"/>
        <v>No</v>
      </c>
      <c r="Y367" s="1"/>
    </row>
    <row r="368" spans="1:25" ht="14.25" customHeight="1">
      <c r="A368" s="1"/>
      <c r="B368" s="1">
        <v>351</v>
      </c>
      <c r="C368" s="1" t="s">
        <v>151</v>
      </c>
      <c r="D368" s="1" t="s">
        <v>148</v>
      </c>
      <c r="E368" s="1" t="s">
        <v>131</v>
      </c>
      <c r="F368" s="1" t="s">
        <v>131</v>
      </c>
      <c r="G368" s="1" t="s">
        <v>155</v>
      </c>
      <c r="H368" s="1" t="s">
        <v>24</v>
      </c>
      <c r="I368" s="1" t="s">
        <v>151</v>
      </c>
      <c r="J368" s="1" t="s">
        <v>133</v>
      </c>
      <c r="K368" s="1" t="s">
        <v>56</v>
      </c>
      <c r="L368" s="1"/>
      <c r="M368" s="1"/>
      <c r="N368" s="1" t="str">
        <f t="shared" si="51"/>
        <v>No</v>
      </c>
      <c r="O368" s="1">
        <f t="shared" si="52"/>
        <v>19</v>
      </c>
      <c r="P368" s="1">
        <f t="shared" si="53"/>
        <v>3</v>
      </c>
      <c r="Q368" s="1">
        <f t="shared" si="53"/>
        <v>0</v>
      </c>
      <c r="R368" s="1">
        <f t="shared" si="59"/>
        <v>0</v>
      </c>
      <c r="S368" s="34">
        <f t="shared" si="59"/>
        <v>66.66</v>
      </c>
      <c r="T368" s="1" t="str">
        <f t="shared" si="54"/>
        <v>caught</v>
      </c>
      <c r="U368" s="1" t="str">
        <f t="shared" si="55"/>
        <v>2</v>
      </c>
      <c r="V368" s="1" t="str">
        <f t="shared" si="56"/>
        <v xml:space="preserve"> Sri Lanka</v>
      </c>
      <c r="W368" s="1" t="str">
        <f t="shared" si="57"/>
        <v>Jaipur</v>
      </c>
      <c r="X368" s="1" t="str">
        <f t="shared" si="58"/>
        <v>Yes</v>
      </c>
      <c r="Y368" s="1"/>
    </row>
    <row r="369" spans="1:25" ht="14.25" customHeight="1">
      <c r="A369" s="1"/>
      <c r="B369" s="1">
        <v>352</v>
      </c>
      <c r="C369" s="1" t="s">
        <v>176</v>
      </c>
      <c r="D369" s="1" t="s">
        <v>170</v>
      </c>
      <c r="E369" s="1" t="s">
        <v>130</v>
      </c>
      <c r="F369" s="1" t="s">
        <v>130</v>
      </c>
      <c r="G369" s="1" t="s">
        <v>525</v>
      </c>
      <c r="H369" s="1" t="s">
        <v>29</v>
      </c>
      <c r="I369" s="1" t="s">
        <v>151</v>
      </c>
      <c r="J369" s="1" t="s">
        <v>133</v>
      </c>
      <c r="K369" s="1" t="s">
        <v>100</v>
      </c>
      <c r="L369" s="1"/>
      <c r="M369" s="1"/>
      <c r="N369" s="1" t="str">
        <f t="shared" si="51"/>
        <v>No</v>
      </c>
      <c r="O369" s="1">
        <f t="shared" si="52"/>
        <v>39</v>
      </c>
      <c r="P369" s="1">
        <f t="shared" si="53"/>
        <v>19</v>
      </c>
      <c r="Q369" s="1">
        <f t="shared" si="53"/>
        <v>1</v>
      </c>
      <c r="R369" s="1">
        <f t="shared" si="59"/>
        <v>1</v>
      </c>
      <c r="S369" s="34">
        <f t="shared" si="59"/>
        <v>57.89</v>
      </c>
      <c r="T369" s="1" t="str">
        <f t="shared" si="54"/>
        <v>bowled</v>
      </c>
      <c r="U369" s="1" t="str">
        <f t="shared" si="55"/>
        <v>2</v>
      </c>
      <c r="V369" s="1" t="str">
        <f t="shared" si="56"/>
        <v xml:space="preserve"> Sri Lanka</v>
      </c>
      <c r="W369" s="1" t="str">
        <f t="shared" si="57"/>
        <v>Pune</v>
      </c>
      <c r="X369" s="1" t="str">
        <f t="shared" si="58"/>
        <v>Yes</v>
      </c>
      <c r="Y369" s="1"/>
    </row>
    <row r="370" spans="1:25" ht="14.25" customHeight="1">
      <c r="A370" s="1"/>
      <c r="B370" s="1">
        <v>353</v>
      </c>
      <c r="C370" s="1" t="s">
        <v>170</v>
      </c>
      <c r="D370" s="1" t="s">
        <v>164</v>
      </c>
      <c r="E370" s="1" t="s">
        <v>148</v>
      </c>
      <c r="F370" s="1" t="s">
        <v>131</v>
      </c>
      <c r="G370" s="1" t="s">
        <v>1153</v>
      </c>
      <c r="H370" s="1" t="s">
        <v>24</v>
      </c>
      <c r="I370" s="1" t="s">
        <v>151</v>
      </c>
      <c r="J370" s="1" t="s">
        <v>133</v>
      </c>
      <c r="K370" s="1" t="s">
        <v>48</v>
      </c>
      <c r="L370" s="1"/>
      <c r="M370" s="1"/>
      <c r="N370" s="1" t="str">
        <f t="shared" si="51"/>
        <v>No</v>
      </c>
      <c r="O370" s="1">
        <f t="shared" si="52"/>
        <v>2</v>
      </c>
      <c r="P370" s="1">
        <f t="shared" si="53"/>
        <v>30</v>
      </c>
      <c r="Q370" s="1">
        <f t="shared" si="53"/>
        <v>3</v>
      </c>
      <c r="R370" s="1">
        <f t="shared" si="59"/>
        <v>0</v>
      </c>
      <c r="S370" s="34">
        <f t="shared" si="59"/>
        <v>63.33</v>
      </c>
      <c r="T370" s="1" t="str">
        <f t="shared" si="54"/>
        <v>caught</v>
      </c>
      <c r="U370" s="1" t="str">
        <f t="shared" si="55"/>
        <v>2</v>
      </c>
      <c r="V370" s="1" t="str">
        <f t="shared" si="56"/>
        <v xml:space="preserve"> Sri Lanka</v>
      </c>
      <c r="W370" s="1" t="str">
        <f t="shared" si="57"/>
        <v>Rajkot</v>
      </c>
      <c r="X370" s="1" t="str">
        <f t="shared" si="58"/>
        <v>Yes</v>
      </c>
      <c r="Y370" s="1"/>
    </row>
    <row r="371" spans="1:25" ht="14.25" customHeight="1">
      <c r="A371" s="1"/>
      <c r="B371" s="1">
        <v>354</v>
      </c>
      <c r="C371" s="1" t="s">
        <v>436</v>
      </c>
      <c r="D371" s="1" t="s">
        <v>355</v>
      </c>
      <c r="E371" s="1" t="s">
        <v>189</v>
      </c>
      <c r="F371" s="1" t="s">
        <v>131</v>
      </c>
      <c r="G371" s="1" t="s">
        <v>1154</v>
      </c>
      <c r="H371" s="1" t="s">
        <v>24</v>
      </c>
      <c r="I371" s="1" t="s">
        <v>151</v>
      </c>
      <c r="J371" s="1" t="s">
        <v>133</v>
      </c>
      <c r="K371" s="1" t="s">
        <v>44</v>
      </c>
      <c r="L371" s="1"/>
      <c r="M371" s="1"/>
      <c r="N371" s="1" t="str">
        <f t="shared" si="51"/>
        <v>No</v>
      </c>
      <c r="O371" s="1">
        <f t="shared" si="52"/>
        <v>2</v>
      </c>
      <c r="P371" s="1">
        <f t="shared" si="53"/>
        <v>48</v>
      </c>
      <c r="Q371" s="1">
        <f t="shared" si="53"/>
        <v>8</v>
      </c>
      <c r="R371" s="1">
        <f t="shared" si="59"/>
        <v>0</v>
      </c>
      <c r="S371" s="34">
        <f t="shared" si="59"/>
        <v>81.25</v>
      </c>
      <c r="T371" s="1" t="str">
        <f t="shared" si="54"/>
        <v>caught</v>
      </c>
      <c r="U371" s="1" t="str">
        <f t="shared" si="55"/>
        <v>2</v>
      </c>
      <c r="V371" s="1" t="str">
        <f t="shared" si="56"/>
        <v xml:space="preserve"> Sri Lanka</v>
      </c>
      <c r="W371" s="1" t="str">
        <f t="shared" si="57"/>
        <v>Vadodara</v>
      </c>
      <c r="X371" s="1" t="str">
        <f t="shared" si="58"/>
        <v>Yes</v>
      </c>
      <c r="Y371" s="1"/>
    </row>
    <row r="372" spans="1:25" ht="14.25" customHeight="1">
      <c r="A372" s="1"/>
      <c r="B372" s="1">
        <v>355</v>
      </c>
      <c r="C372" s="1" t="s">
        <v>151</v>
      </c>
      <c r="D372" s="1" t="s">
        <v>161</v>
      </c>
      <c r="E372" s="1" t="s">
        <v>131</v>
      </c>
      <c r="F372" s="1" t="s">
        <v>131</v>
      </c>
      <c r="G372" s="1" t="s">
        <v>686</v>
      </c>
      <c r="H372" s="1" t="s">
        <v>24</v>
      </c>
      <c r="I372" s="1" t="s">
        <v>130</v>
      </c>
      <c r="J372" s="1" t="s">
        <v>191</v>
      </c>
      <c r="K372" s="1" t="s">
        <v>85</v>
      </c>
      <c r="L372" s="1"/>
      <c r="M372" s="1"/>
      <c r="N372" s="1" t="str">
        <f t="shared" si="51"/>
        <v>No</v>
      </c>
      <c r="O372" s="1">
        <f t="shared" si="52"/>
        <v>2</v>
      </c>
      <c r="P372" s="1">
        <f t="shared" si="53"/>
        <v>9</v>
      </c>
      <c r="Q372" s="1">
        <f t="shared" si="53"/>
        <v>0</v>
      </c>
      <c r="R372" s="1">
        <f t="shared" si="59"/>
        <v>0</v>
      </c>
      <c r="S372" s="34">
        <f t="shared" si="59"/>
        <v>22.22</v>
      </c>
      <c r="T372" s="1" t="str">
        <f t="shared" si="54"/>
        <v>caught</v>
      </c>
      <c r="U372" s="1" t="str">
        <f t="shared" si="55"/>
        <v>1</v>
      </c>
      <c r="V372" s="1" t="str">
        <f t="shared" si="56"/>
        <v xml:space="preserve"> South Africa</v>
      </c>
      <c r="W372" s="1" t="str">
        <f t="shared" si="57"/>
        <v>Hyderabad</v>
      </c>
      <c r="X372" s="1" t="str">
        <f t="shared" si="58"/>
        <v>Yes</v>
      </c>
      <c r="Y372" s="1"/>
    </row>
    <row r="373" spans="1:25" ht="14.25" customHeight="1">
      <c r="A373" s="1"/>
      <c r="B373" s="1">
        <v>356</v>
      </c>
      <c r="C373" s="1" t="s">
        <v>151</v>
      </c>
      <c r="D373" s="1" t="s">
        <v>129</v>
      </c>
      <c r="E373" s="1" t="s">
        <v>131</v>
      </c>
      <c r="F373" s="1" t="s">
        <v>131</v>
      </c>
      <c r="G373" s="1" t="s">
        <v>1021</v>
      </c>
      <c r="H373" s="1" t="s">
        <v>24</v>
      </c>
      <c r="I373" s="1" t="s">
        <v>151</v>
      </c>
      <c r="J373" s="1" t="s">
        <v>191</v>
      </c>
      <c r="K373" s="1" t="s">
        <v>67</v>
      </c>
      <c r="L373" s="1"/>
      <c r="M373" s="1"/>
      <c r="N373" s="1" t="str">
        <f t="shared" si="51"/>
        <v>No</v>
      </c>
      <c r="O373" s="1">
        <f t="shared" si="52"/>
        <v>30</v>
      </c>
      <c r="P373" s="1">
        <f t="shared" si="53"/>
        <v>22</v>
      </c>
      <c r="Q373" s="1">
        <f t="shared" si="53"/>
        <v>0</v>
      </c>
      <c r="R373" s="1">
        <f t="shared" si="59"/>
        <v>0</v>
      </c>
      <c r="S373" s="34">
        <f t="shared" si="59"/>
        <v>9.09</v>
      </c>
      <c r="T373" s="1" t="str">
        <f t="shared" si="54"/>
        <v>caught</v>
      </c>
      <c r="U373" s="1" t="str">
        <f t="shared" si="55"/>
        <v>2</v>
      </c>
      <c r="V373" s="1" t="str">
        <f t="shared" si="56"/>
        <v xml:space="preserve"> South Africa</v>
      </c>
      <c r="W373" s="1" t="str">
        <f t="shared" si="57"/>
        <v>Bengaluru</v>
      </c>
      <c r="X373" s="1" t="str">
        <f t="shared" si="58"/>
        <v>Yes</v>
      </c>
      <c r="Y373" s="1"/>
    </row>
    <row r="374" spans="1:25" ht="14.25" customHeight="1">
      <c r="A374" s="1"/>
      <c r="B374" s="1">
        <v>357</v>
      </c>
      <c r="C374" s="1" t="s">
        <v>151</v>
      </c>
      <c r="D374" s="1" t="s">
        <v>283</v>
      </c>
      <c r="E374" s="1" t="s">
        <v>131</v>
      </c>
      <c r="F374" s="1" t="s">
        <v>131</v>
      </c>
      <c r="G374" s="1" t="s">
        <v>1017</v>
      </c>
      <c r="H374" s="1" t="s">
        <v>24</v>
      </c>
      <c r="I374" s="1" t="s">
        <v>130</v>
      </c>
      <c r="J374" s="1" t="s">
        <v>191</v>
      </c>
      <c r="K374" s="1" t="s">
        <v>51</v>
      </c>
      <c r="L374" s="1"/>
      <c r="M374" s="1"/>
      <c r="N374" s="1" t="str">
        <f t="shared" si="51"/>
        <v>No</v>
      </c>
      <c r="O374" s="1">
        <f t="shared" si="52"/>
        <v>100</v>
      </c>
      <c r="P374" s="1">
        <f t="shared" si="53"/>
        <v>15</v>
      </c>
      <c r="Q374" s="1">
        <f t="shared" si="53"/>
        <v>0</v>
      </c>
      <c r="R374" s="1">
        <f t="shared" si="59"/>
        <v>0</v>
      </c>
      <c r="S374" s="34">
        <f t="shared" si="59"/>
        <v>13.33</v>
      </c>
      <c r="T374" s="1" t="str">
        <f t="shared" si="54"/>
        <v>caught</v>
      </c>
      <c r="U374" s="1" t="str">
        <f t="shared" si="55"/>
        <v>1</v>
      </c>
      <c r="V374" s="1" t="str">
        <f t="shared" si="56"/>
        <v xml:space="preserve"> South Africa</v>
      </c>
      <c r="W374" s="1" t="str">
        <f t="shared" si="57"/>
        <v>Eden Gardens</v>
      </c>
      <c r="X374" s="1" t="str">
        <f t="shared" si="58"/>
        <v>Yes</v>
      </c>
      <c r="Y374" s="1"/>
    </row>
    <row r="375" spans="1:25" ht="14.25" customHeight="1">
      <c r="A375" s="1"/>
      <c r="B375" s="1">
        <v>358</v>
      </c>
      <c r="C375" s="1" t="s">
        <v>164</v>
      </c>
      <c r="D375" s="1" t="s">
        <v>369</v>
      </c>
      <c r="E375" s="1" t="s">
        <v>202</v>
      </c>
      <c r="F375" s="1" t="s">
        <v>131</v>
      </c>
      <c r="G375" s="1" t="s">
        <v>308</v>
      </c>
      <c r="H375" s="1" t="s">
        <v>24</v>
      </c>
      <c r="I375" s="1" t="s">
        <v>151</v>
      </c>
      <c r="J375" s="1" t="s">
        <v>191</v>
      </c>
      <c r="K375" s="1" t="s">
        <v>75</v>
      </c>
      <c r="L375" s="1"/>
      <c r="M375" s="1"/>
      <c r="N375" s="1" t="str">
        <f t="shared" si="51"/>
        <v>No</v>
      </c>
      <c r="O375" s="1">
        <f t="shared" si="52"/>
        <v>42</v>
      </c>
      <c r="P375" s="1">
        <f t="shared" si="53"/>
        <v>44</v>
      </c>
      <c r="Q375" s="1">
        <f t="shared" si="53"/>
        <v>5</v>
      </c>
      <c r="R375" s="1">
        <f t="shared" si="59"/>
        <v>0</v>
      </c>
      <c r="S375" s="34">
        <f t="shared" si="59"/>
        <v>68.180000000000007</v>
      </c>
      <c r="T375" s="1" t="str">
        <f t="shared" si="54"/>
        <v>caught</v>
      </c>
      <c r="U375" s="1" t="str">
        <f t="shared" si="55"/>
        <v>2</v>
      </c>
      <c r="V375" s="1" t="str">
        <f t="shared" si="56"/>
        <v xml:space="preserve"> South Africa</v>
      </c>
      <c r="W375" s="1" t="str">
        <f t="shared" si="57"/>
        <v>Wankhede</v>
      </c>
      <c r="X375" s="1" t="str">
        <f t="shared" si="58"/>
        <v>Yes</v>
      </c>
      <c r="Y375" s="1"/>
    </row>
    <row r="376" spans="1:25" ht="14.25" customHeight="1">
      <c r="A376" s="1"/>
      <c r="B376" s="1">
        <v>359</v>
      </c>
      <c r="C376" s="1" t="s">
        <v>342</v>
      </c>
      <c r="D376" s="1" t="s">
        <v>297</v>
      </c>
      <c r="E376" s="1" t="s">
        <v>167</v>
      </c>
      <c r="F376" s="1" t="s">
        <v>130</v>
      </c>
      <c r="G376" s="1" t="s">
        <v>1155</v>
      </c>
      <c r="H376" s="1" t="s">
        <v>19</v>
      </c>
      <c r="I376" s="1" t="s">
        <v>130</v>
      </c>
      <c r="J376" s="1" t="s">
        <v>156</v>
      </c>
      <c r="K376" s="1" t="s">
        <v>561</v>
      </c>
      <c r="L376" s="1"/>
      <c r="M376" s="1"/>
      <c r="N376" s="1" t="str">
        <f t="shared" si="51"/>
        <v>No</v>
      </c>
      <c r="O376" s="1">
        <f t="shared" si="52"/>
        <v>95</v>
      </c>
      <c r="P376" s="1">
        <f t="shared" si="53"/>
        <v>113</v>
      </c>
      <c r="Q376" s="1">
        <f t="shared" si="53"/>
        <v>10</v>
      </c>
      <c r="R376" s="1">
        <f t="shared" si="59"/>
        <v>1</v>
      </c>
      <c r="S376" s="34">
        <f t="shared" si="59"/>
        <v>88.49</v>
      </c>
      <c r="T376" s="1" t="str">
        <f t="shared" si="54"/>
        <v>lbw</v>
      </c>
      <c r="U376" s="1" t="str">
        <f t="shared" si="55"/>
        <v>1</v>
      </c>
      <c r="V376" s="1" t="str">
        <f t="shared" si="56"/>
        <v xml:space="preserve"> Pakistan</v>
      </c>
      <c r="W376" s="1" t="str">
        <f t="shared" si="57"/>
        <v>Peshawar</v>
      </c>
      <c r="X376" s="1" t="str">
        <f t="shared" si="58"/>
        <v>Yes</v>
      </c>
      <c r="Y376" s="1"/>
    </row>
    <row r="377" spans="1:25" ht="14.25" customHeight="1">
      <c r="A377" s="1"/>
      <c r="B377" s="1">
        <v>360</v>
      </c>
      <c r="C377" s="1" t="s">
        <v>386</v>
      </c>
      <c r="D377" s="1" t="s">
        <v>321</v>
      </c>
      <c r="E377" s="1" t="s">
        <v>189</v>
      </c>
      <c r="F377" s="1" t="s">
        <v>131</v>
      </c>
      <c r="G377" s="1" t="s">
        <v>776</v>
      </c>
      <c r="H377" s="1" t="s">
        <v>24</v>
      </c>
      <c r="I377" s="1" t="s">
        <v>151</v>
      </c>
      <c r="J377" s="1" t="s">
        <v>156</v>
      </c>
      <c r="K377" s="1" t="s">
        <v>562</v>
      </c>
      <c r="L377" s="1"/>
      <c r="M377" s="1"/>
      <c r="N377" s="1" t="str">
        <f t="shared" si="51"/>
        <v>No</v>
      </c>
      <c r="O377" s="1">
        <f t="shared" si="52"/>
        <v>0</v>
      </c>
      <c r="P377" s="1">
        <f t="shared" si="53"/>
        <v>43</v>
      </c>
      <c r="Q377" s="1">
        <f t="shared" si="53"/>
        <v>8</v>
      </c>
      <c r="R377" s="1">
        <f t="shared" si="59"/>
        <v>0</v>
      </c>
      <c r="S377" s="34">
        <f t="shared" si="59"/>
        <v>97.67</v>
      </c>
      <c r="T377" s="1" t="str">
        <f t="shared" si="54"/>
        <v>caught</v>
      </c>
      <c r="U377" s="1" t="str">
        <f t="shared" si="55"/>
        <v>2</v>
      </c>
      <c r="V377" s="1" t="str">
        <f t="shared" si="56"/>
        <v xml:space="preserve"> Pakistan</v>
      </c>
      <c r="W377" s="1" t="str">
        <f t="shared" si="57"/>
        <v>Rawalpindi</v>
      </c>
      <c r="X377" s="1" t="str">
        <f t="shared" si="58"/>
        <v>Yes</v>
      </c>
      <c r="Y377" s="1"/>
    </row>
    <row r="378" spans="1:25" ht="14.25" customHeight="1">
      <c r="A378" s="1"/>
      <c r="B378" s="1">
        <v>361</v>
      </c>
      <c r="C378" s="1" t="s">
        <v>187</v>
      </c>
      <c r="D378" s="1" t="s">
        <v>160</v>
      </c>
      <c r="E378" s="1" t="s">
        <v>153</v>
      </c>
      <c r="F378" s="1" t="s">
        <v>130</v>
      </c>
      <c r="G378" s="1" t="s">
        <v>514</v>
      </c>
      <c r="H378" s="1" t="s">
        <v>24</v>
      </c>
      <c r="I378" s="1" t="s">
        <v>151</v>
      </c>
      <c r="J378" s="1" t="s">
        <v>156</v>
      </c>
      <c r="K378" s="1" t="s">
        <v>565</v>
      </c>
      <c r="L378" s="1"/>
      <c r="M378" s="1"/>
      <c r="N378" s="1" t="str">
        <f t="shared" si="51"/>
        <v>No</v>
      </c>
      <c r="O378" s="1">
        <f t="shared" si="52"/>
        <v>2</v>
      </c>
      <c r="P378" s="1">
        <f t="shared" si="53"/>
        <v>104</v>
      </c>
      <c r="Q378" s="1">
        <f t="shared" si="53"/>
        <v>16</v>
      </c>
      <c r="R378" s="1">
        <f t="shared" si="59"/>
        <v>1</v>
      </c>
      <c r="S378" s="34">
        <f t="shared" si="59"/>
        <v>91.34</v>
      </c>
      <c r="T378" s="1" t="str">
        <f t="shared" si="54"/>
        <v>caught</v>
      </c>
      <c r="U378" s="1" t="str">
        <f t="shared" si="55"/>
        <v>2</v>
      </c>
      <c r="V378" s="1" t="str">
        <f t="shared" si="56"/>
        <v xml:space="preserve"> Pakistan</v>
      </c>
      <c r="W378" s="1" t="str">
        <f t="shared" si="57"/>
        <v>Lahore</v>
      </c>
      <c r="X378" s="1" t="str">
        <f t="shared" si="58"/>
        <v>Yes</v>
      </c>
      <c r="Y378" s="1"/>
    </row>
    <row r="379" spans="1:25" ht="14.25" customHeight="1">
      <c r="A379" s="1"/>
      <c r="B379" s="1">
        <v>362</v>
      </c>
      <c r="C379" s="1" t="s">
        <v>131</v>
      </c>
      <c r="D379" s="1" t="s">
        <v>148</v>
      </c>
      <c r="E379" s="1" t="s">
        <v>131</v>
      </c>
      <c r="F379" s="1" t="s">
        <v>131</v>
      </c>
      <c r="G379" s="1" t="s">
        <v>210</v>
      </c>
      <c r="H379" s="1" t="s">
        <v>24</v>
      </c>
      <c r="I379" s="1" t="s">
        <v>151</v>
      </c>
      <c r="J379" s="1" t="s">
        <v>156</v>
      </c>
      <c r="K379" s="1" t="s">
        <v>566</v>
      </c>
      <c r="L379" s="1"/>
      <c r="M379" s="1"/>
      <c r="N379" s="1" t="str">
        <f t="shared" si="51"/>
        <v>No</v>
      </c>
      <c r="O379" s="1">
        <f t="shared" si="52"/>
        <v>141</v>
      </c>
      <c r="P379" s="1">
        <f t="shared" si="53"/>
        <v>3</v>
      </c>
      <c r="Q379" s="1">
        <f t="shared" si="53"/>
        <v>0</v>
      </c>
      <c r="R379" s="1">
        <f t="shared" si="59"/>
        <v>0</v>
      </c>
      <c r="S379" s="34">
        <f t="shared" si="59"/>
        <v>0</v>
      </c>
      <c r="T379" s="1" t="str">
        <f t="shared" si="54"/>
        <v>caught</v>
      </c>
      <c r="U379" s="1" t="str">
        <f t="shared" si="55"/>
        <v>2</v>
      </c>
      <c r="V379" s="1" t="str">
        <f t="shared" si="56"/>
        <v xml:space="preserve"> Pakistan</v>
      </c>
      <c r="W379" s="1" t="str">
        <f t="shared" si="57"/>
        <v>Multan</v>
      </c>
      <c r="X379" s="1" t="str">
        <f t="shared" si="58"/>
        <v>Yes</v>
      </c>
      <c r="Y379" s="1"/>
    </row>
    <row r="380" spans="1:25" ht="14.25" customHeight="1">
      <c r="A380" s="1"/>
      <c r="B380" s="1">
        <v>363</v>
      </c>
      <c r="C380" s="1" t="s">
        <v>150</v>
      </c>
      <c r="D380" s="1" t="s">
        <v>148</v>
      </c>
      <c r="E380" s="1" t="s">
        <v>131</v>
      </c>
      <c r="F380" s="1" t="s">
        <v>131</v>
      </c>
      <c r="G380" s="1" t="s">
        <v>155</v>
      </c>
      <c r="H380" s="1" t="s">
        <v>32</v>
      </c>
      <c r="I380" s="1" t="s">
        <v>130</v>
      </c>
      <c r="J380" s="1" t="s">
        <v>133</v>
      </c>
      <c r="K380" s="1" t="s">
        <v>584</v>
      </c>
      <c r="L380" s="1"/>
      <c r="M380" s="1"/>
      <c r="N380" s="1" t="str">
        <f t="shared" si="51"/>
        <v>No</v>
      </c>
      <c r="O380" s="1">
        <f t="shared" si="52"/>
        <v>12</v>
      </c>
      <c r="P380" s="1">
        <f t="shared" si="53"/>
        <v>3</v>
      </c>
      <c r="Q380" s="1">
        <f t="shared" si="53"/>
        <v>0</v>
      </c>
      <c r="R380" s="1">
        <f t="shared" si="59"/>
        <v>0</v>
      </c>
      <c r="S380" s="34">
        <f t="shared" si="59"/>
        <v>66.66</v>
      </c>
      <c r="T380" s="1" t="str">
        <f t="shared" si="54"/>
        <v>not out</v>
      </c>
      <c r="U380" s="1" t="str">
        <f t="shared" si="55"/>
        <v>1</v>
      </c>
      <c r="V380" s="1" t="str">
        <f t="shared" si="56"/>
        <v xml:space="preserve"> Sri Lanka</v>
      </c>
      <c r="W380" s="1" t="str">
        <f t="shared" si="57"/>
        <v>Colombo (SSC)</v>
      </c>
      <c r="X380" s="1" t="str">
        <f t="shared" si="58"/>
        <v>No</v>
      </c>
      <c r="Y380" s="1"/>
    </row>
    <row r="381" spans="1:25" ht="14.25" customHeight="1">
      <c r="A381" s="1"/>
      <c r="B381" s="1">
        <v>364</v>
      </c>
      <c r="C381" s="1" t="s">
        <v>838</v>
      </c>
      <c r="D381" s="1" t="s">
        <v>294</v>
      </c>
      <c r="E381" s="1" t="s">
        <v>325</v>
      </c>
      <c r="F381" s="1" t="s">
        <v>202</v>
      </c>
      <c r="G381" s="1" t="s">
        <v>1156</v>
      </c>
      <c r="H381" s="1" t="s">
        <v>32</v>
      </c>
      <c r="I381" s="1" t="s">
        <v>130</v>
      </c>
      <c r="J381" s="1" t="s">
        <v>163</v>
      </c>
      <c r="K381" s="1" t="s">
        <v>585</v>
      </c>
      <c r="L381" s="1"/>
      <c r="M381" s="1"/>
      <c r="N381" s="1" t="str">
        <f t="shared" si="51"/>
        <v>No</v>
      </c>
      <c r="O381" s="1">
        <f t="shared" si="52"/>
        <v>65</v>
      </c>
      <c r="P381" s="1">
        <f t="shared" si="53"/>
        <v>148</v>
      </c>
      <c r="Q381" s="1">
        <f t="shared" si="53"/>
        <v>13</v>
      </c>
      <c r="R381" s="1">
        <f t="shared" si="59"/>
        <v>5</v>
      </c>
      <c r="S381" s="34">
        <f t="shared" si="59"/>
        <v>95.27</v>
      </c>
      <c r="T381" s="1" t="str">
        <f t="shared" si="54"/>
        <v>not out</v>
      </c>
      <c r="U381" s="1" t="str">
        <f t="shared" si="55"/>
        <v>1</v>
      </c>
      <c r="V381" s="1" t="str">
        <f t="shared" si="56"/>
        <v xml:space="preserve"> West Indies</v>
      </c>
      <c r="W381" s="1" t="str">
        <f t="shared" si="57"/>
        <v>Kuala Lumpur</v>
      </c>
      <c r="X381" s="1" t="str">
        <f t="shared" si="58"/>
        <v>No</v>
      </c>
      <c r="Y381" s="1"/>
    </row>
    <row r="382" spans="1:25" ht="14.25" customHeight="1">
      <c r="A382" s="1"/>
      <c r="B382" s="1">
        <v>365</v>
      </c>
      <c r="C382" s="1" t="s">
        <v>128</v>
      </c>
      <c r="D382" s="1" t="s">
        <v>306</v>
      </c>
      <c r="E382" s="1" t="s">
        <v>151</v>
      </c>
      <c r="F382" s="1" t="s">
        <v>131</v>
      </c>
      <c r="G382" s="1" t="s">
        <v>598</v>
      </c>
      <c r="H382" s="1" t="s">
        <v>24</v>
      </c>
      <c r="I382" s="1" t="s">
        <v>151</v>
      </c>
      <c r="J382" s="1" t="s">
        <v>158</v>
      </c>
      <c r="K382" s="1" t="s">
        <v>585</v>
      </c>
      <c r="L382" s="1"/>
      <c r="M382" s="1"/>
      <c r="N382" s="1" t="str">
        <f t="shared" si="51"/>
        <v>No</v>
      </c>
      <c r="O382" s="1">
        <f t="shared" si="52"/>
        <v>4</v>
      </c>
      <c r="P382" s="1">
        <f t="shared" si="53"/>
        <v>17</v>
      </c>
      <c r="Q382" s="1">
        <f t="shared" si="53"/>
        <v>2</v>
      </c>
      <c r="R382" s="1">
        <f t="shared" si="59"/>
        <v>0</v>
      </c>
      <c r="S382" s="34">
        <f t="shared" si="59"/>
        <v>70.58</v>
      </c>
      <c r="T382" s="1" t="str">
        <f t="shared" si="54"/>
        <v>caught</v>
      </c>
      <c r="U382" s="1" t="str">
        <f t="shared" si="55"/>
        <v>2</v>
      </c>
      <c r="V382" s="1" t="str">
        <f t="shared" si="56"/>
        <v xml:space="preserve"> Australia</v>
      </c>
      <c r="W382" s="1" t="str">
        <f t="shared" si="57"/>
        <v>Kuala Lumpur</v>
      </c>
      <c r="X382" s="1" t="str">
        <f t="shared" si="58"/>
        <v>Yes</v>
      </c>
      <c r="Y382" s="1"/>
    </row>
    <row r="383" spans="1:25" ht="14.25" customHeight="1">
      <c r="A383" s="1"/>
      <c r="B383" s="1">
        <v>366</v>
      </c>
      <c r="C383" s="1" t="s">
        <v>172</v>
      </c>
      <c r="D383" s="1" t="s">
        <v>180</v>
      </c>
      <c r="E383" s="1" t="s">
        <v>144</v>
      </c>
      <c r="F383" s="1" t="s">
        <v>131</v>
      </c>
      <c r="G383" s="1" t="s">
        <v>1157</v>
      </c>
      <c r="H383" s="1" t="s">
        <v>26</v>
      </c>
      <c r="I383" s="1" t="s">
        <v>130</v>
      </c>
      <c r="J383" s="1" t="s">
        <v>163</v>
      </c>
      <c r="K383" s="1" t="s">
        <v>585</v>
      </c>
      <c r="L383" s="1"/>
      <c r="M383" s="1"/>
      <c r="N383" s="1" t="str">
        <f t="shared" si="51"/>
        <v>No</v>
      </c>
      <c r="O383" s="1">
        <f t="shared" si="52"/>
        <v>35</v>
      </c>
      <c r="P383" s="1">
        <f t="shared" si="53"/>
        <v>102</v>
      </c>
      <c r="Q383" s="1">
        <f t="shared" si="53"/>
        <v>7</v>
      </c>
      <c r="R383" s="1">
        <f t="shared" si="59"/>
        <v>0</v>
      </c>
      <c r="S383" s="34">
        <f t="shared" si="59"/>
        <v>63.72</v>
      </c>
      <c r="T383" s="1" t="str">
        <f t="shared" si="54"/>
        <v>run out</v>
      </c>
      <c r="U383" s="1" t="str">
        <f t="shared" si="55"/>
        <v>1</v>
      </c>
      <c r="V383" s="1" t="str">
        <f t="shared" si="56"/>
        <v xml:space="preserve"> West Indies</v>
      </c>
      <c r="W383" s="1" t="str">
        <f t="shared" si="57"/>
        <v>Kuala Lumpur</v>
      </c>
      <c r="X383" s="1" t="str">
        <f t="shared" si="58"/>
        <v>Yes</v>
      </c>
      <c r="Y383" s="1"/>
    </row>
    <row r="384" spans="1:25" ht="14.25" customHeight="1">
      <c r="A384" s="1"/>
      <c r="B384" s="1">
        <v>367</v>
      </c>
      <c r="C384" s="1" t="s">
        <v>140</v>
      </c>
      <c r="D384" s="1" t="s">
        <v>167</v>
      </c>
      <c r="E384" s="1" t="s">
        <v>130</v>
      </c>
      <c r="F384" s="1" t="s">
        <v>131</v>
      </c>
      <c r="G384" s="1" t="s">
        <v>324</v>
      </c>
      <c r="H384" s="1" t="s">
        <v>24</v>
      </c>
      <c r="I384" s="1" t="s">
        <v>151</v>
      </c>
      <c r="J384" s="1" t="s">
        <v>158</v>
      </c>
      <c r="K384" s="1" t="s">
        <v>585</v>
      </c>
      <c r="L384" s="1"/>
      <c r="M384" s="1"/>
      <c r="N384" s="1" t="str">
        <f t="shared" si="51"/>
        <v>No</v>
      </c>
      <c r="O384" s="1">
        <f t="shared" si="52"/>
        <v>29</v>
      </c>
      <c r="P384" s="1">
        <f t="shared" si="53"/>
        <v>10</v>
      </c>
      <c r="Q384" s="1">
        <f t="shared" si="53"/>
        <v>1</v>
      </c>
      <c r="R384" s="1">
        <f t="shared" si="59"/>
        <v>0</v>
      </c>
      <c r="S384" s="34">
        <f t="shared" si="59"/>
        <v>40</v>
      </c>
      <c r="T384" s="1" t="str">
        <f t="shared" si="54"/>
        <v>caught</v>
      </c>
      <c r="U384" s="1" t="str">
        <f t="shared" si="55"/>
        <v>2</v>
      </c>
      <c r="V384" s="1" t="str">
        <f t="shared" si="56"/>
        <v xml:space="preserve"> Australia</v>
      </c>
      <c r="W384" s="1" t="str">
        <f t="shared" si="57"/>
        <v>Kuala Lumpur</v>
      </c>
      <c r="X384" s="1" t="str">
        <f t="shared" si="58"/>
        <v>Yes</v>
      </c>
      <c r="Y384" s="1"/>
    </row>
    <row r="385" spans="1:25" ht="14.25" customHeight="1">
      <c r="A385" s="1"/>
      <c r="B385" s="1">
        <v>368</v>
      </c>
      <c r="C385" s="1" t="s">
        <v>248</v>
      </c>
      <c r="D385" s="1" t="s">
        <v>165</v>
      </c>
      <c r="E385" s="1" t="s">
        <v>202</v>
      </c>
      <c r="F385" s="1" t="s">
        <v>131</v>
      </c>
      <c r="G385" s="1" t="s">
        <v>1158</v>
      </c>
      <c r="H385" s="1" t="s">
        <v>19</v>
      </c>
      <c r="I385" s="1" t="s">
        <v>151</v>
      </c>
      <c r="J385" s="1" t="s">
        <v>234</v>
      </c>
      <c r="K385" s="1" t="s">
        <v>56</v>
      </c>
      <c r="L385" s="1"/>
      <c r="M385" s="1"/>
      <c r="N385" s="1" t="str">
        <f t="shared" si="51"/>
        <v>No</v>
      </c>
      <c r="O385" s="1">
        <f t="shared" si="52"/>
        <v>10</v>
      </c>
      <c r="P385" s="1">
        <f t="shared" si="53"/>
        <v>41</v>
      </c>
      <c r="Q385" s="1">
        <f t="shared" si="53"/>
        <v>5</v>
      </c>
      <c r="R385" s="1">
        <f t="shared" si="59"/>
        <v>0</v>
      </c>
      <c r="S385" s="34">
        <f t="shared" si="59"/>
        <v>85.36</v>
      </c>
      <c r="T385" s="1" t="str">
        <f t="shared" si="54"/>
        <v>lbw</v>
      </c>
      <c r="U385" s="1" t="str">
        <f t="shared" si="55"/>
        <v>2</v>
      </c>
      <c r="V385" s="1" t="str">
        <f t="shared" si="56"/>
        <v xml:space="preserve"> England</v>
      </c>
      <c r="W385" s="1" t="str">
        <f t="shared" si="57"/>
        <v>Jaipur</v>
      </c>
      <c r="X385" s="1" t="str">
        <f t="shared" si="58"/>
        <v>Yes</v>
      </c>
      <c r="Y385" s="1"/>
    </row>
    <row r="386" spans="1:25" ht="14.25" customHeight="1">
      <c r="A386" s="1"/>
      <c r="B386" s="1">
        <v>369</v>
      </c>
      <c r="C386" s="1" t="s">
        <v>200</v>
      </c>
      <c r="D386" s="1" t="s">
        <v>405</v>
      </c>
      <c r="E386" s="1" t="s">
        <v>140</v>
      </c>
      <c r="F386" s="1" t="s">
        <v>131</v>
      </c>
      <c r="G386" s="1" t="s">
        <v>1159</v>
      </c>
      <c r="H386" s="1" t="s">
        <v>29</v>
      </c>
      <c r="I386" s="1" t="s">
        <v>130</v>
      </c>
      <c r="J386" s="1" t="s">
        <v>163</v>
      </c>
      <c r="K386" s="1" t="s">
        <v>59</v>
      </c>
      <c r="L386" s="1"/>
      <c r="M386" s="1"/>
      <c r="N386" s="1" t="str">
        <f t="shared" si="51"/>
        <v>No</v>
      </c>
      <c r="O386" s="1">
        <f t="shared" si="52"/>
        <v>35</v>
      </c>
      <c r="P386" s="1">
        <f t="shared" si="53"/>
        <v>45</v>
      </c>
      <c r="Q386" s="1">
        <f t="shared" si="53"/>
        <v>4</v>
      </c>
      <c r="R386" s="1">
        <f t="shared" si="59"/>
        <v>0</v>
      </c>
      <c r="S386" s="34">
        <f t="shared" si="59"/>
        <v>64.44</v>
      </c>
      <c r="T386" s="1" t="str">
        <f t="shared" si="54"/>
        <v>bowled</v>
      </c>
      <c r="U386" s="1" t="str">
        <f t="shared" si="55"/>
        <v>1</v>
      </c>
      <c r="V386" s="1" t="str">
        <f t="shared" si="56"/>
        <v xml:space="preserve"> West Indies</v>
      </c>
      <c r="W386" s="1" t="str">
        <f t="shared" si="57"/>
        <v>Ahmedabad</v>
      </c>
      <c r="X386" s="1" t="str">
        <f t="shared" si="58"/>
        <v>Yes</v>
      </c>
      <c r="Y386" s="1"/>
    </row>
    <row r="387" spans="1:25" ht="14.25" customHeight="1">
      <c r="A387" s="1"/>
      <c r="B387" s="1">
        <v>370</v>
      </c>
      <c r="C387" s="1" t="s">
        <v>167</v>
      </c>
      <c r="D387" s="1" t="s">
        <v>313</v>
      </c>
      <c r="E387" s="1" t="s">
        <v>151</v>
      </c>
      <c r="F387" s="1" t="s">
        <v>131</v>
      </c>
      <c r="G387" s="1" t="s">
        <v>830</v>
      </c>
      <c r="H387" s="1" t="s">
        <v>24</v>
      </c>
      <c r="I387" s="1" t="s">
        <v>130</v>
      </c>
      <c r="J387" s="1" t="s">
        <v>158</v>
      </c>
      <c r="K387" s="1" t="s">
        <v>46</v>
      </c>
      <c r="L387" s="1"/>
      <c r="M387" s="1"/>
      <c r="N387" s="1" t="str">
        <f t="shared" si="51"/>
        <v>No</v>
      </c>
      <c r="O387" s="1">
        <f t="shared" si="52"/>
        <v>2</v>
      </c>
      <c r="P387" s="1">
        <f t="shared" si="53"/>
        <v>26</v>
      </c>
      <c r="Q387" s="1">
        <f t="shared" si="53"/>
        <v>2</v>
      </c>
      <c r="R387" s="1">
        <f t="shared" si="59"/>
        <v>0</v>
      </c>
      <c r="S387" s="34">
        <f t="shared" si="59"/>
        <v>38.46</v>
      </c>
      <c r="T387" s="1" t="str">
        <f t="shared" si="54"/>
        <v>caught</v>
      </c>
      <c r="U387" s="1" t="str">
        <f t="shared" si="55"/>
        <v>1</v>
      </c>
      <c r="V387" s="1" t="str">
        <f t="shared" si="56"/>
        <v xml:space="preserve"> Australia</v>
      </c>
      <c r="W387" s="1" t="str">
        <f t="shared" si="57"/>
        <v>Mohali</v>
      </c>
      <c r="X387" s="1" t="str">
        <f t="shared" si="58"/>
        <v>Yes</v>
      </c>
      <c r="Y387" s="1"/>
    </row>
    <row r="388" spans="1:25" ht="14.25" customHeight="1">
      <c r="A388" s="1"/>
      <c r="B388" s="1">
        <v>371</v>
      </c>
      <c r="C388" s="1" t="s">
        <v>248</v>
      </c>
      <c r="D388" s="1" t="s">
        <v>356</v>
      </c>
      <c r="E388" s="1" t="s">
        <v>202</v>
      </c>
      <c r="F388" s="1" t="s">
        <v>131</v>
      </c>
      <c r="G388" s="1" t="s">
        <v>1160</v>
      </c>
      <c r="H388" s="1" t="s">
        <v>29</v>
      </c>
      <c r="I388" s="1" t="s">
        <v>151</v>
      </c>
      <c r="J388" s="1" t="s">
        <v>191</v>
      </c>
      <c r="K388" s="1" t="s">
        <v>69</v>
      </c>
      <c r="L388" s="1"/>
      <c r="M388" s="1"/>
      <c r="N388" s="1" t="str">
        <f t="shared" si="51"/>
        <v>No</v>
      </c>
      <c r="O388" s="1">
        <f t="shared" si="52"/>
        <v>1</v>
      </c>
      <c r="P388" s="1">
        <f t="shared" si="53"/>
        <v>51</v>
      </c>
      <c r="Q388" s="1">
        <f t="shared" si="53"/>
        <v>5</v>
      </c>
      <c r="R388" s="1">
        <f t="shared" si="59"/>
        <v>0</v>
      </c>
      <c r="S388" s="34">
        <f t="shared" si="59"/>
        <v>68.62</v>
      </c>
      <c r="T388" s="1" t="str">
        <f t="shared" si="54"/>
        <v>bowled</v>
      </c>
      <c r="U388" s="1" t="str">
        <f t="shared" si="55"/>
        <v>2</v>
      </c>
      <c r="V388" s="1" t="str">
        <f t="shared" si="56"/>
        <v xml:space="preserve"> South Africa</v>
      </c>
      <c r="W388" s="1" t="str">
        <f t="shared" si="57"/>
        <v>Durban</v>
      </c>
      <c r="X388" s="1" t="str">
        <f t="shared" si="58"/>
        <v>Yes</v>
      </c>
      <c r="Y388" s="1"/>
    </row>
    <row r="389" spans="1:25" ht="14.25" customHeight="1">
      <c r="A389" s="1"/>
      <c r="B389" s="1">
        <v>372</v>
      </c>
      <c r="C389" s="1" t="s">
        <v>151</v>
      </c>
      <c r="D389" s="1" t="s">
        <v>161</v>
      </c>
      <c r="E389" s="1" t="s">
        <v>131</v>
      </c>
      <c r="F389" s="1" t="s">
        <v>131</v>
      </c>
      <c r="G389" s="1" t="s">
        <v>686</v>
      </c>
      <c r="H389" s="1" t="s">
        <v>24</v>
      </c>
      <c r="I389" s="1" t="s">
        <v>151</v>
      </c>
      <c r="J389" s="1" t="s">
        <v>191</v>
      </c>
      <c r="K389" s="1" t="s">
        <v>70</v>
      </c>
      <c r="L389" s="1"/>
      <c r="M389" s="1"/>
      <c r="N389" s="1" t="str">
        <f t="shared" si="51"/>
        <v>No</v>
      </c>
      <c r="O389" s="1">
        <f t="shared" si="52"/>
        <v>55</v>
      </c>
      <c r="P389" s="1">
        <f t="shared" si="53"/>
        <v>9</v>
      </c>
      <c r="Q389" s="1">
        <f t="shared" si="53"/>
        <v>0</v>
      </c>
      <c r="R389" s="1">
        <f t="shared" si="59"/>
        <v>0</v>
      </c>
      <c r="S389" s="34">
        <f t="shared" si="59"/>
        <v>22.22</v>
      </c>
      <c r="T389" s="1" t="str">
        <f t="shared" si="54"/>
        <v>caught</v>
      </c>
      <c r="U389" s="1" t="str">
        <f t="shared" si="55"/>
        <v>2</v>
      </c>
      <c r="V389" s="1" t="str">
        <f t="shared" si="56"/>
        <v xml:space="preserve"> South Africa</v>
      </c>
      <c r="W389" s="1" t="str">
        <f t="shared" si="57"/>
        <v>Cape Town</v>
      </c>
      <c r="X389" s="1" t="str">
        <f t="shared" si="58"/>
        <v>Yes</v>
      </c>
      <c r="Y389" s="1"/>
    </row>
    <row r="390" spans="1:25" ht="14.25" customHeight="1">
      <c r="A390" s="1"/>
      <c r="B390" s="1">
        <v>373</v>
      </c>
      <c r="C390" s="1" t="s">
        <v>130</v>
      </c>
      <c r="D390" s="1" t="s">
        <v>148</v>
      </c>
      <c r="E390" s="1" t="s">
        <v>131</v>
      </c>
      <c r="F390" s="1" t="s">
        <v>131</v>
      </c>
      <c r="G390" s="1" t="s">
        <v>229</v>
      </c>
      <c r="H390" s="1" t="s">
        <v>24</v>
      </c>
      <c r="I390" s="1" t="s">
        <v>151</v>
      </c>
      <c r="J390" s="1" t="s">
        <v>191</v>
      </c>
      <c r="K390" s="1" t="s">
        <v>71</v>
      </c>
      <c r="L390" s="1"/>
      <c r="M390" s="1"/>
      <c r="N390" s="1" t="str">
        <f t="shared" si="51"/>
        <v>No</v>
      </c>
      <c r="O390" s="1">
        <f t="shared" si="52"/>
        <v>31</v>
      </c>
      <c r="P390" s="1">
        <f t="shared" si="53"/>
        <v>3</v>
      </c>
      <c r="Q390" s="1">
        <f t="shared" si="53"/>
        <v>0</v>
      </c>
      <c r="R390" s="1">
        <f t="shared" si="59"/>
        <v>0</v>
      </c>
      <c r="S390" s="34">
        <f t="shared" si="59"/>
        <v>33.33</v>
      </c>
      <c r="T390" s="1" t="str">
        <f t="shared" si="54"/>
        <v>caught</v>
      </c>
      <c r="U390" s="1" t="str">
        <f t="shared" si="55"/>
        <v>2</v>
      </c>
      <c r="V390" s="1" t="str">
        <f t="shared" si="56"/>
        <v xml:space="preserve"> South Africa</v>
      </c>
      <c r="W390" s="1" t="str">
        <f t="shared" si="57"/>
        <v>Gqeberha</v>
      </c>
      <c r="X390" s="1" t="str">
        <f t="shared" si="58"/>
        <v>Yes</v>
      </c>
      <c r="Y390" s="1"/>
    </row>
    <row r="391" spans="1:25" ht="14.25" customHeight="1">
      <c r="A391" s="1"/>
      <c r="B391" s="1">
        <v>374</v>
      </c>
      <c r="C391" s="1" t="s">
        <v>255</v>
      </c>
      <c r="D391" s="1" t="s">
        <v>395</v>
      </c>
      <c r="E391" s="1" t="s">
        <v>189</v>
      </c>
      <c r="F391" s="1" t="s">
        <v>131</v>
      </c>
      <c r="G391" s="1" t="s">
        <v>1161</v>
      </c>
      <c r="H391" s="1" t="s">
        <v>24</v>
      </c>
      <c r="I391" s="1" t="s">
        <v>130</v>
      </c>
      <c r="J391" s="1" t="s">
        <v>191</v>
      </c>
      <c r="K391" s="1" t="s">
        <v>36</v>
      </c>
      <c r="L391" s="1"/>
      <c r="M391" s="1"/>
      <c r="N391" s="1" t="str">
        <f t="shared" si="51"/>
        <v>No</v>
      </c>
      <c r="O391" s="1">
        <f t="shared" si="52"/>
        <v>0</v>
      </c>
      <c r="P391" s="1">
        <f t="shared" si="53"/>
        <v>97</v>
      </c>
      <c r="Q391" s="1">
        <f t="shared" si="53"/>
        <v>8</v>
      </c>
      <c r="R391" s="1">
        <f t="shared" si="59"/>
        <v>0</v>
      </c>
      <c r="S391" s="34">
        <f t="shared" si="59"/>
        <v>56.7</v>
      </c>
      <c r="T391" s="1" t="str">
        <f t="shared" si="54"/>
        <v>caught</v>
      </c>
      <c r="U391" s="1" t="str">
        <f t="shared" si="55"/>
        <v>1</v>
      </c>
      <c r="V391" s="1" t="str">
        <f t="shared" si="56"/>
        <v xml:space="preserve"> South Africa</v>
      </c>
      <c r="W391" s="1" t="str">
        <f t="shared" si="57"/>
        <v>Centurion</v>
      </c>
      <c r="X391" s="1" t="str">
        <f t="shared" si="58"/>
        <v>Yes</v>
      </c>
      <c r="Y391" s="1"/>
    </row>
    <row r="392" spans="1:25" ht="14.25" customHeight="1">
      <c r="A392" s="1"/>
      <c r="B392" s="1">
        <v>375</v>
      </c>
      <c r="C392" s="1" t="s">
        <v>146</v>
      </c>
      <c r="D392" s="1" t="s">
        <v>139</v>
      </c>
      <c r="E392" s="1" t="s">
        <v>148</v>
      </c>
      <c r="F392" s="1" t="s">
        <v>131</v>
      </c>
      <c r="G392" s="1" t="s">
        <v>1162</v>
      </c>
      <c r="H392" s="1" t="s">
        <v>19</v>
      </c>
      <c r="I392" s="1" t="s">
        <v>130</v>
      </c>
      <c r="J392" s="1" t="s">
        <v>163</v>
      </c>
      <c r="K392" s="1" t="s">
        <v>50</v>
      </c>
      <c r="L392" s="1"/>
      <c r="M392" s="1"/>
      <c r="N392" s="1" t="str">
        <f t="shared" si="51"/>
        <v>No</v>
      </c>
      <c r="O392" s="1">
        <f t="shared" si="52"/>
        <v>60</v>
      </c>
      <c r="P392" s="1">
        <f t="shared" si="53"/>
        <v>38</v>
      </c>
      <c r="Q392" s="1">
        <f t="shared" si="53"/>
        <v>3</v>
      </c>
      <c r="R392" s="1">
        <f t="shared" si="59"/>
        <v>0</v>
      </c>
      <c r="S392" s="34">
        <f t="shared" si="59"/>
        <v>81.569999999999993</v>
      </c>
      <c r="T392" s="1" t="str">
        <f t="shared" si="54"/>
        <v>lbw</v>
      </c>
      <c r="U392" s="1" t="str">
        <f t="shared" si="55"/>
        <v>1</v>
      </c>
      <c r="V392" s="1" t="str">
        <f t="shared" si="56"/>
        <v xml:space="preserve"> West Indies</v>
      </c>
      <c r="W392" s="1" t="str">
        <f t="shared" si="57"/>
        <v>Nagpur</v>
      </c>
      <c r="X392" s="1" t="str">
        <f t="shared" si="58"/>
        <v>Yes</v>
      </c>
      <c r="Y392" s="1"/>
    </row>
    <row r="393" spans="1:25" ht="14.25" customHeight="1">
      <c r="A393" s="1"/>
      <c r="B393" s="1">
        <v>376</v>
      </c>
      <c r="C393" s="1" t="s">
        <v>131</v>
      </c>
      <c r="D393" s="1" t="s">
        <v>136</v>
      </c>
      <c r="E393" s="1" t="s">
        <v>131</v>
      </c>
      <c r="F393" s="1" t="s">
        <v>131</v>
      </c>
      <c r="G393" s="1" t="s">
        <v>210</v>
      </c>
      <c r="H393" s="1" t="s">
        <v>24</v>
      </c>
      <c r="I393" s="1" t="s">
        <v>130</v>
      </c>
      <c r="J393" s="1" t="s">
        <v>163</v>
      </c>
      <c r="K393" s="1" t="s">
        <v>86</v>
      </c>
      <c r="L393" s="1"/>
      <c r="M393" s="1"/>
      <c r="N393" s="1" t="str">
        <f t="shared" si="51"/>
        <v>No</v>
      </c>
      <c r="O393" s="1">
        <f t="shared" si="52"/>
        <v>100</v>
      </c>
      <c r="P393" s="1">
        <f t="shared" si="53"/>
        <v>6</v>
      </c>
      <c r="Q393" s="1">
        <f t="shared" si="53"/>
        <v>0</v>
      </c>
      <c r="R393" s="1">
        <f t="shared" si="59"/>
        <v>0</v>
      </c>
      <c r="S393" s="34">
        <f t="shared" si="59"/>
        <v>0</v>
      </c>
      <c r="T393" s="1" t="str">
        <f t="shared" si="54"/>
        <v>caught</v>
      </c>
      <c r="U393" s="1" t="str">
        <f t="shared" si="55"/>
        <v>1</v>
      </c>
      <c r="V393" s="1" t="str">
        <f t="shared" si="56"/>
        <v xml:space="preserve"> West Indies</v>
      </c>
      <c r="W393" s="1" t="str">
        <f t="shared" si="57"/>
        <v>Cuttack</v>
      </c>
      <c r="X393" s="1" t="str">
        <f t="shared" si="58"/>
        <v>Yes</v>
      </c>
      <c r="Y393" s="1"/>
    </row>
    <row r="394" spans="1:25" ht="14.25" customHeight="1">
      <c r="A394" s="1"/>
      <c r="B394" s="1">
        <v>377</v>
      </c>
      <c r="C394" s="1" t="s">
        <v>380</v>
      </c>
      <c r="D394" s="1" t="s">
        <v>143</v>
      </c>
      <c r="E394" s="1" t="s">
        <v>151</v>
      </c>
      <c r="F394" s="1" t="s">
        <v>131</v>
      </c>
      <c r="G394" s="1" t="s">
        <v>471</v>
      </c>
      <c r="H394" s="1" t="s">
        <v>24</v>
      </c>
      <c r="I394" s="1" t="s">
        <v>130</v>
      </c>
      <c r="J394" s="1" t="s">
        <v>163</v>
      </c>
      <c r="K394" s="1" t="s">
        <v>68</v>
      </c>
      <c r="L394" s="1"/>
      <c r="M394" s="1"/>
      <c r="N394" s="1" t="str">
        <f t="shared" si="51"/>
        <v>No</v>
      </c>
      <c r="O394" s="1" t="str">
        <f t="shared" si="52"/>
        <v>NA</v>
      </c>
      <c r="P394" s="1">
        <f t="shared" si="53"/>
        <v>66</v>
      </c>
      <c r="Q394" s="1">
        <f t="shared" si="53"/>
        <v>2</v>
      </c>
      <c r="R394" s="1">
        <f t="shared" si="59"/>
        <v>0</v>
      </c>
      <c r="S394" s="34">
        <f t="shared" si="59"/>
        <v>90.9</v>
      </c>
      <c r="T394" s="1" t="str">
        <f t="shared" si="54"/>
        <v>caught</v>
      </c>
      <c r="U394" s="1" t="str">
        <f t="shared" si="55"/>
        <v>1</v>
      </c>
      <c r="V394" s="1" t="str">
        <f t="shared" si="56"/>
        <v xml:space="preserve"> West Indies</v>
      </c>
      <c r="W394" s="1" t="str">
        <f t="shared" si="57"/>
        <v>Chennai</v>
      </c>
      <c r="X394" s="1" t="str">
        <f t="shared" si="58"/>
        <v>Yes</v>
      </c>
      <c r="Y394" s="1"/>
    </row>
    <row r="395" spans="1:25" ht="14.25" customHeight="1">
      <c r="A395" s="1"/>
      <c r="B395" s="1">
        <v>378</v>
      </c>
      <c r="C395" s="1" t="s">
        <v>230</v>
      </c>
      <c r="D395" s="1" t="s">
        <v>242</v>
      </c>
      <c r="E395" s="1" t="s">
        <v>167</v>
      </c>
      <c r="F395" s="1" t="s">
        <v>130</v>
      </c>
      <c r="G395" s="1" t="s">
        <v>1163</v>
      </c>
      <c r="H395" s="1" t="s">
        <v>32</v>
      </c>
      <c r="I395" s="1" t="s">
        <v>130</v>
      </c>
      <c r="J395" s="1" t="s">
        <v>163</v>
      </c>
      <c r="K395" s="1" t="s">
        <v>44</v>
      </c>
      <c r="L395" s="1"/>
      <c r="M395" s="1"/>
      <c r="N395" s="1" t="str">
        <f t="shared" si="51"/>
        <v>No</v>
      </c>
      <c r="O395" s="1">
        <f t="shared" si="52"/>
        <v>54</v>
      </c>
      <c r="P395" s="1">
        <f t="shared" si="53"/>
        <v>76</v>
      </c>
      <c r="Q395" s="1">
        <f t="shared" si="53"/>
        <v>10</v>
      </c>
      <c r="R395" s="1">
        <f t="shared" si="59"/>
        <v>1</v>
      </c>
      <c r="S395" s="34">
        <f t="shared" si="59"/>
        <v>131.57</v>
      </c>
      <c r="T395" s="1" t="str">
        <f t="shared" si="54"/>
        <v>not out</v>
      </c>
      <c r="U395" s="1" t="str">
        <f t="shared" si="55"/>
        <v>1</v>
      </c>
      <c r="V395" s="1" t="str">
        <f t="shared" si="56"/>
        <v xml:space="preserve"> West Indies</v>
      </c>
      <c r="W395" s="1" t="str">
        <f t="shared" si="57"/>
        <v>Vadodara</v>
      </c>
      <c r="X395" s="1" t="str">
        <f t="shared" si="58"/>
        <v>No</v>
      </c>
      <c r="Y395" s="1"/>
    </row>
    <row r="396" spans="1:25" ht="14.25" customHeight="1">
      <c r="A396" s="1"/>
      <c r="B396" s="1">
        <v>379</v>
      </c>
      <c r="C396" s="1" t="s">
        <v>38</v>
      </c>
      <c r="D396" s="1" t="s">
        <v>157</v>
      </c>
      <c r="E396" s="1" t="s">
        <v>157</v>
      </c>
      <c r="F396" s="1" t="s">
        <v>157</v>
      </c>
      <c r="G396" s="1" t="s">
        <v>157</v>
      </c>
      <c r="H396" s="1" t="s">
        <v>157</v>
      </c>
      <c r="I396" s="1" t="s">
        <v>157</v>
      </c>
      <c r="J396" s="1" t="s">
        <v>133</v>
      </c>
      <c r="K396" s="1" t="s">
        <v>51</v>
      </c>
      <c r="L396" s="1"/>
      <c r="M396" s="1"/>
      <c r="N396" s="1" t="str">
        <f t="shared" si="51"/>
        <v>Yes</v>
      </c>
      <c r="O396" s="1">
        <f t="shared" si="52"/>
        <v>1</v>
      </c>
      <c r="P396" s="1" t="str">
        <f t="shared" si="53"/>
        <v>NA</v>
      </c>
      <c r="Q396" s="1" t="str">
        <f t="shared" si="53"/>
        <v>NA</v>
      </c>
      <c r="R396" s="1" t="str">
        <f t="shared" si="59"/>
        <v>NA</v>
      </c>
      <c r="S396" s="34" t="str">
        <f t="shared" si="59"/>
        <v>NA</v>
      </c>
      <c r="T396" s="1" t="str">
        <f t="shared" si="54"/>
        <v>NA</v>
      </c>
      <c r="U396" s="1" t="str">
        <f t="shared" si="55"/>
        <v>-</v>
      </c>
      <c r="V396" s="1" t="str">
        <f t="shared" si="56"/>
        <v xml:space="preserve"> Sri Lanka</v>
      </c>
      <c r="W396" s="1" t="str">
        <f t="shared" si="57"/>
        <v>Eden Gardens</v>
      </c>
      <c r="X396" s="1" t="str">
        <f t="shared" si="58"/>
        <v>No</v>
      </c>
      <c r="Y396" s="1"/>
    </row>
    <row r="397" spans="1:25" ht="14.25" customHeight="1">
      <c r="A397" s="1"/>
      <c r="B397" s="1">
        <v>380</v>
      </c>
      <c r="C397" s="1" t="s">
        <v>142</v>
      </c>
      <c r="D397" s="1" t="s">
        <v>334</v>
      </c>
      <c r="E397" s="1" t="s">
        <v>161</v>
      </c>
      <c r="F397" s="1" t="s">
        <v>131</v>
      </c>
      <c r="G397" s="1" t="s">
        <v>1164</v>
      </c>
      <c r="H397" s="1" t="s">
        <v>63</v>
      </c>
      <c r="I397" s="1" t="s">
        <v>151</v>
      </c>
      <c r="J397" s="1" t="s">
        <v>133</v>
      </c>
      <c r="K397" s="1" t="s">
        <v>48</v>
      </c>
      <c r="L397" s="1"/>
      <c r="M397" s="1"/>
      <c r="N397" s="1" t="str">
        <f t="shared" si="51"/>
        <v>No</v>
      </c>
      <c r="O397" s="1">
        <f t="shared" si="52"/>
        <v>7</v>
      </c>
      <c r="P397" s="1">
        <f t="shared" si="53"/>
        <v>61</v>
      </c>
      <c r="Q397" s="1">
        <f t="shared" si="53"/>
        <v>9</v>
      </c>
      <c r="R397" s="1">
        <f t="shared" si="59"/>
        <v>0</v>
      </c>
      <c r="S397" s="34">
        <f t="shared" si="59"/>
        <v>88.52</v>
      </c>
      <c r="T397" s="1" t="str">
        <f t="shared" si="54"/>
        <v>stumped</v>
      </c>
      <c r="U397" s="1" t="str">
        <f t="shared" si="55"/>
        <v>2</v>
      </c>
      <c r="V397" s="1" t="str">
        <f t="shared" si="56"/>
        <v xml:space="preserve"> Sri Lanka</v>
      </c>
      <c r="W397" s="1" t="str">
        <f t="shared" si="57"/>
        <v>Rajkot</v>
      </c>
      <c r="X397" s="1" t="str">
        <f t="shared" si="58"/>
        <v>Yes</v>
      </c>
      <c r="Y397" s="1"/>
    </row>
    <row r="398" spans="1:25" ht="14.25" customHeight="1">
      <c r="A398" s="1"/>
      <c r="B398" s="1">
        <v>381</v>
      </c>
      <c r="C398" s="1" t="s">
        <v>130</v>
      </c>
      <c r="D398" s="1" t="s">
        <v>189</v>
      </c>
      <c r="E398" s="1" t="s">
        <v>131</v>
      </c>
      <c r="F398" s="1" t="s">
        <v>131</v>
      </c>
      <c r="G398" s="1" t="s">
        <v>911</v>
      </c>
      <c r="H398" s="1" t="s">
        <v>29</v>
      </c>
      <c r="I398" s="1" t="s">
        <v>151</v>
      </c>
      <c r="J398" s="1" t="s">
        <v>133</v>
      </c>
      <c r="K398" s="1" t="s">
        <v>573</v>
      </c>
      <c r="L398" s="1"/>
      <c r="M398" s="1"/>
      <c r="N398" s="1" t="str">
        <f t="shared" si="51"/>
        <v>No</v>
      </c>
      <c r="O398" s="1">
        <f t="shared" si="52"/>
        <v>57</v>
      </c>
      <c r="P398" s="1">
        <f t="shared" si="53"/>
        <v>8</v>
      </c>
      <c r="Q398" s="1">
        <f t="shared" si="53"/>
        <v>0</v>
      </c>
      <c r="R398" s="1">
        <f t="shared" si="59"/>
        <v>0</v>
      </c>
      <c r="S398" s="34">
        <f t="shared" si="59"/>
        <v>12.5</v>
      </c>
      <c r="T398" s="1" t="str">
        <f t="shared" si="54"/>
        <v>bowled</v>
      </c>
      <c r="U398" s="1" t="str">
        <f t="shared" si="55"/>
        <v>2</v>
      </c>
      <c r="V398" s="1" t="str">
        <f t="shared" si="56"/>
        <v xml:space="preserve"> Sri Lanka</v>
      </c>
      <c r="W398" s="1" t="str">
        <f t="shared" si="57"/>
        <v>Margao</v>
      </c>
      <c r="X398" s="1" t="str">
        <f t="shared" si="58"/>
        <v>Yes</v>
      </c>
      <c r="Y398" s="1"/>
    </row>
    <row r="399" spans="1:25" ht="14.25" customHeight="1">
      <c r="A399" s="1"/>
      <c r="B399" s="1">
        <v>382</v>
      </c>
      <c r="C399" s="1" t="s">
        <v>144</v>
      </c>
      <c r="D399" s="1" t="s">
        <v>313</v>
      </c>
      <c r="E399" s="1" t="s">
        <v>130</v>
      </c>
      <c r="F399" s="1" t="s">
        <v>131</v>
      </c>
      <c r="G399" s="1" t="s">
        <v>1165</v>
      </c>
      <c r="H399" s="1" t="s">
        <v>24</v>
      </c>
      <c r="I399" s="1" t="s">
        <v>130</v>
      </c>
      <c r="J399" s="1" t="s">
        <v>182</v>
      </c>
      <c r="K399" s="1" t="s">
        <v>76</v>
      </c>
      <c r="L399" s="1"/>
      <c r="M399" s="1"/>
      <c r="N399" s="1" t="str">
        <f t="shared" si="51"/>
        <v>No</v>
      </c>
      <c r="O399" s="1">
        <f t="shared" si="52"/>
        <v>0</v>
      </c>
      <c r="P399" s="1">
        <f t="shared" si="53"/>
        <v>26</v>
      </c>
      <c r="Q399" s="1">
        <f t="shared" si="53"/>
        <v>1</v>
      </c>
      <c r="R399" s="1">
        <f t="shared" si="59"/>
        <v>0</v>
      </c>
      <c r="S399" s="34">
        <f t="shared" si="59"/>
        <v>26.92</v>
      </c>
      <c r="T399" s="1" t="str">
        <f t="shared" si="54"/>
        <v>caught</v>
      </c>
      <c r="U399" s="1" t="str">
        <f t="shared" si="55"/>
        <v>1</v>
      </c>
      <c r="V399" s="1" t="str">
        <f t="shared" si="56"/>
        <v xml:space="preserve"> Bangladesh</v>
      </c>
      <c r="W399" s="1" t="str">
        <f t="shared" si="57"/>
        <v>Port of Spain</v>
      </c>
      <c r="X399" s="1" t="str">
        <f t="shared" si="58"/>
        <v>Yes</v>
      </c>
      <c r="Y399" s="1"/>
    </row>
    <row r="400" spans="1:25" ht="14.25" customHeight="1">
      <c r="A400" s="1"/>
      <c r="B400" s="1">
        <v>383</v>
      </c>
      <c r="C400" s="1" t="s">
        <v>857</v>
      </c>
      <c r="D400" s="1" t="s">
        <v>200</v>
      </c>
      <c r="E400" s="1" t="s">
        <v>151</v>
      </c>
      <c r="F400" s="1" t="s">
        <v>140</v>
      </c>
      <c r="G400" s="1" t="s">
        <v>1166</v>
      </c>
      <c r="H400" s="1" t="s">
        <v>32</v>
      </c>
      <c r="I400" s="1" t="s">
        <v>130</v>
      </c>
      <c r="J400" s="1" t="s">
        <v>601</v>
      </c>
      <c r="K400" s="1" t="s">
        <v>76</v>
      </c>
      <c r="L400" s="1"/>
      <c r="M400" s="1"/>
      <c r="N400" s="1" t="str">
        <f t="shared" si="51"/>
        <v>No</v>
      </c>
      <c r="O400" s="1">
        <f t="shared" si="52"/>
        <v>4</v>
      </c>
      <c r="P400" s="1">
        <f t="shared" si="53"/>
        <v>29</v>
      </c>
      <c r="Q400" s="1">
        <f t="shared" si="53"/>
        <v>2</v>
      </c>
      <c r="R400" s="1">
        <f t="shared" si="59"/>
        <v>4</v>
      </c>
      <c r="S400" s="34">
        <f t="shared" si="59"/>
        <v>196.55</v>
      </c>
      <c r="T400" s="1" t="str">
        <f t="shared" si="54"/>
        <v>not out</v>
      </c>
      <c r="U400" s="1" t="str">
        <f t="shared" si="55"/>
        <v>1</v>
      </c>
      <c r="V400" s="1" t="str">
        <f t="shared" si="56"/>
        <v xml:space="preserve"> Bermuda</v>
      </c>
      <c r="W400" s="1" t="str">
        <f t="shared" si="57"/>
        <v>Port of Spain</v>
      </c>
      <c r="X400" s="1" t="str">
        <f t="shared" si="58"/>
        <v>No</v>
      </c>
      <c r="Y400" s="1"/>
    </row>
    <row r="401" spans="1:25" ht="14.25" customHeight="1">
      <c r="A401" s="1"/>
      <c r="B401" s="1">
        <v>384</v>
      </c>
      <c r="C401" s="1" t="s">
        <v>131</v>
      </c>
      <c r="D401" s="1" t="s">
        <v>148</v>
      </c>
      <c r="E401" s="1" t="s">
        <v>131</v>
      </c>
      <c r="F401" s="1" t="s">
        <v>131</v>
      </c>
      <c r="G401" s="1" t="s">
        <v>210</v>
      </c>
      <c r="H401" s="1" t="s">
        <v>29</v>
      </c>
      <c r="I401" s="1" t="s">
        <v>151</v>
      </c>
      <c r="J401" s="1" t="s">
        <v>133</v>
      </c>
      <c r="K401" s="1" t="s">
        <v>76</v>
      </c>
      <c r="L401" s="1"/>
      <c r="M401" s="1"/>
      <c r="N401" s="1" t="str">
        <f t="shared" si="51"/>
        <v>No</v>
      </c>
      <c r="O401" s="1">
        <f t="shared" si="52"/>
        <v>99</v>
      </c>
      <c r="P401" s="1">
        <f t="shared" si="53"/>
        <v>3</v>
      </c>
      <c r="Q401" s="1">
        <f t="shared" si="53"/>
        <v>0</v>
      </c>
      <c r="R401" s="1">
        <f t="shared" si="59"/>
        <v>0</v>
      </c>
      <c r="S401" s="34">
        <f t="shared" si="59"/>
        <v>0</v>
      </c>
      <c r="T401" s="1" t="str">
        <f t="shared" si="54"/>
        <v>bowled</v>
      </c>
      <c r="U401" s="1" t="str">
        <f t="shared" si="55"/>
        <v>2</v>
      </c>
      <c r="V401" s="1" t="str">
        <f t="shared" si="56"/>
        <v xml:space="preserve"> Sri Lanka</v>
      </c>
      <c r="W401" s="1" t="str">
        <f t="shared" si="57"/>
        <v>Port of Spain</v>
      </c>
      <c r="X401" s="1" t="str">
        <f t="shared" si="58"/>
        <v>Yes</v>
      </c>
      <c r="Y401" s="1"/>
    </row>
    <row r="402" spans="1:25" ht="14.25" customHeight="1">
      <c r="A402" s="1"/>
      <c r="B402" s="1">
        <v>385</v>
      </c>
      <c r="C402" s="1" t="s">
        <v>140</v>
      </c>
      <c r="D402" s="1" t="s">
        <v>148</v>
      </c>
      <c r="E402" s="1" t="s">
        <v>130</v>
      </c>
      <c r="F402" s="1" t="s">
        <v>131</v>
      </c>
      <c r="G402" s="1" t="s">
        <v>502</v>
      </c>
      <c r="H402" s="1" t="s">
        <v>29</v>
      </c>
      <c r="I402" s="1" t="s">
        <v>151</v>
      </c>
      <c r="J402" s="1" t="s">
        <v>237</v>
      </c>
      <c r="K402" s="1" t="s">
        <v>606</v>
      </c>
      <c r="L402" s="1"/>
      <c r="M402" s="1"/>
      <c r="N402" s="1" t="str">
        <f t="shared" ref="N402:N465" si="60">IF(OR(C402="DNB",C402="TDNB"),"Yes","No")</f>
        <v>No</v>
      </c>
      <c r="O402" s="1">
        <f t="shared" ref="O402:O465" si="61">IF(N404="Yes", "NA",SUBSTITUTE(C404,"*","")*1)</f>
        <v>93</v>
      </c>
      <c r="P402" s="1">
        <f t="shared" si="53"/>
        <v>3</v>
      </c>
      <c r="Q402" s="1">
        <f t="shared" si="53"/>
        <v>1</v>
      </c>
      <c r="R402" s="1">
        <f t="shared" si="59"/>
        <v>0</v>
      </c>
      <c r="S402" s="34">
        <f t="shared" si="59"/>
        <v>133.33000000000001</v>
      </c>
      <c r="T402" s="1" t="str">
        <f t="shared" si="54"/>
        <v>bowled</v>
      </c>
      <c r="U402" s="1" t="str">
        <f t="shared" si="55"/>
        <v>2</v>
      </c>
      <c r="V402" s="1" t="str">
        <f t="shared" si="56"/>
        <v xml:space="preserve"> Ireland</v>
      </c>
      <c r="W402" s="1" t="str">
        <f t="shared" si="57"/>
        <v>Belfast</v>
      </c>
      <c r="X402" s="1" t="str">
        <f t="shared" si="58"/>
        <v>Yes</v>
      </c>
      <c r="Y402" s="1"/>
    </row>
    <row r="403" spans="1:25" ht="14.25" customHeight="1">
      <c r="A403" s="1"/>
      <c r="B403" s="1">
        <v>386</v>
      </c>
      <c r="C403" s="1" t="s">
        <v>269</v>
      </c>
      <c r="D403" s="1" t="s">
        <v>1054</v>
      </c>
      <c r="E403" s="1" t="s">
        <v>128</v>
      </c>
      <c r="F403" s="1" t="s">
        <v>131</v>
      </c>
      <c r="G403" s="1" t="s">
        <v>401</v>
      </c>
      <c r="H403" s="1" t="s">
        <v>26</v>
      </c>
      <c r="I403" s="1" t="s">
        <v>130</v>
      </c>
      <c r="J403" s="1" t="s">
        <v>191</v>
      </c>
      <c r="K403" s="1" t="s">
        <v>606</v>
      </c>
      <c r="L403" s="1"/>
      <c r="M403" s="1"/>
      <c r="N403" s="1" t="str">
        <f t="shared" si="60"/>
        <v>No</v>
      </c>
      <c r="O403" s="1">
        <f t="shared" si="61"/>
        <v>8</v>
      </c>
      <c r="P403" s="1">
        <f t="shared" ref="P403:Q466" si="62">IF(D403="-","NA",D403*1)</f>
        <v>143</v>
      </c>
      <c r="Q403" s="1">
        <f t="shared" si="62"/>
        <v>12</v>
      </c>
      <c r="R403" s="1">
        <f t="shared" si="59"/>
        <v>0</v>
      </c>
      <c r="S403" s="34">
        <f t="shared" si="59"/>
        <v>69.23</v>
      </c>
      <c r="T403" s="1" t="str">
        <f t="shared" ref="T403:T466" si="63">IF(H403="-","NA",H403)</f>
        <v>run out</v>
      </c>
      <c r="U403" s="1" t="str">
        <f t="shared" ref="U403:U466" si="64">I403</f>
        <v>1</v>
      </c>
      <c r="V403" s="1" t="str">
        <f t="shared" ref="V403:V466" si="65">SUBSTITUTE(J403,"v","")</f>
        <v xml:space="preserve"> South Africa</v>
      </c>
      <c r="W403" s="1" t="str">
        <f t="shared" ref="W403:W466" si="66">K403</f>
        <v>Belfast</v>
      </c>
      <c r="X403" s="1" t="str">
        <f t="shared" ref="X403:X466" si="67">IF(N403="Yes","No",IF(T403="not out","No","Yes"))</f>
        <v>Yes</v>
      </c>
      <c r="Y403" s="1"/>
    </row>
    <row r="404" spans="1:25" ht="14.25" customHeight="1">
      <c r="A404" s="1"/>
      <c r="B404" s="1">
        <v>387</v>
      </c>
      <c r="C404" s="1" t="s">
        <v>260</v>
      </c>
      <c r="D404" s="1" t="s">
        <v>296</v>
      </c>
      <c r="E404" s="1" t="s">
        <v>325</v>
      </c>
      <c r="F404" s="1" t="s">
        <v>151</v>
      </c>
      <c r="G404" s="1" t="s">
        <v>1167</v>
      </c>
      <c r="H404" s="1" t="s">
        <v>29</v>
      </c>
      <c r="I404" s="1" t="s">
        <v>151</v>
      </c>
      <c r="J404" s="1" t="s">
        <v>191</v>
      </c>
      <c r="K404" s="1" t="s">
        <v>606</v>
      </c>
      <c r="L404" s="1"/>
      <c r="M404" s="1"/>
      <c r="N404" s="1" t="str">
        <f t="shared" si="60"/>
        <v>No</v>
      </c>
      <c r="O404" s="1">
        <f t="shared" si="61"/>
        <v>17</v>
      </c>
      <c r="P404" s="1">
        <f t="shared" si="62"/>
        <v>106</v>
      </c>
      <c r="Q404" s="1">
        <f t="shared" si="62"/>
        <v>13</v>
      </c>
      <c r="R404" s="1">
        <f t="shared" si="59"/>
        <v>2</v>
      </c>
      <c r="S404" s="34">
        <f t="shared" si="59"/>
        <v>87.73</v>
      </c>
      <c r="T404" s="1" t="str">
        <f t="shared" si="63"/>
        <v>bowled</v>
      </c>
      <c r="U404" s="1" t="str">
        <f t="shared" si="64"/>
        <v>2</v>
      </c>
      <c r="V404" s="1" t="str">
        <f t="shared" si="65"/>
        <v xml:space="preserve"> South Africa</v>
      </c>
      <c r="W404" s="1" t="str">
        <f t="shared" si="66"/>
        <v>Belfast</v>
      </c>
      <c r="X404" s="1" t="str">
        <f t="shared" si="67"/>
        <v>Yes</v>
      </c>
      <c r="Y404" s="1"/>
    </row>
    <row r="405" spans="1:25" ht="14.25" customHeight="1">
      <c r="A405" s="1"/>
      <c r="B405" s="1">
        <v>388</v>
      </c>
      <c r="C405" s="1" t="s">
        <v>189</v>
      </c>
      <c r="D405" s="1" t="s">
        <v>189</v>
      </c>
      <c r="E405" s="1" t="s">
        <v>151</v>
      </c>
      <c r="F405" s="1" t="s">
        <v>131</v>
      </c>
      <c r="G405" s="1" t="s">
        <v>152</v>
      </c>
      <c r="H405" s="1" t="s">
        <v>24</v>
      </c>
      <c r="I405" s="1" t="s">
        <v>151</v>
      </c>
      <c r="J405" s="1" t="s">
        <v>191</v>
      </c>
      <c r="K405" s="1" t="s">
        <v>606</v>
      </c>
      <c r="L405" s="1"/>
      <c r="M405" s="1"/>
      <c r="N405" s="1" t="str">
        <f t="shared" si="60"/>
        <v>No</v>
      </c>
      <c r="O405" s="1">
        <f t="shared" si="61"/>
        <v>99</v>
      </c>
      <c r="P405" s="1">
        <f t="shared" si="62"/>
        <v>8</v>
      </c>
      <c r="Q405" s="1">
        <f t="shared" si="62"/>
        <v>2</v>
      </c>
      <c r="R405" s="1">
        <f t="shared" si="59"/>
        <v>0</v>
      </c>
      <c r="S405" s="34">
        <f t="shared" si="59"/>
        <v>100</v>
      </c>
      <c r="T405" s="1" t="str">
        <f t="shared" si="63"/>
        <v>caught</v>
      </c>
      <c r="U405" s="1" t="str">
        <f t="shared" si="64"/>
        <v>2</v>
      </c>
      <c r="V405" s="1" t="str">
        <f t="shared" si="65"/>
        <v xml:space="preserve"> South Africa</v>
      </c>
      <c r="W405" s="1" t="str">
        <f t="shared" si="66"/>
        <v>Belfast</v>
      </c>
      <c r="X405" s="1" t="str">
        <f t="shared" si="67"/>
        <v>Yes</v>
      </c>
      <c r="Y405" s="1"/>
    </row>
    <row r="406" spans="1:25" ht="14.25" customHeight="1">
      <c r="A406" s="1"/>
      <c r="B406" s="1">
        <v>389</v>
      </c>
      <c r="C406" s="1" t="s">
        <v>306</v>
      </c>
      <c r="D406" s="1" t="s">
        <v>244</v>
      </c>
      <c r="E406" s="1" t="s">
        <v>130</v>
      </c>
      <c r="F406" s="1" t="s">
        <v>131</v>
      </c>
      <c r="G406" s="1" t="s">
        <v>1168</v>
      </c>
      <c r="H406" s="1" t="s">
        <v>24</v>
      </c>
      <c r="I406" s="1" t="s">
        <v>151</v>
      </c>
      <c r="J406" s="1" t="s">
        <v>234</v>
      </c>
      <c r="K406" s="1" t="s">
        <v>80</v>
      </c>
      <c r="L406" s="1"/>
      <c r="M406" s="1"/>
      <c r="N406" s="1" t="str">
        <f t="shared" si="60"/>
        <v>No</v>
      </c>
      <c r="O406" s="1">
        <f t="shared" si="61"/>
        <v>8</v>
      </c>
      <c r="P406" s="1">
        <f t="shared" si="62"/>
        <v>33</v>
      </c>
      <c r="Q406" s="1">
        <f t="shared" si="62"/>
        <v>1</v>
      </c>
      <c r="R406" s="1">
        <f t="shared" si="59"/>
        <v>0</v>
      </c>
      <c r="S406" s="34">
        <f t="shared" si="59"/>
        <v>51.51</v>
      </c>
      <c r="T406" s="1" t="str">
        <f t="shared" si="63"/>
        <v>caught</v>
      </c>
      <c r="U406" s="1" t="str">
        <f t="shared" si="64"/>
        <v>2</v>
      </c>
      <c r="V406" s="1" t="str">
        <f t="shared" si="65"/>
        <v xml:space="preserve"> England</v>
      </c>
      <c r="W406" s="1" t="str">
        <f t="shared" si="66"/>
        <v>Southampton</v>
      </c>
      <c r="X406" s="1" t="str">
        <f t="shared" si="67"/>
        <v>Yes</v>
      </c>
      <c r="Y406" s="1"/>
    </row>
    <row r="407" spans="1:25" ht="14.25" customHeight="1">
      <c r="A407" s="1"/>
      <c r="B407" s="1">
        <v>390</v>
      </c>
      <c r="C407" s="1" t="s">
        <v>269</v>
      </c>
      <c r="D407" s="1" t="s">
        <v>441</v>
      </c>
      <c r="E407" s="1" t="s">
        <v>283</v>
      </c>
      <c r="F407" s="1" t="s">
        <v>130</v>
      </c>
      <c r="G407" s="1" t="s">
        <v>1169</v>
      </c>
      <c r="H407" s="1" t="s">
        <v>24</v>
      </c>
      <c r="I407" s="1" t="s">
        <v>130</v>
      </c>
      <c r="J407" s="1" t="s">
        <v>234</v>
      </c>
      <c r="K407" s="1" t="s">
        <v>612</v>
      </c>
      <c r="L407" s="1"/>
      <c r="M407" s="1"/>
      <c r="N407" s="1" t="str">
        <f t="shared" si="60"/>
        <v>No</v>
      </c>
      <c r="O407" s="1">
        <f t="shared" si="61"/>
        <v>55</v>
      </c>
      <c r="P407" s="1">
        <f t="shared" si="62"/>
        <v>112</v>
      </c>
      <c r="Q407" s="1">
        <f t="shared" si="62"/>
        <v>15</v>
      </c>
      <c r="R407" s="1">
        <f t="shared" si="59"/>
        <v>1</v>
      </c>
      <c r="S407" s="34">
        <f t="shared" si="59"/>
        <v>88.39</v>
      </c>
      <c r="T407" s="1" t="str">
        <f t="shared" si="63"/>
        <v>caught</v>
      </c>
      <c r="U407" s="1" t="str">
        <f t="shared" si="64"/>
        <v>1</v>
      </c>
      <c r="V407" s="1" t="str">
        <f t="shared" si="65"/>
        <v xml:space="preserve"> England</v>
      </c>
      <c r="W407" s="1" t="str">
        <f t="shared" si="66"/>
        <v>Bristol</v>
      </c>
      <c r="X407" s="1" t="str">
        <f t="shared" si="67"/>
        <v>Yes</v>
      </c>
      <c r="Y407" s="1"/>
    </row>
    <row r="408" spans="1:25" ht="14.25" customHeight="1">
      <c r="A408" s="1"/>
      <c r="B408" s="1">
        <v>391</v>
      </c>
      <c r="C408" s="1" t="s">
        <v>189</v>
      </c>
      <c r="D408" s="1" t="s">
        <v>170</v>
      </c>
      <c r="E408" s="1" t="s">
        <v>130</v>
      </c>
      <c r="F408" s="1" t="s">
        <v>131</v>
      </c>
      <c r="G408" s="1" t="s">
        <v>378</v>
      </c>
      <c r="H408" s="1" t="s">
        <v>24</v>
      </c>
      <c r="I408" s="1" t="s">
        <v>151</v>
      </c>
      <c r="J408" s="1" t="s">
        <v>234</v>
      </c>
      <c r="K408" s="1" t="s">
        <v>99</v>
      </c>
      <c r="L408" s="1"/>
      <c r="M408" s="1"/>
      <c r="N408" s="1" t="str">
        <f t="shared" si="60"/>
        <v>No</v>
      </c>
      <c r="O408" s="1">
        <f t="shared" si="61"/>
        <v>71</v>
      </c>
      <c r="P408" s="1">
        <f t="shared" si="62"/>
        <v>19</v>
      </c>
      <c r="Q408" s="1">
        <f t="shared" si="62"/>
        <v>1</v>
      </c>
      <c r="R408" s="1">
        <f t="shared" si="59"/>
        <v>0</v>
      </c>
      <c r="S408" s="34">
        <f t="shared" si="59"/>
        <v>42.1</v>
      </c>
      <c r="T408" s="1" t="str">
        <f t="shared" si="63"/>
        <v>caught</v>
      </c>
      <c r="U408" s="1" t="str">
        <f t="shared" si="64"/>
        <v>2</v>
      </c>
      <c r="V408" s="1" t="str">
        <f t="shared" si="65"/>
        <v xml:space="preserve"> England</v>
      </c>
      <c r="W408" s="1" t="str">
        <f t="shared" si="66"/>
        <v>Birmingham</v>
      </c>
      <c r="X408" s="1" t="str">
        <f t="shared" si="67"/>
        <v>Yes</v>
      </c>
      <c r="Y408" s="1"/>
    </row>
    <row r="409" spans="1:25" ht="14.25" customHeight="1">
      <c r="A409" s="1"/>
      <c r="B409" s="1">
        <v>392</v>
      </c>
      <c r="C409" s="1" t="s">
        <v>255</v>
      </c>
      <c r="D409" s="1" t="s">
        <v>288</v>
      </c>
      <c r="E409" s="1" t="s">
        <v>161</v>
      </c>
      <c r="F409" s="1" t="s">
        <v>131</v>
      </c>
      <c r="G409" s="1" t="s">
        <v>1170</v>
      </c>
      <c r="H409" s="1" t="s">
        <v>24</v>
      </c>
      <c r="I409" s="1" t="s">
        <v>130</v>
      </c>
      <c r="J409" s="1" t="s">
        <v>234</v>
      </c>
      <c r="K409" s="1" t="s">
        <v>115</v>
      </c>
      <c r="L409" s="1"/>
      <c r="M409" s="1"/>
      <c r="N409" s="1" t="str">
        <f t="shared" si="60"/>
        <v>No</v>
      </c>
      <c r="O409" s="1">
        <f t="shared" si="61"/>
        <v>94</v>
      </c>
      <c r="P409" s="1">
        <f t="shared" si="62"/>
        <v>86</v>
      </c>
      <c r="Q409" s="1">
        <f t="shared" si="62"/>
        <v>9</v>
      </c>
      <c r="R409" s="1">
        <f t="shared" si="59"/>
        <v>0</v>
      </c>
      <c r="S409" s="34">
        <f t="shared" si="59"/>
        <v>63.95</v>
      </c>
      <c r="T409" s="1" t="str">
        <f t="shared" si="63"/>
        <v>caught</v>
      </c>
      <c r="U409" s="1" t="str">
        <f t="shared" si="64"/>
        <v>1</v>
      </c>
      <c r="V409" s="1" t="str">
        <f t="shared" si="65"/>
        <v xml:space="preserve"> England</v>
      </c>
      <c r="W409" s="1" t="str">
        <f t="shared" si="66"/>
        <v>Manchester</v>
      </c>
      <c r="X409" s="1" t="str">
        <f t="shared" si="67"/>
        <v>Yes</v>
      </c>
      <c r="Y409" s="1"/>
    </row>
    <row r="410" spans="1:25" ht="14.25" customHeight="1">
      <c r="A410" s="1"/>
      <c r="B410" s="1">
        <v>393</v>
      </c>
      <c r="C410" s="1" t="s">
        <v>193</v>
      </c>
      <c r="D410" s="1" t="s">
        <v>241</v>
      </c>
      <c r="E410" s="1" t="s">
        <v>325</v>
      </c>
      <c r="F410" s="1" t="s">
        <v>131</v>
      </c>
      <c r="G410" s="1" t="s">
        <v>1171</v>
      </c>
      <c r="H410" s="1" t="s">
        <v>24</v>
      </c>
      <c r="I410" s="1" t="s">
        <v>130</v>
      </c>
      <c r="J410" s="1" t="s">
        <v>234</v>
      </c>
      <c r="K410" s="1" t="s">
        <v>109</v>
      </c>
      <c r="L410" s="1"/>
      <c r="M410" s="1"/>
      <c r="N410" s="1" t="str">
        <f t="shared" si="60"/>
        <v>No</v>
      </c>
      <c r="O410" s="1">
        <f t="shared" si="61"/>
        <v>30</v>
      </c>
      <c r="P410" s="1">
        <f t="shared" si="62"/>
        <v>59</v>
      </c>
      <c r="Q410" s="1">
        <f t="shared" si="62"/>
        <v>13</v>
      </c>
      <c r="R410" s="1">
        <f t="shared" si="59"/>
        <v>0</v>
      </c>
      <c r="S410" s="34">
        <f t="shared" si="59"/>
        <v>120.33</v>
      </c>
      <c r="T410" s="1" t="str">
        <f t="shared" si="63"/>
        <v>caught</v>
      </c>
      <c r="U410" s="1" t="str">
        <f t="shared" si="64"/>
        <v>1</v>
      </c>
      <c r="V410" s="1" t="str">
        <f t="shared" si="65"/>
        <v xml:space="preserve"> England</v>
      </c>
      <c r="W410" s="1" t="str">
        <f t="shared" si="66"/>
        <v>Leeds</v>
      </c>
      <c r="X410" s="1" t="str">
        <f t="shared" si="67"/>
        <v>Yes</v>
      </c>
      <c r="Y410" s="1"/>
    </row>
    <row r="411" spans="1:25" ht="14.25" customHeight="1">
      <c r="A411" s="1"/>
      <c r="B411" s="1">
        <v>394</v>
      </c>
      <c r="C411" s="1" t="s">
        <v>253</v>
      </c>
      <c r="D411" s="1" t="s">
        <v>250</v>
      </c>
      <c r="E411" s="1" t="s">
        <v>153</v>
      </c>
      <c r="F411" s="1" t="s">
        <v>130</v>
      </c>
      <c r="G411" s="1" t="s">
        <v>1172</v>
      </c>
      <c r="H411" s="1" t="s">
        <v>24</v>
      </c>
      <c r="I411" s="1" t="s">
        <v>151</v>
      </c>
      <c r="J411" s="1" t="s">
        <v>234</v>
      </c>
      <c r="K411" s="1" t="s">
        <v>81</v>
      </c>
      <c r="L411" s="1"/>
      <c r="M411" s="1"/>
      <c r="N411" s="1" t="str">
        <f t="shared" si="60"/>
        <v>No</v>
      </c>
      <c r="O411" s="1">
        <f t="shared" si="61"/>
        <v>0</v>
      </c>
      <c r="P411" s="1">
        <f t="shared" si="62"/>
        <v>81</v>
      </c>
      <c r="Q411" s="1">
        <f t="shared" si="62"/>
        <v>16</v>
      </c>
      <c r="R411" s="1">
        <f t="shared" si="59"/>
        <v>1</v>
      </c>
      <c r="S411" s="34">
        <f t="shared" si="59"/>
        <v>116.04</v>
      </c>
      <c r="T411" s="1" t="str">
        <f t="shared" si="63"/>
        <v>caught</v>
      </c>
      <c r="U411" s="1" t="str">
        <f t="shared" si="64"/>
        <v>2</v>
      </c>
      <c r="V411" s="1" t="str">
        <f t="shared" si="65"/>
        <v xml:space="preserve"> England</v>
      </c>
      <c r="W411" s="1" t="str">
        <f t="shared" si="66"/>
        <v>The Oval</v>
      </c>
      <c r="X411" s="1" t="str">
        <f t="shared" si="67"/>
        <v>Yes</v>
      </c>
      <c r="Y411" s="1"/>
    </row>
    <row r="412" spans="1:25" ht="14.25" customHeight="1">
      <c r="A412" s="1"/>
      <c r="B412" s="1">
        <v>395</v>
      </c>
      <c r="C412" s="1" t="s">
        <v>164</v>
      </c>
      <c r="D412" s="1" t="s">
        <v>147</v>
      </c>
      <c r="E412" s="1" t="s">
        <v>140</v>
      </c>
      <c r="F412" s="1" t="s">
        <v>131</v>
      </c>
      <c r="G412" s="1" t="s">
        <v>727</v>
      </c>
      <c r="H412" s="1" t="s">
        <v>24</v>
      </c>
      <c r="I412" s="1" t="s">
        <v>130</v>
      </c>
      <c r="J412" s="1" t="s">
        <v>234</v>
      </c>
      <c r="K412" s="1" t="s">
        <v>82</v>
      </c>
      <c r="L412" s="1"/>
      <c r="M412" s="1"/>
      <c r="N412" s="1" t="str">
        <f t="shared" si="60"/>
        <v>No</v>
      </c>
      <c r="O412" s="1">
        <f t="shared" si="61"/>
        <v>16</v>
      </c>
      <c r="P412" s="1">
        <f t="shared" si="62"/>
        <v>46</v>
      </c>
      <c r="Q412" s="1">
        <f t="shared" si="62"/>
        <v>4</v>
      </c>
      <c r="R412" s="1">
        <f t="shared" si="59"/>
        <v>0</v>
      </c>
      <c r="S412" s="34">
        <f t="shared" si="59"/>
        <v>65.209999999999994</v>
      </c>
      <c r="T412" s="1" t="str">
        <f t="shared" si="63"/>
        <v>caught</v>
      </c>
      <c r="U412" s="1" t="str">
        <f t="shared" si="64"/>
        <v>1</v>
      </c>
      <c r="V412" s="1" t="str">
        <f t="shared" si="65"/>
        <v xml:space="preserve"> England</v>
      </c>
      <c r="W412" s="1" t="str">
        <f t="shared" si="66"/>
        <v>Lord's</v>
      </c>
      <c r="X412" s="1" t="str">
        <f t="shared" si="67"/>
        <v>Yes</v>
      </c>
      <c r="Y412" s="1"/>
    </row>
    <row r="413" spans="1:25" ht="14.25" customHeight="1">
      <c r="A413" s="1"/>
      <c r="B413" s="1">
        <v>396</v>
      </c>
      <c r="C413" s="1" t="s">
        <v>131</v>
      </c>
      <c r="D413" s="1" t="s">
        <v>136</v>
      </c>
      <c r="E413" s="1" t="s">
        <v>131</v>
      </c>
      <c r="F413" s="1" t="s">
        <v>131</v>
      </c>
      <c r="G413" s="1" t="s">
        <v>210</v>
      </c>
      <c r="H413" s="1" t="s">
        <v>19</v>
      </c>
      <c r="I413" s="1" t="s">
        <v>151</v>
      </c>
      <c r="J413" s="1" t="s">
        <v>158</v>
      </c>
      <c r="K413" s="1" t="s">
        <v>67</v>
      </c>
      <c r="L413" s="1"/>
      <c r="M413" s="1"/>
      <c r="N413" s="1" t="str">
        <f t="shared" si="60"/>
        <v>No</v>
      </c>
      <c r="O413" s="1">
        <f t="shared" si="61"/>
        <v>43</v>
      </c>
      <c r="P413" s="1">
        <f t="shared" si="62"/>
        <v>6</v>
      </c>
      <c r="Q413" s="1">
        <f t="shared" si="62"/>
        <v>0</v>
      </c>
      <c r="R413" s="1">
        <f t="shared" si="59"/>
        <v>0</v>
      </c>
      <c r="S413" s="34">
        <f t="shared" si="59"/>
        <v>0</v>
      </c>
      <c r="T413" s="1" t="str">
        <f t="shared" si="63"/>
        <v>lbw</v>
      </c>
      <c r="U413" s="1" t="str">
        <f t="shared" si="64"/>
        <v>2</v>
      </c>
      <c r="V413" s="1" t="str">
        <f t="shared" si="65"/>
        <v xml:space="preserve"> Australia</v>
      </c>
      <c r="W413" s="1" t="str">
        <f t="shared" si="66"/>
        <v>Bengaluru</v>
      </c>
      <c r="X413" s="1" t="str">
        <f t="shared" si="67"/>
        <v>Yes</v>
      </c>
      <c r="Y413" s="1"/>
    </row>
    <row r="414" spans="1:25" ht="14.25" customHeight="1">
      <c r="A414" s="1"/>
      <c r="B414" s="1">
        <v>397</v>
      </c>
      <c r="C414" s="1" t="s">
        <v>153</v>
      </c>
      <c r="D414" s="1" t="s">
        <v>138</v>
      </c>
      <c r="E414" s="1" t="s">
        <v>130</v>
      </c>
      <c r="F414" s="1" t="s">
        <v>130</v>
      </c>
      <c r="G414" s="1" t="s">
        <v>495</v>
      </c>
      <c r="H414" s="1" t="s">
        <v>24</v>
      </c>
      <c r="I414" s="1" t="s">
        <v>151</v>
      </c>
      <c r="J414" s="1" t="s">
        <v>158</v>
      </c>
      <c r="K414" s="1" t="s">
        <v>96</v>
      </c>
      <c r="L414" s="1"/>
      <c r="M414" s="1"/>
      <c r="N414" s="1" t="str">
        <f t="shared" si="60"/>
        <v>No</v>
      </c>
      <c r="O414" s="1">
        <f t="shared" si="61"/>
        <v>79</v>
      </c>
      <c r="P414" s="1">
        <f t="shared" si="62"/>
        <v>25</v>
      </c>
      <c r="Q414" s="1">
        <f t="shared" si="62"/>
        <v>1</v>
      </c>
      <c r="R414" s="1">
        <f t="shared" si="59"/>
        <v>1</v>
      </c>
      <c r="S414" s="34">
        <f t="shared" si="59"/>
        <v>64</v>
      </c>
      <c r="T414" s="1" t="str">
        <f t="shared" si="63"/>
        <v>caught</v>
      </c>
      <c r="U414" s="1" t="str">
        <f t="shared" si="64"/>
        <v>2</v>
      </c>
      <c r="V414" s="1" t="str">
        <f t="shared" si="65"/>
        <v xml:space="preserve"> Australia</v>
      </c>
      <c r="W414" s="1" t="str">
        <f t="shared" si="66"/>
        <v>Kochi</v>
      </c>
      <c r="X414" s="1" t="str">
        <f t="shared" si="67"/>
        <v>Yes</v>
      </c>
      <c r="Y414" s="1"/>
    </row>
    <row r="415" spans="1:25" ht="14.25" customHeight="1">
      <c r="A415" s="1"/>
      <c r="B415" s="1">
        <v>398</v>
      </c>
      <c r="C415" s="1" t="s">
        <v>321</v>
      </c>
      <c r="D415" s="1" t="s">
        <v>193</v>
      </c>
      <c r="E415" s="1" t="s">
        <v>136</v>
      </c>
      <c r="F415" s="1" t="s">
        <v>131</v>
      </c>
      <c r="G415" s="1" t="s">
        <v>1173</v>
      </c>
      <c r="H415" s="1" t="s">
        <v>29</v>
      </c>
      <c r="I415" s="1" t="s">
        <v>151</v>
      </c>
      <c r="J415" s="1" t="s">
        <v>158</v>
      </c>
      <c r="K415" s="1" t="s">
        <v>85</v>
      </c>
      <c r="L415" s="1"/>
      <c r="M415" s="1"/>
      <c r="N415" s="1" t="str">
        <f t="shared" si="60"/>
        <v>No</v>
      </c>
      <c r="O415" s="1">
        <f t="shared" si="61"/>
        <v>47</v>
      </c>
      <c r="P415" s="1">
        <f t="shared" si="62"/>
        <v>71</v>
      </c>
      <c r="Q415" s="1">
        <f t="shared" si="62"/>
        <v>6</v>
      </c>
      <c r="R415" s="1">
        <f t="shared" si="59"/>
        <v>0</v>
      </c>
      <c r="S415" s="34">
        <f t="shared" si="59"/>
        <v>60.56</v>
      </c>
      <c r="T415" s="1" t="str">
        <f t="shared" si="63"/>
        <v>bowled</v>
      </c>
      <c r="U415" s="1" t="str">
        <f t="shared" si="64"/>
        <v>2</v>
      </c>
      <c r="V415" s="1" t="str">
        <f t="shared" si="65"/>
        <v xml:space="preserve"> Australia</v>
      </c>
      <c r="W415" s="1" t="str">
        <f t="shared" si="66"/>
        <v>Hyderabad</v>
      </c>
      <c r="X415" s="1" t="str">
        <f t="shared" si="67"/>
        <v>Yes</v>
      </c>
      <c r="Y415" s="1"/>
    </row>
    <row r="416" spans="1:25" ht="14.25" customHeight="1">
      <c r="A416" s="1"/>
      <c r="B416" s="1">
        <v>399</v>
      </c>
      <c r="C416" s="1" t="s">
        <v>311</v>
      </c>
      <c r="D416" s="1" t="s">
        <v>302</v>
      </c>
      <c r="E416" s="1" t="s">
        <v>144</v>
      </c>
      <c r="F416" s="1" t="s">
        <v>131</v>
      </c>
      <c r="G416" s="1" t="s">
        <v>1174</v>
      </c>
      <c r="H416" s="1" t="s">
        <v>26</v>
      </c>
      <c r="I416" s="1" t="s">
        <v>130</v>
      </c>
      <c r="J416" s="1" t="s">
        <v>158</v>
      </c>
      <c r="K416" s="1" t="s">
        <v>622</v>
      </c>
      <c r="L416" s="1"/>
      <c r="M416" s="1"/>
      <c r="N416" s="1" t="str">
        <f t="shared" si="60"/>
        <v>No</v>
      </c>
      <c r="O416" s="1">
        <f t="shared" si="61"/>
        <v>72</v>
      </c>
      <c r="P416" s="1">
        <f t="shared" si="62"/>
        <v>119</v>
      </c>
      <c r="Q416" s="1">
        <f t="shared" si="62"/>
        <v>7</v>
      </c>
      <c r="R416" s="1">
        <f t="shared" si="59"/>
        <v>0</v>
      </c>
      <c r="S416" s="34">
        <f t="shared" si="59"/>
        <v>66.38</v>
      </c>
      <c r="T416" s="1" t="str">
        <f t="shared" si="63"/>
        <v>run out</v>
      </c>
      <c r="U416" s="1" t="str">
        <f t="shared" si="64"/>
        <v>1</v>
      </c>
      <c r="V416" s="1" t="str">
        <f t="shared" si="65"/>
        <v xml:space="preserve"> Australia</v>
      </c>
      <c r="W416" s="1" t="str">
        <f t="shared" si="66"/>
        <v>Chandigarh</v>
      </c>
      <c r="X416" s="1" t="str">
        <f t="shared" si="67"/>
        <v>Yes</v>
      </c>
      <c r="Y416" s="1"/>
    </row>
    <row r="417" spans="1:25" ht="14.25" customHeight="1">
      <c r="A417" s="1"/>
      <c r="B417" s="1">
        <v>400</v>
      </c>
      <c r="C417" s="1" t="s">
        <v>419</v>
      </c>
      <c r="D417" s="1" t="s">
        <v>219</v>
      </c>
      <c r="E417" s="1" t="s">
        <v>161</v>
      </c>
      <c r="F417" s="1" t="s">
        <v>131</v>
      </c>
      <c r="G417" s="1" t="s">
        <v>1175</v>
      </c>
      <c r="H417" s="1" t="s">
        <v>24</v>
      </c>
      <c r="I417" s="1" t="s">
        <v>130</v>
      </c>
      <c r="J417" s="1" t="s">
        <v>158</v>
      </c>
      <c r="K417" s="1" t="s">
        <v>44</v>
      </c>
      <c r="L417" s="1"/>
      <c r="M417" s="1"/>
      <c r="N417" s="1" t="str">
        <f t="shared" si="60"/>
        <v>No</v>
      </c>
      <c r="O417" s="1">
        <f t="shared" si="61"/>
        <v>21</v>
      </c>
      <c r="P417" s="1">
        <f t="shared" si="62"/>
        <v>73</v>
      </c>
      <c r="Q417" s="1">
        <f t="shared" si="62"/>
        <v>9</v>
      </c>
      <c r="R417" s="1">
        <f t="shared" si="59"/>
        <v>0</v>
      </c>
      <c r="S417" s="34">
        <f t="shared" si="59"/>
        <v>64.38</v>
      </c>
      <c r="T417" s="1" t="str">
        <f t="shared" si="63"/>
        <v>caught</v>
      </c>
      <c r="U417" s="1" t="str">
        <f t="shared" si="64"/>
        <v>1</v>
      </c>
      <c r="V417" s="1" t="str">
        <f t="shared" si="65"/>
        <v xml:space="preserve"> Australia</v>
      </c>
      <c r="W417" s="1" t="str">
        <f t="shared" si="66"/>
        <v>Vadodara</v>
      </c>
      <c r="X417" s="1" t="str">
        <f t="shared" si="67"/>
        <v>Yes</v>
      </c>
      <c r="Y417" s="1"/>
    </row>
    <row r="418" spans="1:25" ht="14.25" customHeight="1">
      <c r="A418" s="1"/>
      <c r="B418" s="1">
        <v>401</v>
      </c>
      <c r="C418" s="1" t="s">
        <v>454</v>
      </c>
      <c r="D418" s="1" t="s">
        <v>454</v>
      </c>
      <c r="E418" s="1" t="s">
        <v>161</v>
      </c>
      <c r="F418" s="1" t="s">
        <v>130</v>
      </c>
      <c r="G418" s="1" t="s">
        <v>152</v>
      </c>
      <c r="H418" s="1" t="s">
        <v>63</v>
      </c>
      <c r="I418" s="1" t="s">
        <v>151</v>
      </c>
      <c r="J418" s="1" t="s">
        <v>158</v>
      </c>
      <c r="K418" s="1" t="s">
        <v>50</v>
      </c>
      <c r="L418" s="1"/>
      <c r="M418" s="1"/>
      <c r="N418" s="1" t="str">
        <f t="shared" si="60"/>
        <v>No</v>
      </c>
      <c r="O418" s="1">
        <f t="shared" si="61"/>
        <v>4</v>
      </c>
      <c r="P418" s="1">
        <f t="shared" si="62"/>
        <v>72</v>
      </c>
      <c r="Q418" s="1">
        <f t="shared" si="62"/>
        <v>9</v>
      </c>
      <c r="R418" s="1">
        <f t="shared" ref="R418:S480" si="68">IF(F418="-","NA",F418*1)</f>
        <v>1</v>
      </c>
      <c r="S418" s="34">
        <f t="shared" si="68"/>
        <v>100</v>
      </c>
      <c r="T418" s="1" t="str">
        <f t="shared" si="63"/>
        <v>stumped</v>
      </c>
      <c r="U418" s="1" t="str">
        <f t="shared" si="64"/>
        <v>2</v>
      </c>
      <c r="V418" s="1" t="str">
        <f t="shared" si="65"/>
        <v xml:space="preserve"> Australia</v>
      </c>
      <c r="W418" s="1" t="str">
        <f t="shared" si="66"/>
        <v>Nagpur</v>
      </c>
      <c r="X418" s="1" t="str">
        <f t="shared" si="67"/>
        <v>Yes</v>
      </c>
      <c r="Y418" s="1"/>
    </row>
    <row r="419" spans="1:25" ht="14.25" customHeight="1">
      <c r="A419" s="1"/>
      <c r="B419" s="1">
        <v>402</v>
      </c>
      <c r="C419" s="1" t="s">
        <v>246</v>
      </c>
      <c r="D419" s="1" t="s">
        <v>258</v>
      </c>
      <c r="E419" s="1" t="s">
        <v>140</v>
      </c>
      <c r="F419" s="1" t="s">
        <v>131</v>
      </c>
      <c r="G419" s="1" t="s">
        <v>1031</v>
      </c>
      <c r="H419" s="1" t="s">
        <v>29</v>
      </c>
      <c r="I419" s="1" t="s">
        <v>151</v>
      </c>
      <c r="J419" s="1" t="s">
        <v>158</v>
      </c>
      <c r="K419" s="1" t="s">
        <v>75</v>
      </c>
      <c r="L419" s="1"/>
      <c r="M419" s="1"/>
      <c r="N419" s="1" t="str">
        <f t="shared" si="60"/>
        <v>No</v>
      </c>
      <c r="O419" s="1">
        <f t="shared" si="61"/>
        <v>99</v>
      </c>
      <c r="P419" s="1">
        <f t="shared" si="62"/>
        <v>36</v>
      </c>
      <c r="Q419" s="1">
        <f t="shared" si="62"/>
        <v>4</v>
      </c>
      <c r="R419" s="1">
        <f t="shared" si="68"/>
        <v>0</v>
      </c>
      <c r="S419" s="34">
        <f t="shared" si="68"/>
        <v>58.33</v>
      </c>
      <c r="T419" s="1" t="str">
        <f t="shared" si="63"/>
        <v>bowled</v>
      </c>
      <c r="U419" s="1" t="str">
        <f t="shared" si="64"/>
        <v>2</v>
      </c>
      <c r="V419" s="1" t="str">
        <f t="shared" si="65"/>
        <v xml:space="preserve"> Australia</v>
      </c>
      <c r="W419" s="1" t="str">
        <f t="shared" si="66"/>
        <v>Wankhede</v>
      </c>
      <c r="X419" s="1" t="str">
        <f t="shared" si="67"/>
        <v>Yes</v>
      </c>
      <c r="Y419" s="1"/>
    </row>
    <row r="420" spans="1:25" ht="14.25" customHeight="1">
      <c r="A420" s="1"/>
      <c r="B420" s="1">
        <v>403</v>
      </c>
      <c r="C420" s="1" t="s">
        <v>140</v>
      </c>
      <c r="D420" s="1" t="s">
        <v>144</v>
      </c>
      <c r="E420" s="1" t="s">
        <v>130</v>
      </c>
      <c r="F420" s="1" t="s">
        <v>131</v>
      </c>
      <c r="G420" s="1" t="s">
        <v>503</v>
      </c>
      <c r="H420" s="1" t="s">
        <v>19</v>
      </c>
      <c r="I420" s="1" t="s">
        <v>151</v>
      </c>
      <c r="J420" s="1" t="s">
        <v>156</v>
      </c>
      <c r="K420" s="1" t="s">
        <v>66</v>
      </c>
      <c r="L420" s="1"/>
      <c r="M420" s="1"/>
      <c r="N420" s="1" t="str">
        <f t="shared" si="60"/>
        <v>No</v>
      </c>
      <c r="O420" s="1">
        <f t="shared" si="61"/>
        <v>29</v>
      </c>
      <c r="P420" s="1">
        <f t="shared" si="62"/>
        <v>7</v>
      </c>
      <c r="Q420" s="1">
        <f t="shared" si="62"/>
        <v>1</v>
      </c>
      <c r="R420" s="1">
        <f t="shared" si="68"/>
        <v>0</v>
      </c>
      <c r="S420" s="34">
        <f t="shared" si="68"/>
        <v>57.14</v>
      </c>
      <c r="T420" s="1" t="str">
        <f t="shared" si="63"/>
        <v>lbw</v>
      </c>
      <c r="U420" s="1" t="str">
        <f t="shared" si="64"/>
        <v>2</v>
      </c>
      <c r="V420" s="1" t="str">
        <f t="shared" si="65"/>
        <v xml:space="preserve"> Pakistan</v>
      </c>
      <c r="W420" s="1" t="str">
        <f t="shared" si="66"/>
        <v>Guwahati</v>
      </c>
      <c r="X420" s="1" t="str">
        <f t="shared" si="67"/>
        <v>Yes</v>
      </c>
      <c r="Y420" s="1"/>
    </row>
    <row r="421" spans="1:25" ht="14.25" customHeight="1">
      <c r="A421" s="1"/>
      <c r="B421" s="1">
        <v>404</v>
      </c>
      <c r="C421" s="1" t="s">
        <v>269</v>
      </c>
      <c r="D421" s="1" t="s">
        <v>179</v>
      </c>
      <c r="E421" s="1" t="s">
        <v>205</v>
      </c>
      <c r="F421" s="1" t="s">
        <v>130</v>
      </c>
      <c r="G421" s="1" t="s">
        <v>1176</v>
      </c>
      <c r="H421" s="1" t="s">
        <v>24</v>
      </c>
      <c r="I421" s="1" t="s">
        <v>130</v>
      </c>
      <c r="J421" s="1" t="s">
        <v>156</v>
      </c>
      <c r="K421" s="1" t="s">
        <v>46</v>
      </c>
      <c r="L421" s="1"/>
      <c r="M421" s="1"/>
      <c r="N421" s="1" t="str">
        <f t="shared" si="60"/>
        <v>No</v>
      </c>
      <c r="O421" s="1">
        <f t="shared" si="61"/>
        <v>97</v>
      </c>
      <c r="P421" s="1">
        <f t="shared" si="62"/>
        <v>91</v>
      </c>
      <c r="Q421" s="1">
        <f t="shared" si="62"/>
        <v>14</v>
      </c>
      <c r="R421" s="1">
        <f t="shared" si="68"/>
        <v>1</v>
      </c>
      <c r="S421" s="34">
        <f t="shared" si="68"/>
        <v>108.79</v>
      </c>
      <c r="T421" s="1" t="str">
        <f t="shared" si="63"/>
        <v>caught</v>
      </c>
      <c r="U421" s="1" t="str">
        <f t="shared" si="64"/>
        <v>1</v>
      </c>
      <c r="V421" s="1" t="str">
        <f t="shared" si="65"/>
        <v xml:space="preserve"> Pakistan</v>
      </c>
      <c r="W421" s="1" t="str">
        <f t="shared" si="66"/>
        <v>Mohali</v>
      </c>
      <c r="X421" s="1" t="str">
        <f t="shared" si="67"/>
        <v>Yes</v>
      </c>
      <c r="Y421" s="1"/>
    </row>
    <row r="422" spans="1:25" ht="14.25" customHeight="1">
      <c r="A422" s="1"/>
      <c r="B422" s="1">
        <v>405</v>
      </c>
      <c r="C422" s="1" t="s">
        <v>200</v>
      </c>
      <c r="D422" s="1" t="s">
        <v>169</v>
      </c>
      <c r="E422" s="1" t="s">
        <v>202</v>
      </c>
      <c r="F422" s="1" t="s">
        <v>131</v>
      </c>
      <c r="G422" s="1" t="s">
        <v>1177</v>
      </c>
      <c r="H422" s="1" t="s">
        <v>24</v>
      </c>
      <c r="I422" s="1" t="s">
        <v>130</v>
      </c>
      <c r="J422" s="1" t="s">
        <v>156</v>
      </c>
      <c r="K422" s="1" t="s">
        <v>101</v>
      </c>
      <c r="L422" s="1"/>
      <c r="M422" s="1"/>
      <c r="N422" s="1" t="str">
        <f t="shared" si="60"/>
        <v>No</v>
      </c>
      <c r="O422" s="1">
        <f t="shared" si="61"/>
        <v>30</v>
      </c>
      <c r="P422" s="1">
        <f t="shared" si="62"/>
        <v>27</v>
      </c>
      <c r="Q422" s="1">
        <f t="shared" si="62"/>
        <v>5</v>
      </c>
      <c r="R422" s="1">
        <f t="shared" si="68"/>
        <v>0</v>
      </c>
      <c r="S422" s="34">
        <f t="shared" si="68"/>
        <v>107.4</v>
      </c>
      <c r="T422" s="1" t="str">
        <f t="shared" si="63"/>
        <v>caught</v>
      </c>
      <c r="U422" s="1" t="str">
        <f t="shared" si="64"/>
        <v>1</v>
      </c>
      <c r="V422" s="1" t="str">
        <f t="shared" si="65"/>
        <v xml:space="preserve"> Pakistan</v>
      </c>
      <c r="W422" s="1" t="str">
        <f t="shared" si="66"/>
        <v>Kanpur</v>
      </c>
      <c r="X422" s="1" t="str">
        <f t="shared" si="67"/>
        <v>Yes</v>
      </c>
      <c r="Y422" s="1"/>
    </row>
    <row r="423" spans="1:25" ht="14.25" customHeight="1">
      <c r="A423" s="1"/>
      <c r="B423" s="1">
        <v>406</v>
      </c>
      <c r="C423" s="1" t="s">
        <v>395</v>
      </c>
      <c r="D423" s="1" t="s">
        <v>180</v>
      </c>
      <c r="E423" s="1" t="s">
        <v>153</v>
      </c>
      <c r="F423" s="1" t="s">
        <v>131</v>
      </c>
      <c r="G423" s="1" t="s">
        <v>1178</v>
      </c>
      <c r="H423" s="1" t="s">
        <v>29</v>
      </c>
      <c r="I423" s="1" t="s">
        <v>151</v>
      </c>
      <c r="J423" s="1" t="s">
        <v>156</v>
      </c>
      <c r="K423" s="1" t="s">
        <v>58</v>
      </c>
      <c r="L423" s="1"/>
      <c r="M423" s="1"/>
      <c r="N423" s="1" t="str">
        <f t="shared" si="60"/>
        <v>No</v>
      </c>
      <c r="O423" s="1">
        <f t="shared" si="61"/>
        <v>10</v>
      </c>
      <c r="P423" s="1">
        <f t="shared" si="62"/>
        <v>102</v>
      </c>
      <c r="Q423" s="1">
        <f t="shared" si="62"/>
        <v>16</v>
      </c>
      <c r="R423" s="1">
        <f t="shared" si="68"/>
        <v>0</v>
      </c>
      <c r="S423" s="34">
        <f t="shared" si="68"/>
        <v>95.09</v>
      </c>
      <c r="T423" s="1" t="str">
        <f t="shared" si="63"/>
        <v>bowled</v>
      </c>
      <c r="U423" s="1" t="str">
        <f t="shared" si="64"/>
        <v>2</v>
      </c>
      <c r="V423" s="1" t="str">
        <f t="shared" si="65"/>
        <v xml:space="preserve"> Pakistan</v>
      </c>
      <c r="W423" s="1" t="str">
        <f t="shared" si="66"/>
        <v>Gwalior</v>
      </c>
      <c r="X423" s="1" t="str">
        <f t="shared" si="67"/>
        <v>Yes</v>
      </c>
      <c r="Y423" s="1"/>
    </row>
    <row r="424" spans="1:25" ht="14.25" customHeight="1">
      <c r="A424" s="1"/>
      <c r="B424" s="1">
        <v>407</v>
      </c>
      <c r="C424" s="1" t="s">
        <v>164</v>
      </c>
      <c r="D424" s="1" t="s">
        <v>169</v>
      </c>
      <c r="E424" s="1" t="s">
        <v>136</v>
      </c>
      <c r="F424" s="1" t="s">
        <v>131</v>
      </c>
      <c r="G424" s="1" t="s">
        <v>523</v>
      </c>
      <c r="H424" s="1" t="s">
        <v>24</v>
      </c>
      <c r="I424" s="1" t="s">
        <v>151</v>
      </c>
      <c r="J424" s="1" t="s">
        <v>156</v>
      </c>
      <c r="K424" s="1" t="s">
        <v>56</v>
      </c>
      <c r="L424" s="1"/>
      <c r="M424" s="1"/>
      <c r="N424" s="1" t="str">
        <f t="shared" si="60"/>
        <v>No</v>
      </c>
      <c r="O424" s="1">
        <f t="shared" si="61"/>
        <v>35</v>
      </c>
      <c r="P424" s="1">
        <f t="shared" si="62"/>
        <v>27</v>
      </c>
      <c r="Q424" s="1">
        <f t="shared" si="62"/>
        <v>6</v>
      </c>
      <c r="R424" s="1">
        <f t="shared" si="68"/>
        <v>0</v>
      </c>
      <c r="S424" s="34">
        <f t="shared" si="68"/>
        <v>111.11</v>
      </c>
      <c r="T424" s="1" t="str">
        <f t="shared" si="63"/>
        <v>caught</v>
      </c>
      <c r="U424" s="1" t="str">
        <f t="shared" si="64"/>
        <v>2</v>
      </c>
      <c r="V424" s="1" t="str">
        <f t="shared" si="65"/>
        <v xml:space="preserve"> Pakistan</v>
      </c>
      <c r="W424" s="1" t="str">
        <f t="shared" si="66"/>
        <v>Jaipur</v>
      </c>
      <c r="X424" s="1" t="str">
        <f t="shared" si="67"/>
        <v>Yes</v>
      </c>
      <c r="Y424" s="1"/>
    </row>
    <row r="425" spans="1:25" ht="14.25" customHeight="1">
      <c r="A425" s="1"/>
      <c r="B425" s="1">
        <v>408</v>
      </c>
      <c r="C425" s="1" t="s">
        <v>167</v>
      </c>
      <c r="D425" s="1" t="s">
        <v>306</v>
      </c>
      <c r="E425" s="1" t="s">
        <v>130</v>
      </c>
      <c r="F425" s="1" t="s">
        <v>131</v>
      </c>
      <c r="G425" s="1" t="s">
        <v>824</v>
      </c>
      <c r="H425" s="1" t="s">
        <v>83</v>
      </c>
      <c r="I425" s="1" t="s">
        <v>130</v>
      </c>
      <c r="J425" s="1" t="s">
        <v>158</v>
      </c>
      <c r="K425" s="1" t="s">
        <v>91</v>
      </c>
      <c r="L425" s="1"/>
      <c r="M425" s="1"/>
      <c r="N425" s="1" t="str">
        <f t="shared" si="60"/>
        <v>No</v>
      </c>
      <c r="O425" s="1">
        <f t="shared" si="61"/>
        <v>44</v>
      </c>
      <c r="P425" s="1">
        <f t="shared" si="62"/>
        <v>17</v>
      </c>
      <c r="Q425" s="1">
        <f t="shared" si="62"/>
        <v>1</v>
      </c>
      <c r="R425" s="1">
        <f t="shared" si="68"/>
        <v>0</v>
      </c>
      <c r="S425" s="34">
        <f t="shared" si="68"/>
        <v>58.82</v>
      </c>
      <c r="T425" s="1" t="str">
        <f t="shared" si="63"/>
        <v>hit wicket</v>
      </c>
      <c r="U425" s="1" t="str">
        <f t="shared" si="64"/>
        <v>1</v>
      </c>
      <c r="V425" s="1" t="str">
        <f t="shared" si="65"/>
        <v xml:space="preserve"> Australia</v>
      </c>
      <c r="W425" s="1" t="str">
        <f t="shared" si="66"/>
        <v>Brisbane</v>
      </c>
      <c r="X425" s="1" t="str">
        <f t="shared" si="67"/>
        <v>Yes</v>
      </c>
      <c r="Y425" s="1"/>
    </row>
    <row r="426" spans="1:25" ht="14.25" customHeight="1">
      <c r="A426" s="1"/>
      <c r="B426" s="1">
        <v>409</v>
      </c>
      <c r="C426" s="1" t="s">
        <v>248</v>
      </c>
      <c r="D426" s="1" t="s">
        <v>327</v>
      </c>
      <c r="E426" s="1" t="s">
        <v>151</v>
      </c>
      <c r="F426" s="1" t="s">
        <v>131</v>
      </c>
      <c r="G426" s="1" t="s">
        <v>1179</v>
      </c>
      <c r="H426" s="1" t="s">
        <v>29</v>
      </c>
      <c r="I426" s="1" t="s">
        <v>130</v>
      </c>
      <c r="J426" s="1" t="s">
        <v>133</v>
      </c>
      <c r="K426" s="1" t="s">
        <v>91</v>
      </c>
      <c r="L426" s="1"/>
      <c r="M426" s="1"/>
      <c r="N426" s="1" t="str">
        <f t="shared" si="60"/>
        <v>No</v>
      </c>
      <c r="O426" s="1">
        <f t="shared" si="61"/>
        <v>32</v>
      </c>
      <c r="P426" s="1">
        <f t="shared" si="62"/>
        <v>52</v>
      </c>
      <c r="Q426" s="1">
        <f t="shared" si="62"/>
        <v>2</v>
      </c>
      <c r="R426" s="1">
        <f t="shared" si="68"/>
        <v>0</v>
      </c>
      <c r="S426" s="34">
        <f t="shared" si="68"/>
        <v>67.3</v>
      </c>
      <c r="T426" s="1" t="str">
        <f t="shared" si="63"/>
        <v>bowled</v>
      </c>
      <c r="U426" s="1" t="str">
        <f t="shared" si="64"/>
        <v>1</v>
      </c>
      <c r="V426" s="1" t="str">
        <f t="shared" si="65"/>
        <v xml:space="preserve"> Sri Lanka</v>
      </c>
      <c r="W426" s="1" t="str">
        <f t="shared" si="66"/>
        <v>Brisbane</v>
      </c>
      <c r="X426" s="1" t="str">
        <f t="shared" si="67"/>
        <v>Yes</v>
      </c>
      <c r="Y426" s="1"/>
    </row>
    <row r="427" spans="1:25" ht="14.25" customHeight="1">
      <c r="A427" s="1"/>
      <c r="B427" s="1">
        <v>410</v>
      </c>
      <c r="C427" s="1" t="s">
        <v>369</v>
      </c>
      <c r="D427" s="1" t="s">
        <v>142</v>
      </c>
      <c r="E427" s="1" t="s">
        <v>148</v>
      </c>
      <c r="F427" s="1" t="s">
        <v>131</v>
      </c>
      <c r="G427" s="1" t="s">
        <v>318</v>
      </c>
      <c r="H427" s="1" t="s">
        <v>24</v>
      </c>
      <c r="I427" s="1" t="s">
        <v>151</v>
      </c>
      <c r="J427" s="1" t="s">
        <v>158</v>
      </c>
      <c r="K427" s="1" t="s">
        <v>88</v>
      </c>
      <c r="L427" s="1"/>
      <c r="M427" s="1"/>
      <c r="N427" s="1" t="str">
        <f t="shared" si="60"/>
        <v>No</v>
      </c>
      <c r="O427" s="1">
        <f t="shared" si="61"/>
        <v>5</v>
      </c>
      <c r="P427" s="1">
        <f t="shared" si="62"/>
        <v>54</v>
      </c>
      <c r="Q427" s="1">
        <f t="shared" si="62"/>
        <v>3</v>
      </c>
      <c r="R427" s="1">
        <f t="shared" si="68"/>
        <v>0</v>
      </c>
      <c r="S427" s="34">
        <f t="shared" si="68"/>
        <v>81.48</v>
      </c>
      <c r="T427" s="1" t="str">
        <f t="shared" si="63"/>
        <v>caught</v>
      </c>
      <c r="U427" s="1" t="str">
        <f t="shared" si="64"/>
        <v>2</v>
      </c>
      <c r="V427" s="1" t="str">
        <f t="shared" si="65"/>
        <v xml:space="preserve"> Australia</v>
      </c>
      <c r="W427" s="1" t="str">
        <f t="shared" si="66"/>
        <v>Melbourne</v>
      </c>
      <c r="X427" s="1" t="str">
        <f t="shared" si="67"/>
        <v>Yes</v>
      </c>
      <c r="Y427" s="1"/>
    </row>
    <row r="428" spans="1:25" ht="14.25" customHeight="1">
      <c r="A428" s="1"/>
      <c r="B428" s="1">
        <v>411</v>
      </c>
      <c r="C428" s="1" t="s">
        <v>521</v>
      </c>
      <c r="D428" s="1" t="s">
        <v>164</v>
      </c>
      <c r="E428" s="1" t="s">
        <v>140</v>
      </c>
      <c r="F428" s="1" t="s">
        <v>131</v>
      </c>
      <c r="G428" s="1" t="s">
        <v>1180</v>
      </c>
      <c r="H428" s="1" t="s">
        <v>24</v>
      </c>
      <c r="I428" s="1" t="s">
        <v>130</v>
      </c>
      <c r="J428" s="1" t="s">
        <v>133</v>
      </c>
      <c r="K428" s="1" t="s">
        <v>111</v>
      </c>
      <c r="L428" s="1"/>
      <c r="M428" s="1"/>
      <c r="N428" s="1" t="str">
        <f t="shared" si="60"/>
        <v>No</v>
      </c>
      <c r="O428" s="1">
        <f t="shared" si="61"/>
        <v>0</v>
      </c>
      <c r="P428" s="1">
        <f t="shared" si="62"/>
        <v>30</v>
      </c>
      <c r="Q428" s="1">
        <f t="shared" si="62"/>
        <v>4</v>
      </c>
      <c r="R428" s="1">
        <f t="shared" si="68"/>
        <v>0</v>
      </c>
      <c r="S428" s="34">
        <f t="shared" si="68"/>
        <v>106.66</v>
      </c>
      <c r="T428" s="1" t="str">
        <f t="shared" si="63"/>
        <v>caught</v>
      </c>
      <c r="U428" s="1" t="str">
        <f t="shared" si="64"/>
        <v>1</v>
      </c>
      <c r="V428" s="1" t="str">
        <f t="shared" si="65"/>
        <v xml:space="preserve"> Sri Lanka</v>
      </c>
      <c r="W428" s="1" t="str">
        <f t="shared" si="66"/>
        <v>Canberra</v>
      </c>
      <c r="X428" s="1" t="str">
        <f t="shared" si="67"/>
        <v>Yes</v>
      </c>
      <c r="Y428" s="1"/>
    </row>
    <row r="429" spans="1:25" ht="14.25" customHeight="1">
      <c r="A429" s="1"/>
      <c r="B429" s="1">
        <v>412</v>
      </c>
      <c r="C429" s="1" t="s">
        <v>202</v>
      </c>
      <c r="D429" s="1" t="s">
        <v>283</v>
      </c>
      <c r="E429" s="1" t="s">
        <v>130</v>
      </c>
      <c r="F429" s="1" t="s">
        <v>131</v>
      </c>
      <c r="G429" s="1" t="s">
        <v>229</v>
      </c>
      <c r="H429" s="1" t="s">
        <v>19</v>
      </c>
      <c r="I429" s="1" t="s">
        <v>151</v>
      </c>
      <c r="J429" s="1" t="s">
        <v>158</v>
      </c>
      <c r="K429" s="1" t="s">
        <v>90</v>
      </c>
      <c r="L429" s="1"/>
      <c r="M429" s="1"/>
      <c r="N429" s="1" t="str">
        <f t="shared" si="60"/>
        <v>No</v>
      </c>
      <c r="O429" s="1">
        <f t="shared" si="61"/>
        <v>2</v>
      </c>
      <c r="P429" s="1">
        <f t="shared" si="62"/>
        <v>15</v>
      </c>
      <c r="Q429" s="1">
        <f t="shared" si="62"/>
        <v>1</v>
      </c>
      <c r="R429" s="1">
        <f t="shared" si="68"/>
        <v>0</v>
      </c>
      <c r="S429" s="34">
        <f t="shared" si="68"/>
        <v>33.33</v>
      </c>
      <c r="T429" s="1" t="str">
        <f t="shared" si="63"/>
        <v>lbw</v>
      </c>
      <c r="U429" s="1" t="str">
        <f t="shared" si="64"/>
        <v>2</v>
      </c>
      <c r="V429" s="1" t="str">
        <f t="shared" si="65"/>
        <v xml:space="preserve"> Australia</v>
      </c>
      <c r="W429" s="1" t="str">
        <f t="shared" si="66"/>
        <v>Adelaide</v>
      </c>
      <c r="X429" s="1" t="str">
        <f t="shared" si="67"/>
        <v>Yes</v>
      </c>
      <c r="Y429" s="1"/>
    </row>
    <row r="430" spans="1:25" ht="14.25" customHeight="1">
      <c r="A430" s="1"/>
      <c r="B430" s="1">
        <v>413</v>
      </c>
      <c r="C430" s="1" t="s">
        <v>131</v>
      </c>
      <c r="D430" s="1" t="s">
        <v>151</v>
      </c>
      <c r="E430" s="1" t="s">
        <v>131</v>
      </c>
      <c r="F430" s="1" t="s">
        <v>131</v>
      </c>
      <c r="G430" s="1" t="s">
        <v>210</v>
      </c>
      <c r="H430" s="1" t="s">
        <v>29</v>
      </c>
      <c r="I430" s="1" t="s">
        <v>151</v>
      </c>
      <c r="J430" s="1" t="s">
        <v>133</v>
      </c>
      <c r="K430" s="1" t="s">
        <v>90</v>
      </c>
      <c r="L430" s="1"/>
      <c r="M430" s="1"/>
      <c r="N430" s="1" t="str">
        <f t="shared" si="60"/>
        <v>No</v>
      </c>
      <c r="O430" s="1">
        <f t="shared" si="61"/>
        <v>63</v>
      </c>
      <c r="P430" s="1">
        <f t="shared" si="62"/>
        <v>2</v>
      </c>
      <c r="Q430" s="1">
        <f t="shared" si="62"/>
        <v>0</v>
      </c>
      <c r="R430" s="1">
        <f t="shared" si="68"/>
        <v>0</v>
      </c>
      <c r="S430" s="34">
        <f t="shared" si="68"/>
        <v>0</v>
      </c>
      <c r="T430" s="1" t="str">
        <f t="shared" si="63"/>
        <v>bowled</v>
      </c>
      <c r="U430" s="1" t="str">
        <f t="shared" si="64"/>
        <v>2</v>
      </c>
      <c r="V430" s="1" t="str">
        <f t="shared" si="65"/>
        <v xml:space="preserve"> Sri Lanka</v>
      </c>
      <c r="W430" s="1" t="str">
        <f t="shared" si="66"/>
        <v>Adelaide</v>
      </c>
      <c r="X430" s="1" t="str">
        <f t="shared" si="67"/>
        <v>Yes</v>
      </c>
      <c r="Y430" s="1"/>
    </row>
    <row r="431" spans="1:25" ht="14.25" customHeight="1">
      <c r="A431" s="1"/>
      <c r="B431" s="1">
        <v>414</v>
      </c>
      <c r="C431" s="1" t="s">
        <v>151</v>
      </c>
      <c r="D431" s="1" t="s">
        <v>148</v>
      </c>
      <c r="E431" s="1" t="s">
        <v>131</v>
      </c>
      <c r="F431" s="1" t="s">
        <v>131</v>
      </c>
      <c r="G431" s="1" t="s">
        <v>155</v>
      </c>
      <c r="H431" s="1" t="s">
        <v>19</v>
      </c>
      <c r="I431" s="1" t="s">
        <v>151</v>
      </c>
      <c r="J431" s="1" t="s">
        <v>158</v>
      </c>
      <c r="K431" s="1" t="s">
        <v>92</v>
      </c>
      <c r="L431" s="1"/>
      <c r="M431" s="1"/>
      <c r="N431" s="1" t="str">
        <f t="shared" si="60"/>
        <v>No</v>
      </c>
      <c r="O431" s="1">
        <f t="shared" si="61"/>
        <v>117</v>
      </c>
      <c r="P431" s="1">
        <f t="shared" si="62"/>
        <v>3</v>
      </c>
      <c r="Q431" s="1">
        <f t="shared" si="62"/>
        <v>0</v>
      </c>
      <c r="R431" s="1">
        <f t="shared" si="68"/>
        <v>0</v>
      </c>
      <c r="S431" s="34">
        <f t="shared" si="68"/>
        <v>66.66</v>
      </c>
      <c r="T431" s="1" t="str">
        <f t="shared" si="63"/>
        <v>lbw</v>
      </c>
      <c r="U431" s="1" t="str">
        <f t="shared" si="64"/>
        <v>2</v>
      </c>
      <c r="V431" s="1" t="str">
        <f t="shared" si="65"/>
        <v xml:space="preserve"> Australia</v>
      </c>
      <c r="W431" s="1" t="str">
        <f t="shared" si="66"/>
        <v>Sydney</v>
      </c>
      <c r="X431" s="1" t="str">
        <f t="shared" si="67"/>
        <v>Yes</v>
      </c>
      <c r="Y431" s="1"/>
    </row>
    <row r="432" spans="1:25" ht="14.25" customHeight="1">
      <c r="A432" s="1"/>
      <c r="B432" s="1">
        <v>415</v>
      </c>
      <c r="C432" s="1" t="s">
        <v>262</v>
      </c>
      <c r="D432" s="1" t="s">
        <v>142</v>
      </c>
      <c r="E432" s="1" t="s">
        <v>167</v>
      </c>
      <c r="F432" s="1" t="s">
        <v>131</v>
      </c>
      <c r="G432" s="1" t="s">
        <v>267</v>
      </c>
      <c r="H432" s="1" t="s">
        <v>24</v>
      </c>
      <c r="I432" s="1" t="s">
        <v>151</v>
      </c>
      <c r="J432" s="1" t="s">
        <v>133</v>
      </c>
      <c r="K432" s="1" t="s">
        <v>93</v>
      </c>
      <c r="L432" s="1"/>
      <c r="M432" s="1"/>
      <c r="N432" s="1" t="str">
        <f t="shared" si="60"/>
        <v>No</v>
      </c>
      <c r="O432" s="1">
        <f t="shared" si="61"/>
        <v>91</v>
      </c>
      <c r="P432" s="1">
        <f t="shared" si="62"/>
        <v>54</v>
      </c>
      <c r="Q432" s="1">
        <f t="shared" si="62"/>
        <v>10</v>
      </c>
      <c r="R432" s="1">
        <f t="shared" si="68"/>
        <v>0</v>
      </c>
      <c r="S432" s="34">
        <f t="shared" si="68"/>
        <v>116.66</v>
      </c>
      <c r="T432" s="1" t="str">
        <f t="shared" si="63"/>
        <v>caught</v>
      </c>
      <c r="U432" s="1" t="str">
        <f t="shared" si="64"/>
        <v>2</v>
      </c>
      <c r="V432" s="1" t="str">
        <f t="shared" si="65"/>
        <v xml:space="preserve"> Sri Lanka</v>
      </c>
      <c r="W432" s="1" t="str">
        <f t="shared" si="66"/>
        <v>Hobart</v>
      </c>
      <c r="X432" s="1" t="str">
        <f t="shared" si="67"/>
        <v>Yes</v>
      </c>
      <c r="Y432" s="1"/>
    </row>
    <row r="433" spans="1:25" ht="14.25" customHeight="1">
      <c r="A433" s="1"/>
      <c r="B433" s="1">
        <v>416</v>
      </c>
      <c r="C433" s="1" t="s">
        <v>1181</v>
      </c>
      <c r="D433" s="1" t="s">
        <v>291</v>
      </c>
      <c r="E433" s="1" t="s">
        <v>167</v>
      </c>
      <c r="F433" s="1" t="s">
        <v>131</v>
      </c>
      <c r="G433" s="1" t="s">
        <v>1182</v>
      </c>
      <c r="H433" s="1" t="s">
        <v>32</v>
      </c>
      <c r="I433" s="1" t="s">
        <v>151</v>
      </c>
      <c r="J433" s="1" t="s">
        <v>158</v>
      </c>
      <c r="K433" s="1" t="s">
        <v>92</v>
      </c>
      <c r="L433" s="1"/>
      <c r="M433" s="1"/>
      <c r="N433" s="1" t="str">
        <f t="shared" si="60"/>
        <v>No</v>
      </c>
      <c r="O433" s="1">
        <f t="shared" si="61"/>
        <v>11</v>
      </c>
      <c r="P433" s="1">
        <f t="shared" si="62"/>
        <v>120</v>
      </c>
      <c r="Q433" s="1">
        <f t="shared" si="62"/>
        <v>10</v>
      </c>
      <c r="R433" s="1">
        <f t="shared" si="68"/>
        <v>0</v>
      </c>
      <c r="S433" s="34">
        <f t="shared" si="68"/>
        <v>97.5</v>
      </c>
      <c r="T433" s="1" t="str">
        <f t="shared" si="63"/>
        <v>not out</v>
      </c>
      <c r="U433" s="1" t="str">
        <f t="shared" si="64"/>
        <v>2</v>
      </c>
      <c r="V433" s="1" t="str">
        <f t="shared" si="65"/>
        <v xml:space="preserve"> Australia</v>
      </c>
      <c r="W433" s="1" t="str">
        <f t="shared" si="66"/>
        <v>Sydney</v>
      </c>
      <c r="X433" s="1" t="str">
        <f t="shared" si="67"/>
        <v>No</v>
      </c>
      <c r="Y433" s="1"/>
    </row>
    <row r="434" spans="1:25" ht="14.25" customHeight="1">
      <c r="A434" s="1"/>
      <c r="B434" s="1">
        <v>417</v>
      </c>
      <c r="C434" s="1" t="s">
        <v>179</v>
      </c>
      <c r="D434" s="1" t="s">
        <v>214</v>
      </c>
      <c r="E434" s="1" t="s">
        <v>144</v>
      </c>
      <c r="F434" s="1" t="s">
        <v>131</v>
      </c>
      <c r="G434" s="1" t="s">
        <v>1183</v>
      </c>
      <c r="H434" s="1" t="s">
        <v>24</v>
      </c>
      <c r="I434" s="1" t="s">
        <v>130</v>
      </c>
      <c r="J434" s="1" t="s">
        <v>158</v>
      </c>
      <c r="K434" s="1" t="s">
        <v>91</v>
      </c>
      <c r="L434" s="1"/>
      <c r="M434" s="1"/>
      <c r="N434" s="1" t="str">
        <f t="shared" si="60"/>
        <v>No</v>
      </c>
      <c r="O434" s="1">
        <f t="shared" si="61"/>
        <v>50</v>
      </c>
      <c r="P434" s="1">
        <f t="shared" si="62"/>
        <v>121</v>
      </c>
      <c r="Q434" s="1">
        <f t="shared" si="62"/>
        <v>7</v>
      </c>
      <c r="R434" s="1">
        <f t="shared" si="68"/>
        <v>0</v>
      </c>
      <c r="S434" s="34">
        <f t="shared" si="68"/>
        <v>75.2</v>
      </c>
      <c r="T434" s="1" t="str">
        <f t="shared" si="63"/>
        <v>caught</v>
      </c>
      <c r="U434" s="1" t="str">
        <f t="shared" si="64"/>
        <v>1</v>
      </c>
      <c r="V434" s="1" t="str">
        <f t="shared" si="65"/>
        <v xml:space="preserve"> Australia</v>
      </c>
      <c r="W434" s="1" t="str">
        <f t="shared" si="66"/>
        <v>Brisbane</v>
      </c>
      <c r="X434" s="1" t="str">
        <f t="shared" si="67"/>
        <v>Yes</v>
      </c>
      <c r="Y434" s="1"/>
    </row>
    <row r="435" spans="1:25" ht="14.25" customHeight="1">
      <c r="A435" s="1"/>
      <c r="B435" s="1">
        <v>418</v>
      </c>
      <c r="C435" s="1" t="s">
        <v>176</v>
      </c>
      <c r="D435" s="1" t="s">
        <v>246</v>
      </c>
      <c r="E435" s="1" t="s">
        <v>151</v>
      </c>
      <c r="F435" s="1" t="s">
        <v>131</v>
      </c>
      <c r="G435" s="1" t="s">
        <v>323</v>
      </c>
      <c r="H435" s="1" t="s">
        <v>29</v>
      </c>
      <c r="I435" s="1" t="s">
        <v>130</v>
      </c>
      <c r="J435" s="1" t="s">
        <v>234</v>
      </c>
      <c r="K435" s="1" t="s">
        <v>67</v>
      </c>
      <c r="L435" s="1"/>
      <c r="M435" s="1"/>
      <c r="N435" s="1" t="str">
        <f t="shared" si="60"/>
        <v>No</v>
      </c>
      <c r="O435" s="1">
        <f t="shared" si="61"/>
        <v>5</v>
      </c>
      <c r="P435" s="1">
        <f t="shared" si="62"/>
        <v>21</v>
      </c>
      <c r="Q435" s="1">
        <f t="shared" si="62"/>
        <v>2</v>
      </c>
      <c r="R435" s="1">
        <f t="shared" si="68"/>
        <v>0</v>
      </c>
      <c r="S435" s="34">
        <f t="shared" si="68"/>
        <v>52.38</v>
      </c>
      <c r="T435" s="1" t="str">
        <f t="shared" si="63"/>
        <v>bowled</v>
      </c>
      <c r="U435" s="1" t="str">
        <f t="shared" si="64"/>
        <v>1</v>
      </c>
      <c r="V435" s="1" t="str">
        <f t="shared" si="65"/>
        <v xml:space="preserve"> England</v>
      </c>
      <c r="W435" s="1" t="str">
        <f t="shared" si="66"/>
        <v>Bengaluru</v>
      </c>
      <c r="X435" s="1" t="str">
        <f t="shared" si="67"/>
        <v>Yes</v>
      </c>
      <c r="Y435" s="1"/>
    </row>
    <row r="436" spans="1:25" ht="14.25" customHeight="1">
      <c r="A436" s="1"/>
      <c r="B436" s="1">
        <v>419</v>
      </c>
      <c r="C436" s="1" t="s">
        <v>360</v>
      </c>
      <c r="D436" s="1" t="s">
        <v>192</v>
      </c>
      <c r="E436" s="1" t="s">
        <v>136</v>
      </c>
      <c r="F436" s="1" t="s">
        <v>131</v>
      </c>
      <c r="G436" s="1" t="s">
        <v>1184</v>
      </c>
      <c r="H436" s="1" t="s">
        <v>29</v>
      </c>
      <c r="I436" s="1" t="s">
        <v>151</v>
      </c>
      <c r="J436" s="1" t="s">
        <v>234</v>
      </c>
      <c r="K436" s="1" t="s">
        <v>86</v>
      </c>
      <c r="L436" s="1"/>
      <c r="M436" s="1"/>
      <c r="N436" s="1" t="str">
        <f t="shared" si="60"/>
        <v>No</v>
      </c>
      <c r="O436" s="1">
        <f t="shared" si="61"/>
        <v>6</v>
      </c>
      <c r="P436" s="1">
        <f t="shared" si="62"/>
        <v>57</v>
      </c>
      <c r="Q436" s="1">
        <f t="shared" si="62"/>
        <v>6</v>
      </c>
      <c r="R436" s="1">
        <f t="shared" si="68"/>
        <v>0</v>
      </c>
      <c r="S436" s="34">
        <f t="shared" si="68"/>
        <v>87.71</v>
      </c>
      <c r="T436" s="1" t="str">
        <f t="shared" si="63"/>
        <v>bowled</v>
      </c>
      <c r="U436" s="1" t="str">
        <f t="shared" si="64"/>
        <v>2</v>
      </c>
      <c r="V436" s="1" t="str">
        <f t="shared" si="65"/>
        <v xml:space="preserve"> England</v>
      </c>
      <c r="W436" s="1" t="str">
        <f t="shared" si="66"/>
        <v>Cuttack</v>
      </c>
      <c r="X436" s="1" t="str">
        <f t="shared" si="67"/>
        <v>Yes</v>
      </c>
      <c r="Y436" s="1"/>
    </row>
    <row r="437" spans="1:25" ht="14.25" customHeight="1">
      <c r="A437" s="1"/>
      <c r="B437" s="1">
        <v>420</v>
      </c>
      <c r="C437" s="1" t="s">
        <v>202</v>
      </c>
      <c r="D437" s="1" t="s">
        <v>153</v>
      </c>
      <c r="E437" s="1" t="s">
        <v>131</v>
      </c>
      <c r="F437" s="1" t="s">
        <v>131</v>
      </c>
      <c r="G437" s="1" t="s">
        <v>1185</v>
      </c>
      <c r="H437" s="1" t="s">
        <v>19</v>
      </c>
      <c r="I437" s="1" t="s">
        <v>151</v>
      </c>
      <c r="J437" s="1" t="s">
        <v>133</v>
      </c>
      <c r="K437" s="1" t="s">
        <v>21</v>
      </c>
      <c r="L437" s="1"/>
      <c r="M437" s="1"/>
      <c r="N437" s="1" t="str">
        <f t="shared" si="60"/>
        <v>No</v>
      </c>
      <c r="O437" s="1">
        <f t="shared" si="61"/>
        <v>7</v>
      </c>
      <c r="P437" s="1">
        <f t="shared" si="62"/>
        <v>16</v>
      </c>
      <c r="Q437" s="1">
        <f t="shared" si="62"/>
        <v>0</v>
      </c>
      <c r="R437" s="1">
        <f t="shared" si="68"/>
        <v>0</v>
      </c>
      <c r="S437" s="34">
        <f t="shared" si="68"/>
        <v>31.25</v>
      </c>
      <c r="T437" s="1" t="str">
        <f t="shared" si="63"/>
        <v>lbw</v>
      </c>
      <c r="U437" s="1" t="str">
        <f t="shared" si="64"/>
        <v>2</v>
      </c>
      <c r="V437" s="1" t="str">
        <f t="shared" si="65"/>
        <v xml:space="preserve"> Sri Lanka</v>
      </c>
      <c r="W437" s="1" t="str">
        <f t="shared" si="66"/>
        <v>Dambulla</v>
      </c>
      <c r="X437" s="1" t="str">
        <f t="shared" si="67"/>
        <v>Yes</v>
      </c>
      <c r="Y437" s="1"/>
    </row>
    <row r="438" spans="1:25" ht="14.25" customHeight="1">
      <c r="A438" s="1"/>
      <c r="B438" s="1">
        <v>421</v>
      </c>
      <c r="C438" s="1" t="s">
        <v>136</v>
      </c>
      <c r="D438" s="1" t="s">
        <v>161</v>
      </c>
      <c r="E438" s="1" t="s">
        <v>131</v>
      </c>
      <c r="F438" s="1" t="s">
        <v>131</v>
      </c>
      <c r="G438" s="1" t="s">
        <v>155</v>
      </c>
      <c r="H438" s="1" t="s">
        <v>19</v>
      </c>
      <c r="I438" s="1" t="s">
        <v>130</v>
      </c>
      <c r="J438" s="1" t="s">
        <v>133</v>
      </c>
      <c r="K438" s="1" t="s">
        <v>27</v>
      </c>
      <c r="L438" s="1"/>
      <c r="M438" s="1"/>
      <c r="N438" s="1" t="str">
        <f t="shared" si="60"/>
        <v>No</v>
      </c>
      <c r="O438" s="1">
        <f t="shared" si="61"/>
        <v>20</v>
      </c>
      <c r="P438" s="1">
        <f t="shared" si="62"/>
        <v>9</v>
      </c>
      <c r="Q438" s="1">
        <f t="shared" si="62"/>
        <v>0</v>
      </c>
      <c r="R438" s="1">
        <f t="shared" si="68"/>
        <v>0</v>
      </c>
      <c r="S438" s="34">
        <f t="shared" si="68"/>
        <v>66.66</v>
      </c>
      <c r="T438" s="1" t="str">
        <f t="shared" si="63"/>
        <v>lbw</v>
      </c>
      <c r="U438" s="1" t="str">
        <f t="shared" si="64"/>
        <v>1</v>
      </c>
      <c r="V438" s="1" t="str">
        <f t="shared" si="65"/>
        <v xml:space="preserve"> Sri Lanka</v>
      </c>
      <c r="W438" s="1" t="str">
        <f t="shared" si="66"/>
        <v>Colombo (RPS)</v>
      </c>
      <c r="X438" s="1" t="str">
        <f t="shared" si="67"/>
        <v>Yes</v>
      </c>
      <c r="Y438" s="1"/>
    </row>
    <row r="439" spans="1:25" ht="14.25" customHeight="1">
      <c r="A439" s="1"/>
      <c r="B439" s="1">
        <v>422</v>
      </c>
      <c r="C439" s="1" t="s">
        <v>144</v>
      </c>
      <c r="D439" s="1" t="s">
        <v>128</v>
      </c>
      <c r="E439" s="1" t="s">
        <v>131</v>
      </c>
      <c r="F439" s="1" t="s">
        <v>130</v>
      </c>
      <c r="G439" s="1" t="s">
        <v>1031</v>
      </c>
      <c r="H439" s="1" t="s">
        <v>19</v>
      </c>
      <c r="I439" s="1" t="s">
        <v>130</v>
      </c>
      <c r="J439" s="1" t="s">
        <v>133</v>
      </c>
      <c r="K439" s="1" t="s">
        <v>27</v>
      </c>
      <c r="L439" s="1"/>
      <c r="M439" s="1"/>
      <c r="N439" s="1" t="str">
        <f t="shared" si="60"/>
        <v>No</v>
      </c>
      <c r="O439" s="1">
        <f t="shared" si="61"/>
        <v>61</v>
      </c>
      <c r="P439" s="1">
        <f t="shared" si="62"/>
        <v>12</v>
      </c>
      <c r="Q439" s="1">
        <f t="shared" si="62"/>
        <v>0</v>
      </c>
      <c r="R439" s="1">
        <f t="shared" si="68"/>
        <v>1</v>
      </c>
      <c r="S439" s="34">
        <f t="shared" si="68"/>
        <v>58.33</v>
      </c>
      <c r="T439" s="1" t="str">
        <f t="shared" si="63"/>
        <v>lbw</v>
      </c>
      <c r="U439" s="1" t="str">
        <f t="shared" si="64"/>
        <v>1</v>
      </c>
      <c r="V439" s="1" t="str">
        <f t="shared" si="65"/>
        <v xml:space="preserve"> Sri Lanka</v>
      </c>
      <c r="W439" s="1" t="str">
        <f t="shared" si="66"/>
        <v>Colombo (RPS)</v>
      </c>
      <c r="X439" s="1" t="str">
        <f t="shared" si="67"/>
        <v>Yes</v>
      </c>
      <c r="Y439" s="1"/>
    </row>
    <row r="440" spans="1:25" ht="14.25" customHeight="1">
      <c r="A440" s="1"/>
      <c r="B440" s="1">
        <v>423</v>
      </c>
      <c r="C440" s="1" t="s">
        <v>238</v>
      </c>
      <c r="D440" s="1" t="s">
        <v>304</v>
      </c>
      <c r="E440" s="1" t="s">
        <v>151</v>
      </c>
      <c r="F440" s="1" t="s">
        <v>131</v>
      </c>
      <c r="G440" s="1" t="s">
        <v>739</v>
      </c>
      <c r="H440" s="1" t="s">
        <v>24</v>
      </c>
      <c r="I440" s="1" t="s">
        <v>130</v>
      </c>
      <c r="J440" s="1" t="s">
        <v>211</v>
      </c>
      <c r="K440" s="1" t="s">
        <v>102</v>
      </c>
      <c r="L440" s="1"/>
      <c r="M440" s="1"/>
      <c r="N440" s="1" t="str">
        <f t="shared" si="60"/>
        <v>No</v>
      </c>
      <c r="O440" s="1">
        <f t="shared" si="61"/>
        <v>163</v>
      </c>
      <c r="P440" s="1">
        <f t="shared" si="62"/>
        <v>23</v>
      </c>
      <c r="Q440" s="1">
        <f t="shared" si="62"/>
        <v>2</v>
      </c>
      <c r="R440" s="1">
        <f t="shared" si="68"/>
        <v>0</v>
      </c>
      <c r="S440" s="34">
        <f t="shared" si="68"/>
        <v>86.95</v>
      </c>
      <c r="T440" s="1" t="str">
        <f t="shared" si="63"/>
        <v>caught</v>
      </c>
      <c r="U440" s="1" t="str">
        <f t="shared" si="64"/>
        <v>1</v>
      </c>
      <c r="V440" s="1" t="str">
        <f t="shared" si="65"/>
        <v xml:space="preserve"> New Zealand</v>
      </c>
      <c r="W440" s="1" t="str">
        <f t="shared" si="66"/>
        <v>Napier</v>
      </c>
      <c r="X440" s="1" t="str">
        <f t="shared" si="67"/>
        <v>Yes</v>
      </c>
      <c r="Y440" s="1"/>
    </row>
    <row r="441" spans="1:25" ht="14.25" customHeight="1">
      <c r="A441" s="1"/>
      <c r="B441" s="1">
        <v>424</v>
      </c>
      <c r="C441" s="1" t="s">
        <v>334</v>
      </c>
      <c r="D441" s="1" t="s">
        <v>701</v>
      </c>
      <c r="E441" s="1" t="s">
        <v>144</v>
      </c>
      <c r="F441" s="1" t="s">
        <v>130</v>
      </c>
      <c r="G441" s="1" t="s">
        <v>1088</v>
      </c>
      <c r="H441" s="1" t="s">
        <v>19</v>
      </c>
      <c r="I441" s="1" t="s">
        <v>130</v>
      </c>
      <c r="J441" s="1" t="s">
        <v>211</v>
      </c>
      <c r="K441" s="1" t="s">
        <v>105</v>
      </c>
      <c r="L441" s="1"/>
      <c r="M441" s="1"/>
      <c r="N441" s="1" t="str">
        <f t="shared" si="60"/>
        <v>No</v>
      </c>
      <c r="O441" s="1">
        <f t="shared" si="61"/>
        <v>46</v>
      </c>
      <c r="P441" s="1">
        <f t="shared" si="62"/>
        <v>69</v>
      </c>
      <c r="Q441" s="1">
        <f t="shared" si="62"/>
        <v>7</v>
      </c>
      <c r="R441" s="1">
        <f t="shared" si="68"/>
        <v>1</v>
      </c>
      <c r="S441" s="34">
        <f t="shared" si="68"/>
        <v>88.4</v>
      </c>
      <c r="T441" s="1" t="str">
        <f t="shared" si="63"/>
        <v>lbw</v>
      </c>
      <c r="U441" s="1" t="str">
        <f t="shared" si="64"/>
        <v>1</v>
      </c>
      <c r="V441" s="1" t="str">
        <f t="shared" si="65"/>
        <v xml:space="preserve"> New Zealand</v>
      </c>
      <c r="W441" s="1" t="str">
        <f t="shared" si="66"/>
        <v>Wellington</v>
      </c>
      <c r="X441" s="1" t="str">
        <f t="shared" si="67"/>
        <v>Yes</v>
      </c>
      <c r="Y441" s="1"/>
    </row>
    <row r="442" spans="1:25" ht="14.25" customHeight="1">
      <c r="A442" s="1"/>
      <c r="B442" s="1">
        <v>425</v>
      </c>
      <c r="C442" s="1" t="s">
        <v>1186</v>
      </c>
      <c r="D442" s="1" t="s">
        <v>866</v>
      </c>
      <c r="E442" s="1" t="s">
        <v>153</v>
      </c>
      <c r="F442" s="1" t="s">
        <v>202</v>
      </c>
      <c r="G442" s="1" t="s">
        <v>1187</v>
      </c>
      <c r="H442" s="1" t="s">
        <v>820</v>
      </c>
      <c r="I442" s="1" t="s">
        <v>130</v>
      </c>
      <c r="J442" s="1" t="s">
        <v>211</v>
      </c>
      <c r="K442" s="1" t="s">
        <v>662</v>
      </c>
      <c r="L442" s="1"/>
      <c r="M442" s="1"/>
      <c r="N442" s="1" t="str">
        <f t="shared" si="60"/>
        <v>No</v>
      </c>
      <c r="O442" s="1">
        <f t="shared" si="61"/>
        <v>27</v>
      </c>
      <c r="P442" s="1">
        <f t="shared" si="62"/>
        <v>133</v>
      </c>
      <c r="Q442" s="1">
        <f t="shared" si="62"/>
        <v>16</v>
      </c>
      <c r="R442" s="1">
        <f t="shared" si="68"/>
        <v>5</v>
      </c>
      <c r="S442" s="34">
        <f t="shared" si="68"/>
        <v>122.55</v>
      </c>
      <c r="T442" s="1" t="str">
        <f t="shared" si="63"/>
        <v>retired notout</v>
      </c>
      <c r="U442" s="1" t="str">
        <f t="shared" si="64"/>
        <v>1</v>
      </c>
      <c r="V442" s="1" t="str">
        <f t="shared" si="65"/>
        <v xml:space="preserve"> New Zealand</v>
      </c>
      <c r="W442" s="1" t="str">
        <f t="shared" si="66"/>
        <v>Christchurch</v>
      </c>
      <c r="X442" s="1" t="str">
        <f t="shared" si="67"/>
        <v>Yes</v>
      </c>
      <c r="Y442" s="1"/>
    </row>
    <row r="443" spans="1:25" ht="14.25" customHeight="1">
      <c r="A443" s="1"/>
      <c r="B443" s="1">
        <v>426</v>
      </c>
      <c r="C443" s="1" t="s">
        <v>147</v>
      </c>
      <c r="D443" s="1" t="s">
        <v>255</v>
      </c>
      <c r="E443" s="1" t="s">
        <v>136</v>
      </c>
      <c r="F443" s="1" t="s">
        <v>131</v>
      </c>
      <c r="G443" s="1" t="s">
        <v>1188</v>
      </c>
      <c r="H443" s="1" t="s">
        <v>24</v>
      </c>
      <c r="I443" s="1" t="s">
        <v>151</v>
      </c>
      <c r="J443" s="1" t="s">
        <v>211</v>
      </c>
      <c r="K443" s="1" t="s">
        <v>27</v>
      </c>
      <c r="L443" s="1"/>
      <c r="M443" s="1"/>
      <c r="N443" s="1" t="str">
        <f t="shared" si="60"/>
        <v>No</v>
      </c>
      <c r="O443" s="1">
        <f t="shared" si="61"/>
        <v>138</v>
      </c>
      <c r="P443" s="1">
        <f t="shared" si="62"/>
        <v>55</v>
      </c>
      <c r="Q443" s="1">
        <f t="shared" si="62"/>
        <v>6</v>
      </c>
      <c r="R443" s="1">
        <f t="shared" si="68"/>
        <v>0</v>
      </c>
      <c r="S443" s="34">
        <f t="shared" si="68"/>
        <v>83.63</v>
      </c>
      <c r="T443" s="1" t="str">
        <f t="shared" si="63"/>
        <v>caught</v>
      </c>
      <c r="U443" s="1" t="str">
        <f t="shared" si="64"/>
        <v>2</v>
      </c>
      <c r="V443" s="1" t="str">
        <f t="shared" si="65"/>
        <v xml:space="preserve"> New Zealand</v>
      </c>
      <c r="W443" s="1" t="str">
        <f t="shared" si="66"/>
        <v>Colombo (RPS)</v>
      </c>
      <c r="X443" s="1" t="str">
        <f t="shared" si="67"/>
        <v>Yes</v>
      </c>
      <c r="Y443" s="1"/>
    </row>
    <row r="444" spans="1:25" ht="14.25" customHeight="1">
      <c r="A444" s="1"/>
      <c r="B444" s="1">
        <v>427</v>
      </c>
      <c r="C444" s="1" t="s">
        <v>169</v>
      </c>
      <c r="D444" s="1" t="s">
        <v>244</v>
      </c>
      <c r="E444" s="1" t="s">
        <v>202</v>
      </c>
      <c r="F444" s="1" t="s">
        <v>131</v>
      </c>
      <c r="G444" s="1" t="s">
        <v>145</v>
      </c>
      <c r="H444" s="1" t="s">
        <v>24</v>
      </c>
      <c r="I444" s="1" t="s">
        <v>151</v>
      </c>
      <c r="J444" s="1" t="s">
        <v>133</v>
      </c>
      <c r="K444" s="1" t="s">
        <v>27</v>
      </c>
      <c r="L444" s="1"/>
      <c r="M444" s="1"/>
      <c r="N444" s="1" t="str">
        <f t="shared" si="60"/>
        <v>No</v>
      </c>
      <c r="O444" s="1">
        <f t="shared" si="61"/>
        <v>8</v>
      </c>
      <c r="P444" s="1">
        <f t="shared" si="62"/>
        <v>33</v>
      </c>
      <c r="Q444" s="1">
        <f t="shared" si="62"/>
        <v>5</v>
      </c>
      <c r="R444" s="1">
        <f t="shared" si="68"/>
        <v>0</v>
      </c>
      <c r="S444" s="34">
        <f t="shared" si="68"/>
        <v>81.81</v>
      </c>
      <c r="T444" s="1" t="str">
        <f t="shared" si="63"/>
        <v>caught</v>
      </c>
      <c r="U444" s="1" t="str">
        <f t="shared" si="64"/>
        <v>2</v>
      </c>
      <c r="V444" s="1" t="str">
        <f t="shared" si="65"/>
        <v xml:space="preserve"> Sri Lanka</v>
      </c>
      <c r="W444" s="1" t="str">
        <f t="shared" si="66"/>
        <v>Colombo (RPS)</v>
      </c>
      <c r="X444" s="1" t="str">
        <f t="shared" si="67"/>
        <v>Yes</v>
      </c>
      <c r="Y444" s="1"/>
    </row>
    <row r="445" spans="1:25" ht="14.25" customHeight="1">
      <c r="A445" s="1"/>
      <c r="B445" s="1">
        <v>428</v>
      </c>
      <c r="C445" s="1" t="s">
        <v>392</v>
      </c>
      <c r="D445" s="1" t="s">
        <v>866</v>
      </c>
      <c r="E445" s="1" t="s">
        <v>167</v>
      </c>
      <c r="F445" s="1" t="s">
        <v>130</v>
      </c>
      <c r="G445" s="1" t="s">
        <v>1189</v>
      </c>
      <c r="H445" s="1" t="s">
        <v>19</v>
      </c>
      <c r="I445" s="1" t="s">
        <v>130</v>
      </c>
      <c r="J445" s="1" t="s">
        <v>133</v>
      </c>
      <c r="K445" s="1" t="s">
        <v>27</v>
      </c>
      <c r="L445" s="1"/>
      <c r="M445" s="1"/>
      <c r="N445" s="1" t="str">
        <f t="shared" si="60"/>
        <v>No</v>
      </c>
      <c r="O445" s="1" t="str">
        <f t="shared" si="61"/>
        <v>NA</v>
      </c>
      <c r="P445" s="1">
        <f t="shared" si="62"/>
        <v>133</v>
      </c>
      <c r="Q445" s="1">
        <f t="shared" si="62"/>
        <v>10</v>
      </c>
      <c r="R445" s="1">
        <f t="shared" si="68"/>
        <v>1</v>
      </c>
      <c r="S445" s="34">
        <f t="shared" si="68"/>
        <v>103.75</v>
      </c>
      <c r="T445" s="1" t="str">
        <f t="shared" si="63"/>
        <v>lbw</v>
      </c>
      <c r="U445" s="1" t="str">
        <f t="shared" si="64"/>
        <v>1</v>
      </c>
      <c r="V445" s="1" t="str">
        <f t="shared" si="65"/>
        <v xml:space="preserve"> Sri Lanka</v>
      </c>
      <c r="W445" s="1" t="str">
        <f t="shared" si="66"/>
        <v>Colombo (RPS)</v>
      </c>
      <c r="X445" s="1" t="str">
        <f t="shared" si="67"/>
        <v>Yes</v>
      </c>
      <c r="Y445" s="1"/>
    </row>
    <row r="446" spans="1:25" ht="14.25" customHeight="1">
      <c r="A446" s="1"/>
      <c r="B446" s="1">
        <v>429</v>
      </c>
      <c r="C446" s="1" t="s">
        <v>189</v>
      </c>
      <c r="D446" s="1" t="s">
        <v>205</v>
      </c>
      <c r="E446" s="1" t="s">
        <v>130</v>
      </c>
      <c r="F446" s="1" t="s">
        <v>131</v>
      </c>
      <c r="G446" s="1" t="s">
        <v>503</v>
      </c>
      <c r="H446" s="1" t="s">
        <v>24</v>
      </c>
      <c r="I446" s="1" t="s">
        <v>151</v>
      </c>
      <c r="J446" s="1" t="s">
        <v>156</v>
      </c>
      <c r="K446" s="1" t="s">
        <v>36</v>
      </c>
      <c r="L446" s="1"/>
      <c r="M446" s="1"/>
      <c r="N446" s="1" t="str">
        <f t="shared" si="60"/>
        <v>No</v>
      </c>
      <c r="O446" s="1">
        <f t="shared" si="61"/>
        <v>14</v>
      </c>
      <c r="P446" s="1">
        <f t="shared" si="62"/>
        <v>14</v>
      </c>
      <c r="Q446" s="1">
        <f t="shared" si="62"/>
        <v>1</v>
      </c>
      <c r="R446" s="1">
        <f t="shared" si="68"/>
        <v>0</v>
      </c>
      <c r="S446" s="34">
        <f t="shared" si="68"/>
        <v>57.14</v>
      </c>
      <c r="T446" s="1" t="str">
        <f t="shared" si="63"/>
        <v>caught</v>
      </c>
      <c r="U446" s="1" t="str">
        <f t="shared" si="64"/>
        <v>2</v>
      </c>
      <c r="V446" s="1" t="str">
        <f t="shared" si="65"/>
        <v xml:space="preserve"> Pakistan</v>
      </c>
      <c r="W446" s="1" t="str">
        <f t="shared" si="66"/>
        <v>Centurion</v>
      </c>
      <c r="X446" s="1" t="str">
        <f t="shared" si="67"/>
        <v>Yes</v>
      </c>
      <c r="Y446" s="1"/>
    </row>
    <row r="447" spans="1:25" ht="14.25" customHeight="1">
      <c r="A447" s="1"/>
      <c r="B447" s="1">
        <v>430</v>
      </c>
      <c r="C447" s="1" t="s">
        <v>38</v>
      </c>
      <c r="D447" s="1" t="s">
        <v>157</v>
      </c>
      <c r="E447" s="1" t="s">
        <v>157</v>
      </c>
      <c r="F447" s="1" t="s">
        <v>157</v>
      </c>
      <c r="G447" s="1" t="s">
        <v>157</v>
      </c>
      <c r="H447" s="1" t="s">
        <v>157</v>
      </c>
      <c r="I447" s="1" t="s">
        <v>157</v>
      </c>
      <c r="J447" s="1" t="s">
        <v>158</v>
      </c>
      <c r="K447" s="1" t="s">
        <v>36</v>
      </c>
      <c r="L447" s="1"/>
      <c r="M447" s="1"/>
      <c r="N447" s="1" t="str">
        <f t="shared" si="60"/>
        <v>Yes</v>
      </c>
      <c r="O447" s="1">
        <f t="shared" si="61"/>
        <v>4</v>
      </c>
      <c r="P447" s="1" t="str">
        <f t="shared" si="62"/>
        <v>NA</v>
      </c>
      <c r="Q447" s="1" t="str">
        <f t="shared" si="62"/>
        <v>NA</v>
      </c>
      <c r="R447" s="1" t="str">
        <f t="shared" si="68"/>
        <v>NA</v>
      </c>
      <c r="S447" s="34" t="str">
        <f t="shared" si="68"/>
        <v>NA</v>
      </c>
      <c r="T447" s="1" t="str">
        <f t="shared" si="63"/>
        <v>NA</v>
      </c>
      <c r="U447" s="1" t="str">
        <f t="shared" si="64"/>
        <v>-</v>
      </c>
      <c r="V447" s="1" t="str">
        <f t="shared" si="65"/>
        <v xml:space="preserve"> Australia</v>
      </c>
      <c r="W447" s="1" t="str">
        <f t="shared" si="66"/>
        <v>Centurion</v>
      </c>
      <c r="X447" s="1" t="str">
        <f t="shared" si="67"/>
        <v>No</v>
      </c>
      <c r="Y447" s="1"/>
    </row>
    <row r="448" spans="1:25" ht="14.25" customHeight="1">
      <c r="A448" s="1"/>
      <c r="B448" s="1">
        <v>431</v>
      </c>
      <c r="C448" s="1" t="s">
        <v>205</v>
      </c>
      <c r="D448" s="1" t="s">
        <v>200</v>
      </c>
      <c r="E448" s="1" t="s">
        <v>151</v>
      </c>
      <c r="F448" s="1" t="s">
        <v>131</v>
      </c>
      <c r="G448" s="1" t="s">
        <v>1190</v>
      </c>
      <c r="H448" s="1" t="s">
        <v>24</v>
      </c>
      <c r="I448" s="1" t="s">
        <v>151</v>
      </c>
      <c r="J448" s="1" t="s">
        <v>158</v>
      </c>
      <c r="K448" s="1" t="s">
        <v>44</v>
      </c>
      <c r="L448" s="1"/>
      <c r="M448" s="1"/>
      <c r="N448" s="1" t="str">
        <f t="shared" si="60"/>
        <v>No</v>
      </c>
      <c r="O448" s="1">
        <f t="shared" si="61"/>
        <v>32</v>
      </c>
      <c r="P448" s="1">
        <f t="shared" si="62"/>
        <v>29</v>
      </c>
      <c r="Q448" s="1">
        <f t="shared" si="62"/>
        <v>2</v>
      </c>
      <c r="R448" s="1">
        <f t="shared" si="68"/>
        <v>0</v>
      </c>
      <c r="S448" s="34">
        <f t="shared" si="68"/>
        <v>48.27</v>
      </c>
      <c r="T448" s="1" t="str">
        <f t="shared" si="63"/>
        <v>caught</v>
      </c>
      <c r="U448" s="1" t="str">
        <f t="shared" si="64"/>
        <v>2</v>
      </c>
      <c r="V448" s="1" t="str">
        <f t="shared" si="65"/>
        <v xml:space="preserve"> Australia</v>
      </c>
      <c r="W448" s="1" t="str">
        <f t="shared" si="66"/>
        <v>Vadodara</v>
      </c>
      <c r="X448" s="1" t="str">
        <f t="shared" si="67"/>
        <v>Yes</v>
      </c>
      <c r="Y448" s="1"/>
    </row>
    <row r="449" spans="1:25" ht="14.25" customHeight="1">
      <c r="A449" s="1"/>
      <c r="B449" s="1">
        <v>432</v>
      </c>
      <c r="C449" s="1" t="s">
        <v>140</v>
      </c>
      <c r="D449" s="1" t="s">
        <v>189</v>
      </c>
      <c r="E449" s="1" t="s">
        <v>130</v>
      </c>
      <c r="F449" s="1" t="s">
        <v>131</v>
      </c>
      <c r="G449" s="1" t="s">
        <v>204</v>
      </c>
      <c r="H449" s="1" t="s">
        <v>24</v>
      </c>
      <c r="I449" s="1" t="s">
        <v>130</v>
      </c>
      <c r="J449" s="1" t="s">
        <v>158</v>
      </c>
      <c r="K449" s="1" t="s">
        <v>50</v>
      </c>
      <c r="L449" s="1"/>
      <c r="M449" s="1"/>
      <c r="N449" s="1" t="str">
        <f t="shared" si="60"/>
        <v>No</v>
      </c>
      <c r="O449" s="1">
        <f t="shared" si="61"/>
        <v>40</v>
      </c>
      <c r="P449" s="1">
        <f t="shared" si="62"/>
        <v>8</v>
      </c>
      <c r="Q449" s="1">
        <f t="shared" si="62"/>
        <v>1</v>
      </c>
      <c r="R449" s="1">
        <f t="shared" si="68"/>
        <v>0</v>
      </c>
      <c r="S449" s="34">
        <f t="shared" si="68"/>
        <v>50</v>
      </c>
      <c r="T449" s="1" t="str">
        <f t="shared" si="63"/>
        <v>caught</v>
      </c>
      <c r="U449" s="1" t="str">
        <f t="shared" si="64"/>
        <v>1</v>
      </c>
      <c r="V449" s="1" t="str">
        <f t="shared" si="65"/>
        <v xml:space="preserve"> Australia</v>
      </c>
      <c r="W449" s="1" t="str">
        <f t="shared" si="66"/>
        <v>Nagpur</v>
      </c>
      <c r="X449" s="1" t="str">
        <f t="shared" si="67"/>
        <v>Yes</v>
      </c>
      <c r="Y449" s="1"/>
    </row>
    <row r="450" spans="1:25" ht="14.25" customHeight="1">
      <c r="A450" s="1"/>
      <c r="B450" s="1">
        <v>433</v>
      </c>
      <c r="C450" s="1" t="s">
        <v>521</v>
      </c>
      <c r="D450" s="1" t="s">
        <v>419</v>
      </c>
      <c r="E450" s="1" t="s">
        <v>151</v>
      </c>
      <c r="F450" s="1" t="s">
        <v>131</v>
      </c>
      <c r="G450" s="1" t="s">
        <v>420</v>
      </c>
      <c r="H450" s="1" t="s">
        <v>26</v>
      </c>
      <c r="I450" s="1" t="s">
        <v>151</v>
      </c>
      <c r="J450" s="1" t="s">
        <v>158</v>
      </c>
      <c r="K450" s="1" t="s">
        <v>52</v>
      </c>
      <c r="L450" s="1"/>
      <c r="M450" s="1"/>
      <c r="N450" s="1" t="str">
        <f t="shared" si="60"/>
        <v>No</v>
      </c>
      <c r="O450" s="1">
        <f t="shared" si="61"/>
        <v>175</v>
      </c>
      <c r="P450" s="1">
        <f t="shared" si="62"/>
        <v>47</v>
      </c>
      <c r="Q450" s="1">
        <f t="shared" si="62"/>
        <v>2</v>
      </c>
      <c r="R450" s="1">
        <f t="shared" si="68"/>
        <v>0</v>
      </c>
      <c r="S450" s="34">
        <f t="shared" si="68"/>
        <v>68.08</v>
      </c>
      <c r="T450" s="1" t="str">
        <f t="shared" si="63"/>
        <v>run out</v>
      </c>
      <c r="U450" s="1" t="str">
        <f t="shared" si="64"/>
        <v>2</v>
      </c>
      <c r="V450" s="1" t="str">
        <f t="shared" si="65"/>
        <v xml:space="preserve"> Australia</v>
      </c>
      <c r="W450" s="1" t="str">
        <f t="shared" si="66"/>
        <v>Delhi</v>
      </c>
      <c r="X450" s="1" t="str">
        <f t="shared" si="67"/>
        <v>Yes</v>
      </c>
      <c r="Y450" s="1"/>
    </row>
    <row r="451" spans="1:25" ht="14.25" customHeight="1">
      <c r="A451" s="1"/>
      <c r="B451" s="1">
        <v>434</v>
      </c>
      <c r="C451" s="1" t="s">
        <v>359</v>
      </c>
      <c r="D451" s="1" t="s">
        <v>184</v>
      </c>
      <c r="E451" s="1" t="s">
        <v>136</v>
      </c>
      <c r="F451" s="1" t="s">
        <v>131</v>
      </c>
      <c r="G451" s="1" t="s">
        <v>824</v>
      </c>
      <c r="H451" s="1" t="s">
        <v>19</v>
      </c>
      <c r="I451" s="1" t="s">
        <v>151</v>
      </c>
      <c r="J451" s="1" t="s">
        <v>158</v>
      </c>
      <c r="K451" s="1" t="s">
        <v>46</v>
      </c>
      <c r="L451" s="1"/>
      <c r="M451" s="1"/>
      <c r="N451" s="1" t="str">
        <f t="shared" si="60"/>
        <v>No</v>
      </c>
      <c r="O451" s="1">
        <f t="shared" si="61"/>
        <v>10</v>
      </c>
      <c r="P451" s="1">
        <f t="shared" si="62"/>
        <v>68</v>
      </c>
      <c r="Q451" s="1">
        <f t="shared" si="62"/>
        <v>6</v>
      </c>
      <c r="R451" s="1">
        <f t="shared" si="68"/>
        <v>0</v>
      </c>
      <c r="S451" s="34">
        <f t="shared" si="68"/>
        <v>58.82</v>
      </c>
      <c r="T451" s="1" t="str">
        <f t="shared" si="63"/>
        <v>lbw</v>
      </c>
      <c r="U451" s="1" t="str">
        <f t="shared" si="64"/>
        <v>2</v>
      </c>
      <c r="V451" s="1" t="str">
        <f t="shared" si="65"/>
        <v xml:space="preserve"> Australia</v>
      </c>
      <c r="W451" s="1" t="str">
        <f t="shared" si="66"/>
        <v>Mohali</v>
      </c>
      <c r="X451" s="1" t="str">
        <f t="shared" si="67"/>
        <v>Yes</v>
      </c>
      <c r="Y451" s="1"/>
    </row>
    <row r="452" spans="1:25" ht="14.25" customHeight="1">
      <c r="A452" s="1"/>
      <c r="B452" s="1">
        <v>435</v>
      </c>
      <c r="C452" s="1" t="s">
        <v>1191</v>
      </c>
      <c r="D452" s="1" t="s">
        <v>1064</v>
      </c>
      <c r="E452" s="1" t="s">
        <v>170</v>
      </c>
      <c r="F452" s="1" t="s">
        <v>140</v>
      </c>
      <c r="G452" s="1" t="s">
        <v>1192</v>
      </c>
      <c r="H452" s="1" t="s">
        <v>24</v>
      </c>
      <c r="I452" s="1" t="s">
        <v>151</v>
      </c>
      <c r="J452" s="1" t="s">
        <v>158</v>
      </c>
      <c r="K452" s="1" t="s">
        <v>85</v>
      </c>
      <c r="L452" s="1"/>
      <c r="M452" s="1"/>
      <c r="N452" s="1" t="str">
        <f t="shared" si="60"/>
        <v>No</v>
      </c>
      <c r="O452" s="1">
        <f t="shared" si="61"/>
        <v>69</v>
      </c>
      <c r="P452" s="1">
        <f t="shared" si="62"/>
        <v>141</v>
      </c>
      <c r="Q452" s="1">
        <f t="shared" si="62"/>
        <v>19</v>
      </c>
      <c r="R452" s="1">
        <f t="shared" si="68"/>
        <v>4</v>
      </c>
      <c r="S452" s="34">
        <f t="shared" si="68"/>
        <v>124.11</v>
      </c>
      <c r="T452" s="1" t="str">
        <f t="shared" si="63"/>
        <v>caught</v>
      </c>
      <c r="U452" s="1" t="str">
        <f t="shared" si="64"/>
        <v>2</v>
      </c>
      <c r="V452" s="1" t="str">
        <f t="shared" si="65"/>
        <v xml:space="preserve"> Australia</v>
      </c>
      <c r="W452" s="1" t="str">
        <f t="shared" si="66"/>
        <v>Hyderabad</v>
      </c>
      <c r="X452" s="1" t="str">
        <f t="shared" si="67"/>
        <v>Yes</v>
      </c>
      <c r="Y452" s="1"/>
    </row>
    <row r="453" spans="1:25" ht="14.25" customHeight="1">
      <c r="A453" s="1"/>
      <c r="B453" s="1">
        <v>436</v>
      </c>
      <c r="C453" s="1" t="s">
        <v>167</v>
      </c>
      <c r="D453" s="1" t="s">
        <v>306</v>
      </c>
      <c r="E453" s="1" t="s">
        <v>151</v>
      </c>
      <c r="F453" s="1" t="s">
        <v>131</v>
      </c>
      <c r="G453" s="1" t="s">
        <v>824</v>
      </c>
      <c r="H453" s="1" t="s">
        <v>24</v>
      </c>
      <c r="I453" s="1" t="s">
        <v>130</v>
      </c>
      <c r="J453" s="1" t="s">
        <v>158</v>
      </c>
      <c r="K453" s="1" t="s">
        <v>66</v>
      </c>
      <c r="L453" s="1"/>
      <c r="M453" s="1"/>
      <c r="N453" s="1" t="str">
        <f t="shared" si="60"/>
        <v>No</v>
      </c>
      <c r="O453" s="1">
        <f t="shared" si="61"/>
        <v>43</v>
      </c>
      <c r="P453" s="1">
        <f t="shared" si="62"/>
        <v>17</v>
      </c>
      <c r="Q453" s="1">
        <f t="shared" si="62"/>
        <v>2</v>
      </c>
      <c r="R453" s="1">
        <f t="shared" si="68"/>
        <v>0</v>
      </c>
      <c r="S453" s="34">
        <f t="shared" si="68"/>
        <v>58.82</v>
      </c>
      <c r="T453" s="1" t="str">
        <f t="shared" si="63"/>
        <v>caught</v>
      </c>
      <c r="U453" s="1" t="str">
        <f t="shared" si="64"/>
        <v>1</v>
      </c>
      <c r="V453" s="1" t="str">
        <f t="shared" si="65"/>
        <v xml:space="preserve"> Australia</v>
      </c>
      <c r="W453" s="1" t="str">
        <f t="shared" si="66"/>
        <v>Guwahati</v>
      </c>
      <c r="X453" s="1" t="str">
        <f t="shared" si="67"/>
        <v>Yes</v>
      </c>
      <c r="Y453" s="1"/>
    </row>
    <row r="454" spans="1:25" ht="14.25" customHeight="1">
      <c r="A454" s="1"/>
      <c r="B454" s="1">
        <v>437</v>
      </c>
      <c r="C454" s="1" t="s">
        <v>701</v>
      </c>
      <c r="D454" s="1" t="s">
        <v>262</v>
      </c>
      <c r="E454" s="1" t="s">
        <v>167</v>
      </c>
      <c r="F454" s="1" t="s">
        <v>130</v>
      </c>
      <c r="G454" s="1" t="s">
        <v>1193</v>
      </c>
      <c r="H454" s="1" t="s">
        <v>29</v>
      </c>
      <c r="I454" s="1" t="s">
        <v>130</v>
      </c>
      <c r="J454" s="1" t="s">
        <v>133</v>
      </c>
      <c r="K454" s="1" t="s">
        <v>48</v>
      </c>
      <c r="L454" s="1"/>
      <c r="M454" s="1"/>
      <c r="N454" s="1" t="str">
        <f t="shared" si="60"/>
        <v>No</v>
      </c>
      <c r="O454" s="1">
        <f t="shared" si="61"/>
        <v>96</v>
      </c>
      <c r="P454" s="1">
        <f t="shared" si="62"/>
        <v>63</v>
      </c>
      <c r="Q454" s="1">
        <f t="shared" si="62"/>
        <v>10</v>
      </c>
      <c r="R454" s="1">
        <f t="shared" si="68"/>
        <v>1</v>
      </c>
      <c r="S454" s="34">
        <f t="shared" si="68"/>
        <v>109.52</v>
      </c>
      <c r="T454" s="1" t="str">
        <f t="shared" si="63"/>
        <v>bowled</v>
      </c>
      <c r="U454" s="1" t="str">
        <f t="shared" si="64"/>
        <v>1</v>
      </c>
      <c r="V454" s="1" t="str">
        <f t="shared" si="65"/>
        <v xml:space="preserve"> Sri Lanka</v>
      </c>
      <c r="W454" s="1" t="str">
        <f t="shared" si="66"/>
        <v>Rajkot</v>
      </c>
      <c r="X454" s="1" t="str">
        <f t="shared" si="67"/>
        <v>Yes</v>
      </c>
      <c r="Y454" s="1"/>
    </row>
    <row r="455" spans="1:25" ht="14.25" customHeight="1">
      <c r="A455" s="1"/>
      <c r="B455" s="1">
        <v>438</v>
      </c>
      <c r="C455" s="1" t="s">
        <v>321</v>
      </c>
      <c r="D455" s="1" t="s">
        <v>327</v>
      </c>
      <c r="E455" s="1" t="s">
        <v>140</v>
      </c>
      <c r="F455" s="1" t="s">
        <v>131</v>
      </c>
      <c r="G455" s="1" t="s">
        <v>907</v>
      </c>
      <c r="H455" s="1" t="s">
        <v>63</v>
      </c>
      <c r="I455" s="1" t="s">
        <v>130</v>
      </c>
      <c r="J455" s="1" t="s">
        <v>133</v>
      </c>
      <c r="K455" s="1" t="s">
        <v>50</v>
      </c>
      <c r="L455" s="1"/>
      <c r="M455" s="1"/>
      <c r="N455" s="1" t="str">
        <f t="shared" si="60"/>
        <v>No</v>
      </c>
      <c r="O455" s="1">
        <f t="shared" si="61"/>
        <v>8</v>
      </c>
      <c r="P455" s="1">
        <f t="shared" si="62"/>
        <v>52</v>
      </c>
      <c r="Q455" s="1">
        <f t="shared" si="62"/>
        <v>4</v>
      </c>
      <c r="R455" s="1">
        <f t="shared" si="68"/>
        <v>0</v>
      </c>
      <c r="S455" s="34">
        <f t="shared" si="68"/>
        <v>82.69</v>
      </c>
      <c r="T455" s="1" t="str">
        <f t="shared" si="63"/>
        <v>stumped</v>
      </c>
      <c r="U455" s="1" t="str">
        <f t="shared" si="64"/>
        <v>1</v>
      </c>
      <c r="V455" s="1" t="str">
        <f t="shared" si="65"/>
        <v xml:space="preserve"> Sri Lanka</v>
      </c>
      <c r="W455" s="1" t="str">
        <f t="shared" si="66"/>
        <v>Nagpur</v>
      </c>
      <c r="X455" s="1" t="str">
        <f t="shared" si="67"/>
        <v>Yes</v>
      </c>
      <c r="Y455" s="1"/>
    </row>
    <row r="456" spans="1:25" ht="14.25" customHeight="1">
      <c r="A456" s="1"/>
      <c r="B456" s="1">
        <v>439</v>
      </c>
      <c r="C456" s="1" t="s">
        <v>415</v>
      </c>
      <c r="D456" s="1" t="s">
        <v>160</v>
      </c>
      <c r="E456" s="1" t="s">
        <v>325</v>
      </c>
      <c r="F456" s="1" t="s">
        <v>131</v>
      </c>
      <c r="G456" s="1" t="s">
        <v>954</v>
      </c>
      <c r="H456" s="1" t="s">
        <v>32</v>
      </c>
      <c r="I456" s="1" t="s">
        <v>151</v>
      </c>
      <c r="J456" s="1" t="s">
        <v>133</v>
      </c>
      <c r="K456" s="1" t="s">
        <v>86</v>
      </c>
      <c r="L456" s="1"/>
      <c r="M456" s="1"/>
      <c r="N456" s="1" t="str">
        <f t="shared" si="60"/>
        <v>No</v>
      </c>
      <c r="O456" s="1">
        <f t="shared" si="61"/>
        <v>4</v>
      </c>
      <c r="P456" s="1">
        <f t="shared" si="62"/>
        <v>104</v>
      </c>
      <c r="Q456" s="1">
        <f t="shared" si="62"/>
        <v>13</v>
      </c>
      <c r="R456" s="1">
        <f t="shared" si="68"/>
        <v>0</v>
      </c>
      <c r="S456" s="34">
        <f t="shared" si="68"/>
        <v>92.3</v>
      </c>
      <c r="T456" s="1" t="str">
        <f t="shared" si="63"/>
        <v>not out</v>
      </c>
      <c r="U456" s="1" t="str">
        <f t="shared" si="64"/>
        <v>2</v>
      </c>
      <c r="V456" s="1" t="str">
        <f t="shared" si="65"/>
        <v xml:space="preserve"> Sri Lanka</v>
      </c>
      <c r="W456" s="1" t="str">
        <f t="shared" si="66"/>
        <v>Cuttack</v>
      </c>
      <c r="X456" s="1" t="str">
        <f t="shared" si="67"/>
        <v>No</v>
      </c>
      <c r="Y456" s="1"/>
    </row>
    <row r="457" spans="1:25" ht="14.25" customHeight="1">
      <c r="A457" s="1"/>
      <c r="B457" s="1">
        <v>440</v>
      </c>
      <c r="C457" s="1" t="s">
        <v>189</v>
      </c>
      <c r="D457" s="1" t="s">
        <v>189</v>
      </c>
      <c r="E457" s="1" t="s">
        <v>151</v>
      </c>
      <c r="F457" s="1" t="s">
        <v>131</v>
      </c>
      <c r="G457" s="1" t="s">
        <v>152</v>
      </c>
      <c r="H457" s="1" t="s">
        <v>24</v>
      </c>
      <c r="I457" s="1" t="s">
        <v>151</v>
      </c>
      <c r="J457" s="1" t="s">
        <v>133</v>
      </c>
      <c r="K457" s="1" t="s">
        <v>51</v>
      </c>
      <c r="L457" s="1"/>
      <c r="M457" s="1"/>
      <c r="N457" s="1" t="str">
        <f t="shared" si="60"/>
        <v>No</v>
      </c>
      <c r="O457" s="1">
        <f t="shared" si="61"/>
        <v>200</v>
      </c>
      <c r="P457" s="1">
        <f t="shared" si="62"/>
        <v>8</v>
      </c>
      <c r="Q457" s="1">
        <f t="shared" si="62"/>
        <v>2</v>
      </c>
      <c r="R457" s="1">
        <f t="shared" si="68"/>
        <v>0</v>
      </c>
      <c r="S457" s="34">
        <f t="shared" si="68"/>
        <v>100</v>
      </c>
      <c r="T457" s="1" t="str">
        <f t="shared" si="63"/>
        <v>caught</v>
      </c>
      <c r="U457" s="1" t="str">
        <f t="shared" si="64"/>
        <v>2</v>
      </c>
      <c r="V457" s="1" t="str">
        <f t="shared" si="65"/>
        <v xml:space="preserve"> Sri Lanka</v>
      </c>
      <c r="W457" s="1" t="str">
        <f t="shared" si="66"/>
        <v>Eden Gardens</v>
      </c>
      <c r="X457" s="1" t="str">
        <f t="shared" si="67"/>
        <v>Yes</v>
      </c>
      <c r="Y457" s="1"/>
    </row>
    <row r="458" spans="1:25" ht="14.25" customHeight="1">
      <c r="A458" s="1"/>
      <c r="B458" s="1">
        <v>441</v>
      </c>
      <c r="C458" s="1" t="s">
        <v>140</v>
      </c>
      <c r="D458" s="1" t="s">
        <v>202</v>
      </c>
      <c r="E458" s="1" t="s">
        <v>130</v>
      </c>
      <c r="F458" s="1" t="s">
        <v>131</v>
      </c>
      <c r="G458" s="1" t="s">
        <v>361</v>
      </c>
      <c r="H458" s="1" t="s">
        <v>26</v>
      </c>
      <c r="I458" s="1" t="s">
        <v>130</v>
      </c>
      <c r="J458" s="1" t="s">
        <v>191</v>
      </c>
      <c r="K458" s="1" t="s">
        <v>56</v>
      </c>
      <c r="L458" s="1"/>
      <c r="M458" s="1"/>
      <c r="N458" s="1" t="str">
        <f t="shared" si="60"/>
        <v>No</v>
      </c>
      <c r="O458" s="1">
        <f t="shared" si="61"/>
        <v>7</v>
      </c>
      <c r="P458" s="1">
        <f t="shared" si="62"/>
        <v>5</v>
      </c>
      <c r="Q458" s="1">
        <f t="shared" si="62"/>
        <v>1</v>
      </c>
      <c r="R458" s="1">
        <f t="shared" si="68"/>
        <v>0</v>
      </c>
      <c r="S458" s="34">
        <f t="shared" si="68"/>
        <v>80</v>
      </c>
      <c r="T458" s="1" t="str">
        <f t="shared" si="63"/>
        <v>run out</v>
      </c>
      <c r="U458" s="1" t="str">
        <f t="shared" si="64"/>
        <v>1</v>
      </c>
      <c r="V458" s="1" t="str">
        <f t="shared" si="65"/>
        <v xml:space="preserve"> South Africa</v>
      </c>
      <c r="W458" s="1" t="str">
        <f t="shared" si="66"/>
        <v>Jaipur</v>
      </c>
      <c r="X458" s="1" t="str">
        <f t="shared" si="67"/>
        <v>Yes</v>
      </c>
      <c r="Y458" s="1"/>
    </row>
    <row r="459" spans="1:25" ht="14.25" customHeight="1">
      <c r="A459" s="1"/>
      <c r="B459" s="1">
        <v>442</v>
      </c>
      <c r="C459" s="1" t="s">
        <v>1194</v>
      </c>
      <c r="D459" s="1" t="s">
        <v>885</v>
      </c>
      <c r="E459" s="1" t="s">
        <v>138</v>
      </c>
      <c r="F459" s="1" t="s">
        <v>148</v>
      </c>
      <c r="G459" s="1" t="s">
        <v>1195</v>
      </c>
      <c r="H459" s="1" t="s">
        <v>32</v>
      </c>
      <c r="I459" s="1" t="s">
        <v>130</v>
      </c>
      <c r="J459" s="1" t="s">
        <v>191</v>
      </c>
      <c r="K459" s="1" t="s">
        <v>58</v>
      </c>
      <c r="L459" s="1"/>
      <c r="M459" s="1"/>
      <c r="N459" s="1" t="str">
        <f t="shared" si="60"/>
        <v>No</v>
      </c>
      <c r="O459" s="1">
        <f t="shared" si="61"/>
        <v>24</v>
      </c>
      <c r="P459" s="1">
        <f t="shared" si="62"/>
        <v>147</v>
      </c>
      <c r="Q459" s="1">
        <f t="shared" si="62"/>
        <v>25</v>
      </c>
      <c r="R459" s="1">
        <f t="shared" si="68"/>
        <v>3</v>
      </c>
      <c r="S459" s="34">
        <f t="shared" si="68"/>
        <v>136.05000000000001</v>
      </c>
      <c r="T459" s="1" t="str">
        <f t="shared" si="63"/>
        <v>not out</v>
      </c>
      <c r="U459" s="1" t="str">
        <f t="shared" si="64"/>
        <v>1</v>
      </c>
      <c r="V459" s="1" t="str">
        <f t="shared" si="65"/>
        <v xml:space="preserve"> South Africa</v>
      </c>
      <c r="W459" s="1" t="str">
        <f t="shared" si="66"/>
        <v>Gwalior</v>
      </c>
      <c r="X459" s="1" t="str">
        <f t="shared" si="67"/>
        <v>No</v>
      </c>
      <c r="Y459" s="1"/>
    </row>
    <row r="460" spans="1:25" ht="14.25" customHeight="1">
      <c r="A460" s="1"/>
      <c r="B460" s="1">
        <v>443</v>
      </c>
      <c r="C460" s="1" t="s">
        <v>144</v>
      </c>
      <c r="D460" s="1" t="s">
        <v>176</v>
      </c>
      <c r="E460" s="1" t="s">
        <v>131</v>
      </c>
      <c r="F460" s="1" t="s">
        <v>131</v>
      </c>
      <c r="G460" s="1" t="s">
        <v>545</v>
      </c>
      <c r="H460" s="1" t="s">
        <v>24</v>
      </c>
      <c r="I460" s="1" t="s">
        <v>151</v>
      </c>
      <c r="J460" s="1" t="s">
        <v>191</v>
      </c>
      <c r="K460" s="1" t="s">
        <v>69</v>
      </c>
      <c r="L460" s="1"/>
      <c r="M460" s="1"/>
      <c r="N460" s="1" t="str">
        <f t="shared" si="60"/>
        <v>No</v>
      </c>
      <c r="O460" s="1">
        <f t="shared" si="61"/>
        <v>28</v>
      </c>
      <c r="P460" s="1">
        <f t="shared" si="62"/>
        <v>11</v>
      </c>
      <c r="Q460" s="1">
        <f t="shared" si="62"/>
        <v>0</v>
      </c>
      <c r="R460" s="1">
        <f t="shared" si="68"/>
        <v>0</v>
      </c>
      <c r="S460" s="34">
        <f t="shared" si="68"/>
        <v>63.63</v>
      </c>
      <c r="T460" s="1" t="str">
        <f t="shared" si="63"/>
        <v>caught</v>
      </c>
      <c r="U460" s="1" t="str">
        <f t="shared" si="64"/>
        <v>2</v>
      </c>
      <c r="V460" s="1" t="str">
        <f t="shared" si="65"/>
        <v xml:space="preserve"> South Africa</v>
      </c>
      <c r="W460" s="1" t="str">
        <f t="shared" si="66"/>
        <v>Durban</v>
      </c>
      <c r="X460" s="1" t="str">
        <f t="shared" si="67"/>
        <v>Yes</v>
      </c>
      <c r="Y460" s="1"/>
    </row>
    <row r="461" spans="1:25" ht="14.25" customHeight="1">
      <c r="A461" s="1"/>
      <c r="B461" s="1">
        <v>444</v>
      </c>
      <c r="C461" s="1" t="s">
        <v>154</v>
      </c>
      <c r="D461" s="1" t="s">
        <v>369</v>
      </c>
      <c r="E461" s="1" t="s">
        <v>151</v>
      </c>
      <c r="F461" s="1" t="s">
        <v>131</v>
      </c>
      <c r="G461" s="1" t="s">
        <v>132</v>
      </c>
      <c r="H461" s="1" t="s">
        <v>29</v>
      </c>
      <c r="I461" s="1" t="s">
        <v>130</v>
      </c>
      <c r="J461" s="1" t="s">
        <v>191</v>
      </c>
      <c r="K461" s="1" t="s">
        <v>43</v>
      </c>
      <c r="L461" s="1"/>
      <c r="M461" s="1"/>
      <c r="N461" s="1" t="str">
        <f t="shared" si="60"/>
        <v>No</v>
      </c>
      <c r="O461" s="1">
        <f t="shared" si="61"/>
        <v>120</v>
      </c>
      <c r="P461" s="1">
        <f t="shared" si="62"/>
        <v>44</v>
      </c>
      <c r="Q461" s="1">
        <f t="shared" si="62"/>
        <v>2</v>
      </c>
      <c r="R461" s="1">
        <f t="shared" si="68"/>
        <v>0</v>
      </c>
      <c r="S461" s="34">
        <f t="shared" si="68"/>
        <v>54.54</v>
      </c>
      <c r="T461" s="1" t="str">
        <f t="shared" si="63"/>
        <v>bowled</v>
      </c>
      <c r="U461" s="1" t="str">
        <f t="shared" si="64"/>
        <v>1</v>
      </c>
      <c r="V461" s="1" t="str">
        <f t="shared" si="65"/>
        <v xml:space="preserve"> South Africa</v>
      </c>
      <c r="W461" s="1" t="str">
        <f t="shared" si="66"/>
        <v>Johannesburg</v>
      </c>
      <c r="X461" s="1" t="str">
        <f t="shared" si="67"/>
        <v>Yes</v>
      </c>
      <c r="Y461" s="1"/>
    </row>
    <row r="462" spans="1:25" ht="14.25" customHeight="1">
      <c r="A462" s="1"/>
      <c r="B462" s="1">
        <v>445</v>
      </c>
      <c r="C462" s="1" t="s">
        <v>207</v>
      </c>
      <c r="D462" s="1" t="s">
        <v>200</v>
      </c>
      <c r="E462" s="1" t="s">
        <v>140</v>
      </c>
      <c r="F462" s="1" t="s">
        <v>131</v>
      </c>
      <c r="G462" s="1" t="s">
        <v>850</v>
      </c>
      <c r="H462" s="1" t="s">
        <v>26</v>
      </c>
      <c r="I462" s="1" t="s">
        <v>130</v>
      </c>
      <c r="J462" s="1" t="s">
        <v>182</v>
      </c>
      <c r="K462" s="1" t="s">
        <v>53</v>
      </c>
      <c r="L462" s="1"/>
      <c r="M462" s="1"/>
      <c r="N462" s="1" t="str">
        <f t="shared" si="60"/>
        <v>No</v>
      </c>
      <c r="O462" s="1">
        <f t="shared" si="61"/>
        <v>38</v>
      </c>
      <c r="P462" s="1">
        <f t="shared" si="62"/>
        <v>29</v>
      </c>
      <c r="Q462" s="1">
        <f t="shared" si="62"/>
        <v>4</v>
      </c>
      <c r="R462" s="1">
        <f t="shared" si="68"/>
        <v>0</v>
      </c>
      <c r="S462" s="34">
        <f t="shared" si="68"/>
        <v>96.55</v>
      </c>
      <c r="T462" s="1" t="str">
        <f t="shared" si="63"/>
        <v>run out</v>
      </c>
      <c r="U462" s="1" t="str">
        <f t="shared" si="64"/>
        <v>1</v>
      </c>
      <c r="V462" s="1" t="str">
        <f t="shared" si="65"/>
        <v xml:space="preserve"> Bangladesh</v>
      </c>
      <c r="W462" s="1" t="str">
        <f t="shared" si="66"/>
        <v>Mirpur</v>
      </c>
      <c r="X462" s="1" t="str">
        <f t="shared" si="67"/>
        <v>Yes</v>
      </c>
      <c r="Y462" s="1"/>
    </row>
    <row r="463" spans="1:25" ht="14.25" customHeight="1">
      <c r="A463" s="1"/>
      <c r="B463" s="1">
        <v>446</v>
      </c>
      <c r="C463" s="1" t="s">
        <v>291</v>
      </c>
      <c r="D463" s="1" t="s">
        <v>329</v>
      </c>
      <c r="E463" s="1" t="s">
        <v>167</v>
      </c>
      <c r="F463" s="1" t="s">
        <v>202</v>
      </c>
      <c r="G463" s="1" t="s">
        <v>635</v>
      </c>
      <c r="H463" s="1" t="s">
        <v>24</v>
      </c>
      <c r="I463" s="1" t="s">
        <v>130</v>
      </c>
      <c r="J463" s="1" t="s">
        <v>234</v>
      </c>
      <c r="K463" s="1" t="s">
        <v>67</v>
      </c>
      <c r="L463" s="1"/>
      <c r="M463" s="1"/>
      <c r="N463" s="1" t="str">
        <f t="shared" si="60"/>
        <v>No</v>
      </c>
      <c r="O463" s="1">
        <f t="shared" si="61"/>
        <v>27</v>
      </c>
      <c r="P463" s="1">
        <f t="shared" si="62"/>
        <v>115</v>
      </c>
      <c r="Q463" s="1">
        <f t="shared" si="62"/>
        <v>10</v>
      </c>
      <c r="R463" s="1">
        <f t="shared" si="68"/>
        <v>5</v>
      </c>
      <c r="S463" s="34">
        <f t="shared" si="68"/>
        <v>104.34</v>
      </c>
      <c r="T463" s="1" t="str">
        <f t="shared" si="63"/>
        <v>caught</v>
      </c>
      <c r="U463" s="1" t="str">
        <f t="shared" si="64"/>
        <v>1</v>
      </c>
      <c r="V463" s="1" t="str">
        <f t="shared" si="65"/>
        <v xml:space="preserve"> England</v>
      </c>
      <c r="W463" s="1" t="str">
        <f t="shared" si="66"/>
        <v>Bengaluru</v>
      </c>
      <c r="X463" s="1" t="str">
        <f t="shared" si="67"/>
        <v>Yes</v>
      </c>
      <c r="Y463" s="1"/>
    </row>
    <row r="464" spans="1:25" ht="14.25" customHeight="1">
      <c r="A464" s="1"/>
      <c r="B464" s="1">
        <v>447</v>
      </c>
      <c r="C464" s="1" t="s">
        <v>139</v>
      </c>
      <c r="D464" s="1" t="s">
        <v>452</v>
      </c>
      <c r="E464" s="1" t="s">
        <v>140</v>
      </c>
      <c r="F464" s="1" t="s">
        <v>131</v>
      </c>
      <c r="G464" s="1" t="s">
        <v>1196</v>
      </c>
      <c r="H464" s="1" t="s">
        <v>19</v>
      </c>
      <c r="I464" s="1" t="s">
        <v>151</v>
      </c>
      <c r="J464" s="1" t="s">
        <v>237</v>
      </c>
      <c r="K464" s="1" t="s">
        <v>67</v>
      </c>
      <c r="L464" s="1"/>
      <c r="M464" s="1"/>
      <c r="N464" s="1" t="str">
        <f t="shared" si="60"/>
        <v>No</v>
      </c>
      <c r="O464" s="1">
        <f t="shared" si="61"/>
        <v>111</v>
      </c>
      <c r="P464" s="1">
        <f t="shared" si="62"/>
        <v>56</v>
      </c>
      <c r="Q464" s="1">
        <f t="shared" si="62"/>
        <v>4</v>
      </c>
      <c r="R464" s="1">
        <f t="shared" si="68"/>
        <v>0</v>
      </c>
      <c r="S464" s="34">
        <f t="shared" si="68"/>
        <v>67.849999999999994</v>
      </c>
      <c r="T464" s="1" t="str">
        <f t="shared" si="63"/>
        <v>lbw</v>
      </c>
      <c r="U464" s="1" t="str">
        <f t="shared" si="64"/>
        <v>2</v>
      </c>
      <c r="V464" s="1" t="str">
        <f t="shared" si="65"/>
        <v xml:space="preserve"> Ireland</v>
      </c>
      <c r="W464" s="1" t="str">
        <f t="shared" si="66"/>
        <v>Bengaluru</v>
      </c>
      <c r="X464" s="1" t="str">
        <f t="shared" si="67"/>
        <v>Yes</v>
      </c>
      <c r="Y464" s="1"/>
    </row>
    <row r="465" spans="1:25" ht="14.25" customHeight="1">
      <c r="A465" s="1"/>
      <c r="B465" s="1">
        <v>448</v>
      </c>
      <c r="C465" s="1" t="s">
        <v>169</v>
      </c>
      <c r="D465" s="1" t="s">
        <v>129</v>
      </c>
      <c r="E465" s="1" t="s">
        <v>136</v>
      </c>
      <c r="F465" s="1" t="s">
        <v>131</v>
      </c>
      <c r="G465" s="1" t="s">
        <v>1197</v>
      </c>
      <c r="H465" s="1" t="s">
        <v>24</v>
      </c>
      <c r="I465" s="1" t="s">
        <v>151</v>
      </c>
      <c r="J465" s="1" t="s">
        <v>240</v>
      </c>
      <c r="K465" s="1" t="s">
        <v>52</v>
      </c>
      <c r="L465" s="1"/>
      <c r="M465" s="1"/>
      <c r="N465" s="1" t="str">
        <f t="shared" si="60"/>
        <v>No</v>
      </c>
      <c r="O465" s="1">
        <f t="shared" si="61"/>
        <v>2</v>
      </c>
      <c r="P465" s="1">
        <f t="shared" si="62"/>
        <v>22</v>
      </c>
      <c r="Q465" s="1">
        <f t="shared" si="62"/>
        <v>6</v>
      </c>
      <c r="R465" s="1">
        <f t="shared" si="68"/>
        <v>0</v>
      </c>
      <c r="S465" s="34">
        <f t="shared" si="68"/>
        <v>122.72</v>
      </c>
      <c r="T465" s="1" t="str">
        <f t="shared" si="63"/>
        <v>caught</v>
      </c>
      <c r="U465" s="1" t="str">
        <f t="shared" si="64"/>
        <v>2</v>
      </c>
      <c r="V465" s="1" t="str">
        <f t="shared" si="65"/>
        <v xml:space="preserve"> Netherlands</v>
      </c>
      <c r="W465" s="1" t="str">
        <f t="shared" si="66"/>
        <v>Delhi</v>
      </c>
      <c r="X465" s="1" t="str">
        <f t="shared" si="67"/>
        <v>Yes</v>
      </c>
      <c r="Y465" s="1"/>
    </row>
    <row r="466" spans="1:25" ht="14.25" customHeight="1">
      <c r="A466" s="1"/>
      <c r="B466" s="1">
        <v>449</v>
      </c>
      <c r="C466" s="1" t="s">
        <v>346</v>
      </c>
      <c r="D466" s="1" t="s">
        <v>413</v>
      </c>
      <c r="E466" s="1" t="s">
        <v>189</v>
      </c>
      <c r="F466" s="1" t="s">
        <v>148</v>
      </c>
      <c r="G466" s="1" t="s">
        <v>1198</v>
      </c>
      <c r="H466" s="1" t="s">
        <v>24</v>
      </c>
      <c r="I466" s="1" t="s">
        <v>130</v>
      </c>
      <c r="J466" s="1" t="s">
        <v>191</v>
      </c>
      <c r="K466" s="1" t="s">
        <v>50</v>
      </c>
      <c r="L466" s="1"/>
      <c r="M466" s="1"/>
      <c r="N466" s="1" t="str">
        <f t="shared" ref="N466:N480" si="69">IF(OR(C466="DNB",C466="TDNB"),"Yes","No")</f>
        <v>No</v>
      </c>
      <c r="O466" s="1">
        <f t="shared" ref="O466:O478" si="70">IF(N468="Yes", "NA",SUBSTITUTE(C468,"*","")*1)</f>
        <v>53</v>
      </c>
      <c r="P466" s="1">
        <f t="shared" si="62"/>
        <v>101</v>
      </c>
      <c r="Q466" s="1">
        <f t="shared" si="62"/>
        <v>8</v>
      </c>
      <c r="R466" s="1">
        <f t="shared" si="68"/>
        <v>3</v>
      </c>
      <c r="S466" s="34">
        <f t="shared" si="68"/>
        <v>109.9</v>
      </c>
      <c r="T466" s="1" t="str">
        <f t="shared" si="63"/>
        <v>caught</v>
      </c>
      <c r="U466" s="1" t="str">
        <f t="shared" si="64"/>
        <v>1</v>
      </c>
      <c r="V466" s="1" t="str">
        <f t="shared" si="65"/>
        <v xml:space="preserve"> South Africa</v>
      </c>
      <c r="W466" s="1" t="str">
        <f t="shared" si="66"/>
        <v>Nagpur</v>
      </c>
      <c r="X466" s="1" t="str">
        <f t="shared" si="67"/>
        <v>Yes</v>
      </c>
      <c r="Y466" s="1"/>
    </row>
    <row r="467" spans="1:25" ht="14.25" customHeight="1">
      <c r="A467" s="1"/>
      <c r="B467" s="1">
        <v>450</v>
      </c>
      <c r="C467" s="1" t="s">
        <v>151</v>
      </c>
      <c r="D467" s="1" t="s">
        <v>140</v>
      </c>
      <c r="E467" s="1" t="s">
        <v>131</v>
      </c>
      <c r="F467" s="1" t="s">
        <v>131</v>
      </c>
      <c r="G467" s="1" t="s">
        <v>204</v>
      </c>
      <c r="H467" s="1" t="s">
        <v>24</v>
      </c>
      <c r="I467" s="1" t="s">
        <v>130</v>
      </c>
      <c r="J467" s="1" t="s">
        <v>163</v>
      </c>
      <c r="K467" s="1" t="s">
        <v>68</v>
      </c>
      <c r="L467" s="1"/>
      <c r="M467" s="1"/>
      <c r="N467" s="1" t="str">
        <f t="shared" si="69"/>
        <v>No</v>
      </c>
      <c r="O467" s="1">
        <f t="shared" si="70"/>
        <v>85</v>
      </c>
      <c r="P467" s="1">
        <f t="shared" ref="P467:Q480" si="71">IF(D467="-","NA",D467*1)</f>
        <v>4</v>
      </c>
      <c r="Q467" s="1">
        <f t="shared" si="71"/>
        <v>0</v>
      </c>
      <c r="R467" s="1">
        <f t="shared" si="68"/>
        <v>0</v>
      </c>
      <c r="S467" s="34">
        <f t="shared" si="68"/>
        <v>50</v>
      </c>
      <c r="T467" s="1" t="str">
        <f t="shared" ref="T467:T480" si="72">IF(H467="-","NA",H467)</f>
        <v>caught</v>
      </c>
      <c r="U467" s="1" t="str">
        <f t="shared" ref="U467:U480" si="73">I467</f>
        <v>1</v>
      </c>
      <c r="V467" s="1" t="str">
        <f t="shared" ref="V467:V480" si="74">SUBSTITUTE(J467,"v","")</f>
        <v xml:space="preserve"> West Indies</v>
      </c>
      <c r="W467" s="1" t="str">
        <f t="shared" ref="W467:W480" si="75">K467</f>
        <v>Chennai</v>
      </c>
      <c r="X467" s="1" t="str">
        <f t="shared" ref="X467:X480" si="76">IF(N467="Yes","No",IF(T467="not out","No","Yes"))</f>
        <v>Yes</v>
      </c>
      <c r="Y467" s="1"/>
    </row>
    <row r="468" spans="1:25" ht="14.25" customHeight="1">
      <c r="A468" s="1"/>
      <c r="B468" s="1">
        <v>451</v>
      </c>
      <c r="C468" s="1" t="s">
        <v>235</v>
      </c>
      <c r="D468" s="1" t="s">
        <v>184</v>
      </c>
      <c r="E468" s="1" t="s">
        <v>144</v>
      </c>
      <c r="F468" s="1" t="s">
        <v>131</v>
      </c>
      <c r="G468" s="1" t="s">
        <v>1199</v>
      </c>
      <c r="H468" s="1" t="s">
        <v>24</v>
      </c>
      <c r="I468" s="1" t="s">
        <v>151</v>
      </c>
      <c r="J468" s="1" t="s">
        <v>158</v>
      </c>
      <c r="K468" s="1" t="s">
        <v>59</v>
      </c>
      <c r="L468" s="1"/>
      <c r="M468" s="1"/>
      <c r="N468" s="1" t="str">
        <f t="shared" si="69"/>
        <v>No</v>
      </c>
      <c r="O468" s="1">
        <f t="shared" si="70"/>
        <v>18</v>
      </c>
      <c r="P468" s="1">
        <f t="shared" si="71"/>
        <v>68</v>
      </c>
      <c r="Q468" s="1">
        <f t="shared" si="71"/>
        <v>7</v>
      </c>
      <c r="R468" s="1">
        <f t="shared" si="68"/>
        <v>0</v>
      </c>
      <c r="S468" s="34">
        <f t="shared" si="68"/>
        <v>77.94</v>
      </c>
      <c r="T468" s="1" t="str">
        <f t="shared" si="72"/>
        <v>caught</v>
      </c>
      <c r="U468" s="1" t="str">
        <f t="shared" si="73"/>
        <v>2</v>
      </c>
      <c r="V468" s="1" t="str">
        <f t="shared" si="74"/>
        <v xml:space="preserve"> Australia</v>
      </c>
      <c r="W468" s="1" t="str">
        <f t="shared" si="75"/>
        <v>Ahmedabad</v>
      </c>
      <c r="X468" s="1" t="str">
        <f t="shared" si="76"/>
        <v>Yes</v>
      </c>
      <c r="Y468" s="1"/>
    </row>
    <row r="469" spans="1:25" ht="14.25" customHeight="1">
      <c r="A469" s="1"/>
      <c r="B469" s="1">
        <v>452</v>
      </c>
      <c r="C469" s="1" t="s">
        <v>277</v>
      </c>
      <c r="D469" s="1" t="s">
        <v>329</v>
      </c>
      <c r="E469" s="1" t="s">
        <v>176</v>
      </c>
      <c r="F469" s="1" t="s">
        <v>131</v>
      </c>
      <c r="G469" s="1" t="s">
        <v>668</v>
      </c>
      <c r="H469" s="1" t="s">
        <v>24</v>
      </c>
      <c r="I469" s="1" t="s">
        <v>130</v>
      </c>
      <c r="J469" s="1" t="s">
        <v>156</v>
      </c>
      <c r="K469" s="1" t="s">
        <v>46</v>
      </c>
      <c r="L469" s="1"/>
      <c r="M469" s="1"/>
      <c r="N469" s="1" t="str">
        <f t="shared" si="69"/>
        <v>No</v>
      </c>
      <c r="O469" s="1">
        <f t="shared" si="70"/>
        <v>2</v>
      </c>
      <c r="P469" s="1">
        <f t="shared" si="71"/>
        <v>115</v>
      </c>
      <c r="Q469" s="1">
        <f t="shared" si="71"/>
        <v>11</v>
      </c>
      <c r="R469" s="1">
        <f t="shared" si="68"/>
        <v>0</v>
      </c>
      <c r="S469" s="34">
        <f t="shared" si="68"/>
        <v>73.91</v>
      </c>
      <c r="T469" s="1" t="str">
        <f t="shared" si="72"/>
        <v>caught</v>
      </c>
      <c r="U469" s="1" t="str">
        <f t="shared" si="73"/>
        <v>1</v>
      </c>
      <c r="V469" s="1" t="str">
        <f t="shared" si="74"/>
        <v xml:space="preserve"> Pakistan</v>
      </c>
      <c r="W469" s="1" t="str">
        <f t="shared" si="75"/>
        <v>Mohali</v>
      </c>
      <c r="X469" s="1" t="str">
        <f t="shared" si="76"/>
        <v>Yes</v>
      </c>
      <c r="Y469" s="1"/>
    </row>
    <row r="470" spans="1:25" ht="14.25" customHeight="1">
      <c r="A470" s="1"/>
      <c r="B470" s="1">
        <v>453</v>
      </c>
      <c r="C470" s="1" t="s">
        <v>199</v>
      </c>
      <c r="D470" s="1" t="s">
        <v>205</v>
      </c>
      <c r="E470" s="1" t="s">
        <v>151</v>
      </c>
      <c r="F470" s="1" t="s">
        <v>131</v>
      </c>
      <c r="G470" s="1" t="s">
        <v>680</v>
      </c>
      <c r="H470" s="1" t="s">
        <v>24</v>
      </c>
      <c r="I470" s="1" t="s">
        <v>151</v>
      </c>
      <c r="J470" s="1" t="s">
        <v>133</v>
      </c>
      <c r="K470" s="1" t="s">
        <v>75</v>
      </c>
      <c r="L470" s="1"/>
      <c r="M470" s="1"/>
      <c r="N470" s="1" t="str">
        <f t="shared" si="69"/>
        <v>No</v>
      </c>
      <c r="O470" s="1">
        <f t="shared" si="70"/>
        <v>48</v>
      </c>
      <c r="P470" s="1">
        <f t="shared" si="71"/>
        <v>14</v>
      </c>
      <c r="Q470" s="1">
        <f t="shared" si="71"/>
        <v>2</v>
      </c>
      <c r="R470" s="1">
        <f t="shared" si="68"/>
        <v>0</v>
      </c>
      <c r="S470" s="34">
        <f t="shared" si="68"/>
        <v>128.57</v>
      </c>
      <c r="T470" s="1" t="str">
        <f t="shared" si="72"/>
        <v>caught</v>
      </c>
      <c r="U470" s="1" t="str">
        <f t="shared" si="73"/>
        <v>2</v>
      </c>
      <c r="V470" s="1" t="str">
        <f t="shared" si="74"/>
        <v xml:space="preserve"> Sri Lanka</v>
      </c>
      <c r="W470" s="1" t="str">
        <f t="shared" si="75"/>
        <v>Wankhede</v>
      </c>
      <c r="X470" s="1" t="str">
        <f t="shared" si="76"/>
        <v>Yes</v>
      </c>
      <c r="Y470" s="1"/>
    </row>
    <row r="471" spans="1:25" ht="14.25" customHeight="1">
      <c r="A471" s="1"/>
      <c r="B471" s="1">
        <v>454</v>
      </c>
      <c r="C471" s="1" t="s">
        <v>151</v>
      </c>
      <c r="D471" s="1" t="s">
        <v>136</v>
      </c>
      <c r="E471" s="1" t="s">
        <v>131</v>
      </c>
      <c r="F471" s="1" t="s">
        <v>131</v>
      </c>
      <c r="G471" s="1" t="s">
        <v>229</v>
      </c>
      <c r="H471" s="1" t="s">
        <v>24</v>
      </c>
      <c r="I471" s="1" t="s">
        <v>151</v>
      </c>
      <c r="J471" s="1" t="s">
        <v>158</v>
      </c>
      <c r="K471" s="1" t="s">
        <v>88</v>
      </c>
      <c r="L471" s="1"/>
      <c r="M471" s="1"/>
      <c r="N471" s="1" t="str">
        <f t="shared" si="69"/>
        <v>No</v>
      </c>
      <c r="O471" s="1">
        <f t="shared" si="70"/>
        <v>15</v>
      </c>
      <c r="P471" s="1">
        <f t="shared" si="71"/>
        <v>6</v>
      </c>
      <c r="Q471" s="1">
        <f t="shared" si="71"/>
        <v>0</v>
      </c>
      <c r="R471" s="1">
        <f t="shared" si="68"/>
        <v>0</v>
      </c>
      <c r="S471" s="34">
        <f t="shared" si="68"/>
        <v>33.33</v>
      </c>
      <c r="T471" s="1" t="str">
        <f t="shared" si="72"/>
        <v>caught</v>
      </c>
      <c r="U471" s="1" t="str">
        <f t="shared" si="73"/>
        <v>2</v>
      </c>
      <c r="V471" s="1" t="str">
        <f t="shared" si="74"/>
        <v xml:space="preserve"> Australia</v>
      </c>
      <c r="W471" s="1" t="str">
        <f t="shared" si="75"/>
        <v>Melbourne</v>
      </c>
      <c r="X471" s="1" t="str">
        <f t="shared" si="76"/>
        <v>Yes</v>
      </c>
      <c r="Y471" s="1"/>
    </row>
    <row r="472" spans="1:25" ht="14.25" customHeight="1">
      <c r="A472" s="1"/>
      <c r="B472" s="1">
        <v>455</v>
      </c>
      <c r="C472" s="1" t="s">
        <v>355</v>
      </c>
      <c r="D472" s="1" t="s">
        <v>262</v>
      </c>
      <c r="E472" s="1" t="s">
        <v>202</v>
      </c>
      <c r="F472" s="1" t="s">
        <v>131</v>
      </c>
      <c r="G472" s="1" t="s">
        <v>860</v>
      </c>
      <c r="H472" s="1" t="s">
        <v>29</v>
      </c>
      <c r="I472" s="1" t="s">
        <v>151</v>
      </c>
      <c r="J472" s="1" t="s">
        <v>133</v>
      </c>
      <c r="K472" s="1" t="s">
        <v>89</v>
      </c>
      <c r="L472" s="1"/>
      <c r="M472" s="1"/>
      <c r="N472" s="1" t="str">
        <f t="shared" si="69"/>
        <v>No</v>
      </c>
      <c r="O472" s="1">
        <f t="shared" si="70"/>
        <v>3</v>
      </c>
      <c r="P472" s="1">
        <f t="shared" si="71"/>
        <v>63</v>
      </c>
      <c r="Q472" s="1">
        <f t="shared" si="71"/>
        <v>5</v>
      </c>
      <c r="R472" s="1">
        <f t="shared" si="68"/>
        <v>0</v>
      </c>
      <c r="S472" s="34">
        <f t="shared" si="68"/>
        <v>76.19</v>
      </c>
      <c r="T472" s="1" t="str">
        <f t="shared" si="72"/>
        <v>bowled</v>
      </c>
      <c r="U472" s="1" t="str">
        <f t="shared" si="73"/>
        <v>2</v>
      </c>
      <c r="V472" s="1" t="str">
        <f t="shared" si="74"/>
        <v xml:space="preserve"> Sri Lanka</v>
      </c>
      <c r="W472" s="1" t="str">
        <f t="shared" si="75"/>
        <v>W.A.C.A</v>
      </c>
      <c r="X472" s="1" t="str">
        <f t="shared" si="76"/>
        <v>Yes</v>
      </c>
      <c r="Y472" s="1"/>
    </row>
    <row r="473" spans="1:25" ht="14.25" customHeight="1">
      <c r="A473" s="1"/>
      <c r="B473" s="1">
        <v>456</v>
      </c>
      <c r="C473" s="1" t="s">
        <v>283</v>
      </c>
      <c r="D473" s="1" t="s">
        <v>154</v>
      </c>
      <c r="E473" s="1" t="s">
        <v>151</v>
      </c>
      <c r="F473" s="1" t="s">
        <v>131</v>
      </c>
      <c r="G473" s="1" t="s">
        <v>168</v>
      </c>
      <c r="H473" s="1" t="s">
        <v>24</v>
      </c>
      <c r="I473" s="1" t="s">
        <v>151</v>
      </c>
      <c r="J473" s="1" t="s">
        <v>133</v>
      </c>
      <c r="K473" s="1" t="s">
        <v>90</v>
      </c>
      <c r="L473" s="1"/>
      <c r="M473" s="1"/>
      <c r="N473" s="1" t="str">
        <f t="shared" si="69"/>
        <v>No</v>
      </c>
      <c r="O473" s="1">
        <f t="shared" si="70"/>
        <v>22</v>
      </c>
      <c r="P473" s="1">
        <f t="shared" si="71"/>
        <v>24</v>
      </c>
      <c r="Q473" s="1">
        <f t="shared" si="71"/>
        <v>2</v>
      </c>
      <c r="R473" s="1">
        <f t="shared" si="68"/>
        <v>0</v>
      </c>
      <c r="S473" s="34">
        <f t="shared" si="68"/>
        <v>62.5</v>
      </c>
      <c r="T473" s="1" t="str">
        <f t="shared" si="72"/>
        <v>caught</v>
      </c>
      <c r="U473" s="1" t="str">
        <f t="shared" si="73"/>
        <v>2</v>
      </c>
      <c r="V473" s="1" t="str">
        <f t="shared" si="74"/>
        <v xml:space="preserve"> Sri Lanka</v>
      </c>
      <c r="W473" s="1" t="str">
        <f t="shared" si="75"/>
        <v>Adelaide</v>
      </c>
      <c r="X473" s="1" t="str">
        <f t="shared" si="76"/>
        <v>Yes</v>
      </c>
      <c r="Y473" s="1"/>
    </row>
    <row r="474" spans="1:25" ht="14.25" customHeight="1">
      <c r="A474" s="1"/>
      <c r="B474" s="1">
        <v>457</v>
      </c>
      <c r="C474" s="1" t="s">
        <v>148</v>
      </c>
      <c r="D474" s="1" t="s">
        <v>128</v>
      </c>
      <c r="E474" s="1" t="s">
        <v>131</v>
      </c>
      <c r="F474" s="1" t="s">
        <v>131</v>
      </c>
      <c r="G474" s="1" t="s">
        <v>190</v>
      </c>
      <c r="H474" s="1" t="s">
        <v>24</v>
      </c>
      <c r="I474" s="1" t="s">
        <v>151</v>
      </c>
      <c r="J474" s="1" t="s">
        <v>158</v>
      </c>
      <c r="K474" s="1" t="s">
        <v>91</v>
      </c>
      <c r="L474" s="1"/>
      <c r="M474" s="1"/>
      <c r="N474" s="1" t="str">
        <f t="shared" si="69"/>
        <v>No</v>
      </c>
      <c r="O474" s="1">
        <f t="shared" si="70"/>
        <v>14</v>
      </c>
      <c r="P474" s="1">
        <f t="shared" si="71"/>
        <v>12</v>
      </c>
      <c r="Q474" s="1">
        <f t="shared" si="71"/>
        <v>0</v>
      </c>
      <c r="R474" s="1">
        <f t="shared" si="68"/>
        <v>0</v>
      </c>
      <c r="S474" s="34">
        <f t="shared" si="68"/>
        <v>25</v>
      </c>
      <c r="T474" s="1" t="str">
        <f t="shared" si="72"/>
        <v>caught</v>
      </c>
      <c r="U474" s="1" t="str">
        <f t="shared" si="73"/>
        <v>2</v>
      </c>
      <c r="V474" s="1" t="str">
        <f t="shared" si="74"/>
        <v xml:space="preserve"> Australia</v>
      </c>
      <c r="W474" s="1" t="str">
        <f t="shared" si="75"/>
        <v>Brisbane</v>
      </c>
      <c r="X474" s="1" t="str">
        <f t="shared" si="76"/>
        <v>Yes</v>
      </c>
      <c r="Y474" s="1"/>
    </row>
    <row r="475" spans="1:25" ht="14.25" customHeight="1">
      <c r="A475" s="1"/>
      <c r="B475" s="1">
        <v>458</v>
      </c>
      <c r="C475" s="1" t="s">
        <v>129</v>
      </c>
      <c r="D475" s="1" t="s">
        <v>304</v>
      </c>
      <c r="E475" s="1" t="s">
        <v>148</v>
      </c>
      <c r="F475" s="1" t="s">
        <v>131</v>
      </c>
      <c r="G475" s="1" t="s">
        <v>800</v>
      </c>
      <c r="H475" s="1" t="s">
        <v>29</v>
      </c>
      <c r="I475" s="1" t="s">
        <v>151</v>
      </c>
      <c r="J475" s="1" t="s">
        <v>133</v>
      </c>
      <c r="K475" s="1" t="s">
        <v>91</v>
      </c>
      <c r="L475" s="1"/>
      <c r="M475" s="1"/>
      <c r="N475" s="1" t="str">
        <f t="shared" si="69"/>
        <v>No</v>
      </c>
      <c r="O475" s="1">
        <f t="shared" si="70"/>
        <v>39</v>
      </c>
      <c r="P475" s="1">
        <f t="shared" si="71"/>
        <v>23</v>
      </c>
      <c r="Q475" s="1">
        <f t="shared" si="71"/>
        <v>3</v>
      </c>
      <c r="R475" s="1">
        <f t="shared" si="68"/>
        <v>0</v>
      </c>
      <c r="S475" s="34">
        <f t="shared" si="68"/>
        <v>95.65</v>
      </c>
      <c r="T475" s="1" t="str">
        <f t="shared" si="72"/>
        <v>bowled</v>
      </c>
      <c r="U475" s="1" t="str">
        <f t="shared" si="73"/>
        <v>2</v>
      </c>
      <c r="V475" s="1" t="str">
        <f t="shared" si="74"/>
        <v xml:space="preserve"> Sri Lanka</v>
      </c>
      <c r="W475" s="1" t="str">
        <f t="shared" si="75"/>
        <v>Brisbane</v>
      </c>
      <c r="X475" s="1" t="str">
        <f t="shared" si="76"/>
        <v>Yes</v>
      </c>
      <c r="Y475" s="1"/>
    </row>
    <row r="476" spans="1:25" ht="14.25" customHeight="1">
      <c r="A476" s="1"/>
      <c r="B476" s="1">
        <v>459</v>
      </c>
      <c r="C476" s="1" t="s">
        <v>205</v>
      </c>
      <c r="D476" s="1" t="s">
        <v>283</v>
      </c>
      <c r="E476" s="1" t="s">
        <v>151</v>
      </c>
      <c r="F476" s="1" t="s">
        <v>131</v>
      </c>
      <c r="G476" s="1" t="s">
        <v>491</v>
      </c>
      <c r="H476" s="1" t="s">
        <v>26</v>
      </c>
      <c r="I476" s="1" t="s">
        <v>151</v>
      </c>
      <c r="J476" s="1" t="s">
        <v>158</v>
      </c>
      <c r="K476" s="1" t="s">
        <v>92</v>
      </c>
      <c r="L476" s="1"/>
      <c r="M476" s="1"/>
      <c r="N476" s="1" t="str">
        <f t="shared" si="69"/>
        <v>No</v>
      </c>
      <c r="O476" s="1">
        <f t="shared" si="70"/>
        <v>6</v>
      </c>
      <c r="P476" s="1">
        <f t="shared" si="71"/>
        <v>15</v>
      </c>
      <c r="Q476" s="1">
        <f t="shared" si="71"/>
        <v>2</v>
      </c>
      <c r="R476" s="1">
        <f t="shared" si="68"/>
        <v>0</v>
      </c>
      <c r="S476" s="34">
        <f t="shared" si="68"/>
        <v>93.33</v>
      </c>
      <c r="T476" s="1" t="str">
        <f t="shared" si="72"/>
        <v>run out</v>
      </c>
      <c r="U476" s="1" t="str">
        <f t="shared" si="73"/>
        <v>2</v>
      </c>
      <c r="V476" s="1" t="str">
        <f t="shared" si="74"/>
        <v xml:space="preserve"> Australia</v>
      </c>
      <c r="W476" s="1" t="str">
        <f t="shared" si="75"/>
        <v>Sydney</v>
      </c>
      <c r="X476" s="1" t="str">
        <f t="shared" si="76"/>
        <v>Yes</v>
      </c>
      <c r="Y476" s="1"/>
    </row>
    <row r="477" spans="1:25" ht="14.25" customHeight="1">
      <c r="A477" s="1"/>
      <c r="B477" s="1">
        <v>460</v>
      </c>
      <c r="C477" s="1" t="s">
        <v>436</v>
      </c>
      <c r="D477" s="1" t="s">
        <v>164</v>
      </c>
      <c r="E477" s="1" t="s">
        <v>202</v>
      </c>
      <c r="F477" s="1" t="s">
        <v>131</v>
      </c>
      <c r="G477" s="1" t="s">
        <v>770</v>
      </c>
      <c r="H477" s="1" t="s">
        <v>19</v>
      </c>
      <c r="I477" s="1" t="s">
        <v>151</v>
      </c>
      <c r="J477" s="1" t="s">
        <v>133</v>
      </c>
      <c r="K477" s="1" t="s">
        <v>93</v>
      </c>
      <c r="L477" s="1"/>
      <c r="M477" s="1"/>
      <c r="N477" s="1" t="str">
        <f t="shared" si="69"/>
        <v>No</v>
      </c>
      <c r="O477" s="1">
        <f t="shared" si="70"/>
        <v>114</v>
      </c>
      <c r="P477" s="1">
        <f t="shared" si="71"/>
        <v>30</v>
      </c>
      <c r="Q477" s="1">
        <f t="shared" si="71"/>
        <v>5</v>
      </c>
      <c r="R477" s="1">
        <f t="shared" si="68"/>
        <v>0</v>
      </c>
      <c r="S477" s="34">
        <f t="shared" si="68"/>
        <v>130</v>
      </c>
      <c r="T477" s="1" t="str">
        <f t="shared" si="72"/>
        <v>lbw</v>
      </c>
      <c r="U477" s="1" t="str">
        <f t="shared" si="73"/>
        <v>2</v>
      </c>
      <c r="V477" s="1" t="str">
        <f t="shared" si="74"/>
        <v xml:space="preserve"> Sri Lanka</v>
      </c>
      <c r="W477" s="1" t="str">
        <f t="shared" si="75"/>
        <v>Hobart</v>
      </c>
      <c r="X477" s="1" t="str">
        <f t="shared" si="76"/>
        <v>Yes</v>
      </c>
      <c r="Y477" s="1"/>
    </row>
    <row r="478" spans="1:25" ht="14.25" customHeight="1">
      <c r="A478" s="1"/>
      <c r="B478" s="1">
        <v>461</v>
      </c>
      <c r="C478" s="1" t="s">
        <v>136</v>
      </c>
      <c r="D478" s="1" t="s">
        <v>170</v>
      </c>
      <c r="E478" s="1" t="s">
        <v>130</v>
      </c>
      <c r="F478" s="1" t="s">
        <v>131</v>
      </c>
      <c r="G478" s="1" t="s">
        <v>596</v>
      </c>
      <c r="H478" s="1" t="s">
        <v>24</v>
      </c>
      <c r="I478" s="1" t="s">
        <v>130</v>
      </c>
      <c r="J478" s="1" t="s">
        <v>133</v>
      </c>
      <c r="K478" s="1" t="s">
        <v>53</v>
      </c>
      <c r="L478" s="1"/>
      <c r="M478" s="1"/>
      <c r="N478" s="1" t="str">
        <f t="shared" si="69"/>
        <v>No</v>
      </c>
      <c r="O478" s="1">
        <f t="shared" si="70"/>
        <v>52</v>
      </c>
      <c r="P478" s="1">
        <f t="shared" si="71"/>
        <v>19</v>
      </c>
      <c r="Q478" s="1">
        <f t="shared" si="71"/>
        <v>1</v>
      </c>
      <c r="R478" s="1">
        <f t="shared" si="68"/>
        <v>0</v>
      </c>
      <c r="S478" s="34">
        <f t="shared" si="68"/>
        <v>31.57</v>
      </c>
      <c r="T478" s="1" t="str">
        <f t="shared" si="72"/>
        <v>caught</v>
      </c>
      <c r="U478" s="1" t="str">
        <f t="shared" si="73"/>
        <v>1</v>
      </c>
      <c r="V478" s="1" t="str">
        <f t="shared" si="74"/>
        <v xml:space="preserve"> Sri Lanka</v>
      </c>
      <c r="W478" s="1" t="str">
        <f t="shared" si="75"/>
        <v>Mirpur</v>
      </c>
      <c r="X478" s="1" t="str">
        <f t="shared" si="76"/>
        <v>Yes</v>
      </c>
      <c r="Y478" s="1"/>
    </row>
    <row r="479" spans="1:25" ht="14.25" customHeight="1">
      <c r="A479" s="1"/>
      <c r="B479" s="1">
        <v>462</v>
      </c>
      <c r="C479" s="1" t="s">
        <v>175</v>
      </c>
      <c r="D479" s="1" t="s">
        <v>885</v>
      </c>
      <c r="E479" s="1" t="s">
        <v>128</v>
      </c>
      <c r="F479" s="1" t="s">
        <v>130</v>
      </c>
      <c r="G479" s="1" t="s">
        <v>1200</v>
      </c>
      <c r="H479" s="1" t="s">
        <v>24</v>
      </c>
      <c r="I479" s="1" t="s">
        <v>130</v>
      </c>
      <c r="J479" s="1" t="s">
        <v>182</v>
      </c>
      <c r="K479" s="1" t="s">
        <v>53</v>
      </c>
      <c r="L479" s="1"/>
      <c r="M479" s="1"/>
      <c r="N479" s="1" t="str">
        <f t="shared" si="69"/>
        <v>No</v>
      </c>
      <c r="O479" s="1">
        <f>IF(N479="Yes", "NA",SUBSTITUTE(C479,"*","")*1)</f>
        <v>114</v>
      </c>
      <c r="P479" s="1">
        <f t="shared" si="71"/>
        <v>147</v>
      </c>
      <c r="Q479" s="1">
        <f t="shared" si="71"/>
        <v>12</v>
      </c>
      <c r="R479" s="1">
        <f t="shared" si="68"/>
        <v>1</v>
      </c>
      <c r="S479" s="34">
        <f t="shared" si="68"/>
        <v>77.55</v>
      </c>
      <c r="T479" s="1" t="str">
        <f t="shared" si="72"/>
        <v>caught</v>
      </c>
      <c r="U479" s="1" t="str">
        <f t="shared" si="73"/>
        <v>1</v>
      </c>
      <c r="V479" s="1" t="str">
        <f t="shared" si="74"/>
        <v xml:space="preserve"> Bangladesh</v>
      </c>
      <c r="W479" s="1" t="str">
        <f t="shared" si="75"/>
        <v>Mirpur</v>
      </c>
      <c r="X479" s="1" t="str">
        <f t="shared" si="76"/>
        <v>Yes</v>
      </c>
      <c r="Y479" s="1"/>
    </row>
    <row r="480" spans="1:25" ht="14.25" customHeight="1">
      <c r="A480" s="1"/>
      <c r="B480" s="1">
        <v>463</v>
      </c>
      <c r="C480" s="1" t="s">
        <v>327</v>
      </c>
      <c r="D480" s="1" t="s">
        <v>355</v>
      </c>
      <c r="E480" s="1" t="s">
        <v>202</v>
      </c>
      <c r="F480" s="1" t="s">
        <v>130</v>
      </c>
      <c r="G480" s="1" t="s">
        <v>1201</v>
      </c>
      <c r="H480" s="1" t="s">
        <v>24</v>
      </c>
      <c r="I480" s="1" t="s">
        <v>151</v>
      </c>
      <c r="J480" s="1" t="s">
        <v>156</v>
      </c>
      <c r="K480" s="1" t="s">
        <v>53</v>
      </c>
      <c r="L480" s="1"/>
      <c r="M480" s="1"/>
      <c r="N480" s="1" t="str">
        <f t="shared" si="69"/>
        <v>No</v>
      </c>
      <c r="O480" s="1">
        <f>IF(N480="Yes", "NA",SUBSTITUTE(C480,"*","")*1)</f>
        <v>52</v>
      </c>
      <c r="P480" s="1">
        <f t="shared" si="71"/>
        <v>48</v>
      </c>
      <c r="Q480" s="1">
        <f t="shared" si="71"/>
        <v>5</v>
      </c>
      <c r="R480" s="1">
        <f t="shared" si="68"/>
        <v>1</v>
      </c>
      <c r="S480" s="34">
        <f t="shared" si="68"/>
        <v>108.33</v>
      </c>
      <c r="T480" s="1" t="str">
        <f t="shared" si="72"/>
        <v>caught</v>
      </c>
      <c r="U480" s="1" t="str">
        <f t="shared" si="73"/>
        <v>2</v>
      </c>
      <c r="V480" s="1" t="str">
        <f t="shared" si="74"/>
        <v xml:space="preserve"> Pakistan</v>
      </c>
      <c r="W480" s="1" t="str">
        <f t="shared" si="75"/>
        <v>Mirpur</v>
      </c>
      <c r="X480" s="1" t="str">
        <f t="shared" si="76"/>
        <v>Yes</v>
      </c>
      <c r="Y480" s="1"/>
    </row>
    <row r="481" spans="1:25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</sheetData>
  <autoFilter ref="N17:X17" xr:uid="{00000000-0001-0000-0400-000000000000}"/>
  <mergeCells count="5">
    <mergeCell ref="B1:B3"/>
    <mergeCell ref="D2:G2"/>
    <mergeCell ref="B15:K15"/>
    <mergeCell ref="N15:X15"/>
    <mergeCell ref="Q2:V2"/>
  </mergeCells>
  <pageMargins left="0.7" right="0.7" top="0.75" bottom="0.75" header="0" footer="0"/>
  <pageSetup orientation="landscape"/>
  <ignoredErrors>
    <ignoredError sqref="V18:V480" formula="1"/>
  </ignoredError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7"/>
  <sheetViews>
    <sheetView showGridLines="0" workbookViewId="0">
      <selection activeCell="M11" sqref="M11"/>
    </sheetView>
  </sheetViews>
  <sheetFormatPr defaultColWidth="14.44140625" defaultRowHeight="15" customHeight="1"/>
  <cols>
    <col min="1" max="1" width="4" customWidth="1"/>
    <col min="2" max="2" width="14.88671875" customWidth="1"/>
    <col min="3" max="3" width="8.6640625" customWidth="1"/>
    <col min="4" max="4" width="12.5546875" customWidth="1"/>
    <col min="5" max="8" width="8.6640625" customWidth="1"/>
    <col min="9" max="9" width="9.33203125" customWidth="1"/>
    <col min="10" max="10" width="14.33203125" customWidth="1"/>
    <col min="11" max="11" width="20.33203125" customWidth="1"/>
    <col min="12" max="12" width="1.88671875" customWidth="1"/>
    <col min="13" max="13" width="8.6640625" customWidth="1"/>
    <col min="14" max="14" width="25.5546875" customWidth="1"/>
    <col min="15" max="15" width="10.33203125" customWidth="1"/>
    <col min="16" max="16" width="12.44140625" customWidth="1"/>
    <col min="17" max="18" width="8.6640625" customWidth="1"/>
    <col min="19" max="19" width="8.88671875" customWidth="1"/>
    <col min="20" max="20" width="13.109375" customWidth="1"/>
    <col min="21" max="21" width="12.6640625" customWidth="1"/>
    <col min="22" max="22" width="13.44140625" customWidth="1"/>
    <col min="23" max="23" width="12.77734375" customWidth="1"/>
    <col min="24" max="25" width="8.6640625" customWidth="1"/>
  </cols>
  <sheetData>
    <row r="1" spans="1:25" ht="14.25" customHeight="1">
      <c r="A1" s="1"/>
      <c r="B1" s="4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1328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1"/>
      <c r="B2" s="45"/>
      <c r="C2" s="1" t="s">
        <v>0</v>
      </c>
      <c r="D2" s="46" t="s">
        <v>790</v>
      </c>
      <c r="E2" s="47"/>
      <c r="F2" s="47"/>
      <c r="G2" s="48"/>
      <c r="H2" s="1"/>
      <c r="K2" s="1"/>
      <c r="L2" s="1"/>
      <c r="M2" s="1"/>
      <c r="N2" s="25" t="s">
        <v>18</v>
      </c>
      <c r="O2" s="24" t="s">
        <v>1325</v>
      </c>
      <c r="P2" s="1"/>
      <c r="Q2" s="49" t="s">
        <v>1331</v>
      </c>
      <c r="R2" s="49"/>
      <c r="S2" s="49"/>
      <c r="T2" s="49"/>
      <c r="U2" s="49"/>
      <c r="V2" s="49"/>
      <c r="W2" s="1"/>
      <c r="X2" s="1"/>
      <c r="Y2" s="1"/>
    </row>
    <row r="3" spans="1:25" ht="14.25" customHeight="1">
      <c r="A3" s="1"/>
      <c r="B3" s="45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2" t="s">
        <v>23</v>
      </c>
      <c r="O3" s="10">
        <f>COUNT(B18:B367)</f>
        <v>273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1"/>
      <c r="B4" s="4" t="s">
        <v>2</v>
      </c>
      <c r="C4" s="5">
        <f>SUM(O19:O291)/ COUNTIF(X19:X291,"Yes")</f>
        <v>48.973913043478262</v>
      </c>
      <c r="D4" s="5">
        <f>AVERAGE(P19:P291)</f>
        <v>45.411320754716982</v>
      </c>
      <c r="E4" s="5">
        <f t="shared" ref="E4:F4" si="0">AVERAGE(Q19:Q291)</f>
        <v>3.9433962264150941</v>
      </c>
      <c r="F4" s="5">
        <f t="shared" si="0"/>
        <v>1.2981132075471697</v>
      </c>
      <c r="G4" s="21">
        <f>SUM(O19:O291)/SUM(P19:P291)</f>
        <v>0.93601462522851919</v>
      </c>
      <c r="H4" s="6"/>
      <c r="I4" s="6"/>
      <c r="J4" s="6"/>
      <c r="K4" s="7"/>
      <c r="L4" s="3"/>
      <c r="M4" s="1"/>
      <c r="N4" s="2" t="s">
        <v>25</v>
      </c>
      <c r="O4" s="10">
        <f>MAX(O18:O367)</f>
        <v>264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4.25" customHeight="1">
      <c r="A5" s="1"/>
      <c r="B5" s="8" t="s">
        <v>3</v>
      </c>
      <c r="C5" s="9">
        <f>MEDIAN(O19:O368)</f>
        <v>25.5</v>
      </c>
      <c r="D5" s="9">
        <f t="shared" ref="D5:G5" si="1">MEDIAN(P19:P368)</f>
        <v>29</v>
      </c>
      <c r="E5" s="9">
        <f t="shared" si="1"/>
        <v>2</v>
      </c>
      <c r="F5" s="9">
        <f t="shared" si="1"/>
        <v>0</v>
      </c>
      <c r="G5" s="9">
        <f t="shared" si="1"/>
        <v>80</v>
      </c>
      <c r="H5" s="10"/>
      <c r="I5" s="10"/>
      <c r="J5" s="10"/>
      <c r="K5" s="11"/>
      <c r="L5" s="3"/>
      <c r="M5" s="3"/>
      <c r="N5" s="2" t="s">
        <v>28</v>
      </c>
      <c r="O5" s="10">
        <f>COUNTIF(O18:O367,0)</f>
        <v>18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4.25" customHeight="1">
      <c r="A6" s="1"/>
      <c r="B6" s="8" t="s">
        <v>4</v>
      </c>
      <c r="C6" s="9"/>
      <c r="D6" s="9"/>
      <c r="E6" s="9"/>
      <c r="F6" s="9"/>
      <c r="G6" s="9"/>
      <c r="H6" s="10"/>
      <c r="I6" s="10"/>
      <c r="J6" s="10"/>
      <c r="K6" s="20"/>
      <c r="L6" s="1"/>
      <c r="M6" s="1"/>
      <c r="N6" s="2" t="s">
        <v>30</v>
      </c>
      <c r="O6" s="10">
        <f>COUNTIF(O18:O367, "&gt;=100")</f>
        <v>32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>
      <c r="A7" s="1"/>
      <c r="B7" s="8" t="s">
        <v>5</v>
      </c>
      <c r="C7" s="9">
        <f>_xlfn.STDEV.S(O19:O291)</f>
        <v>44.863153787268509</v>
      </c>
      <c r="D7" s="9">
        <f t="shared" ref="D7:G7" si="2">_xlfn.STDEV.S(P19:P291)</f>
        <v>39.732541717779142</v>
      </c>
      <c r="E7" s="9">
        <f t="shared" si="2"/>
        <v>4.5743648935705998</v>
      </c>
      <c r="F7" s="9">
        <f t="shared" si="2"/>
        <v>2.1010901360633674</v>
      </c>
      <c r="G7" s="9">
        <f t="shared" si="2"/>
        <v>39.845099991580526</v>
      </c>
      <c r="H7" s="10"/>
      <c r="I7" s="10"/>
      <c r="J7" s="10"/>
      <c r="K7" s="11"/>
      <c r="L7" s="1"/>
      <c r="M7" s="1"/>
      <c r="N7" s="2" t="s">
        <v>31</v>
      </c>
      <c r="O7" s="10">
        <f>COUNTIFS(O18:O367, "&gt;=50", O18:O367, "&lt;=100")</f>
        <v>59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1"/>
      <c r="B8" s="8" t="s">
        <v>6</v>
      </c>
      <c r="C8" s="9">
        <f>SKEW(O19:O291)</f>
        <v>1.579152291076702</v>
      </c>
      <c r="D8" s="9">
        <f t="shared" ref="D8:G8" si="3">SKEW(P19:P291)</f>
        <v>1.0589164359243071</v>
      </c>
      <c r="E8" s="9">
        <f t="shared" si="3"/>
        <v>2.0471942337084172</v>
      </c>
      <c r="F8" s="9">
        <f t="shared" si="3"/>
        <v>2.7362285069164529</v>
      </c>
      <c r="G8" s="9">
        <f t="shared" si="3"/>
        <v>9.2020259956129266E-2</v>
      </c>
      <c r="H8" s="9"/>
      <c r="I8" s="10"/>
      <c r="J8" s="10"/>
      <c r="K8" s="11"/>
      <c r="L8" s="1"/>
      <c r="M8" s="1"/>
      <c r="N8" s="2" t="s">
        <v>34</v>
      </c>
      <c r="O8" s="10">
        <f>SUM(Q18:Q367)*4+SUM(R18:R367)*6</f>
        <v>6244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4.25" customHeight="1">
      <c r="A9" s="1"/>
      <c r="B9" s="12" t="s">
        <v>7</v>
      </c>
      <c r="C9" s="13">
        <f>KURT(O19:O291)</f>
        <v>2.9558107331823122</v>
      </c>
      <c r="D9" s="13">
        <f t="shared" ref="D9:G9" si="4">KURT(P19:P291)</f>
        <v>0.27397292897777703</v>
      </c>
      <c r="E9" s="13">
        <f t="shared" si="4"/>
        <v>6.5972314534929044</v>
      </c>
      <c r="F9" s="13">
        <f t="shared" si="4"/>
        <v>11.540049292536425</v>
      </c>
      <c r="G9" s="13">
        <f t="shared" si="4"/>
        <v>0.1006541437701074</v>
      </c>
      <c r="H9" s="14"/>
      <c r="I9" s="14"/>
      <c r="J9" s="14"/>
      <c r="K9" s="15"/>
      <c r="L9" s="1"/>
      <c r="M9" s="1"/>
      <c r="N9" s="2" t="s">
        <v>37</v>
      </c>
      <c r="O9" s="18">
        <f>O8/SUM(O18:O367)</f>
        <v>0.55433238636363635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 t="s">
        <v>41</v>
      </c>
      <c r="O10" s="18">
        <f>C7/C4</f>
        <v>0.916062266607933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 t="s">
        <v>47</v>
      </c>
      <c r="O12" s="18">
        <f>COUNTIF(T18:T367, "run out")/COUNTIF(X18:X367, "Yes")</f>
        <v>5.6521739130434782E-2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 t="s">
        <v>49</v>
      </c>
      <c r="O13" s="10">
        <f>SUMIFS(R19:R291,V19:V291, "*Sri Lanka")</f>
        <v>58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4.25" customHeight="1">
      <c r="A16" s="1"/>
      <c r="B16" s="49" t="s">
        <v>125</v>
      </c>
      <c r="C16" s="49"/>
      <c r="D16" s="49"/>
      <c r="E16" s="49"/>
      <c r="F16" s="49"/>
      <c r="G16" s="49"/>
      <c r="H16" s="49"/>
      <c r="I16" s="49"/>
      <c r="J16" s="49"/>
      <c r="K16" s="49"/>
      <c r="L16" s="1"/>
      <c r="M16" s="1"/>
      <c r="N16" s="49" t="s">
        <v>126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1"/>
    </row>
    <row r="17" spans="1:25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>
      <c r="A18" s="1"/>
      <c r="B18" s="16" t="s">
        <v>127</v>
      </c>
      <c r="C18" s="16" t="s">
        <v>9</v>
      </c>
      <c r="D18" s="16" t="s">
        <v>10</v>
      </c>
      <c r="E18" s="16" t="s">
        <v>11</v>
      </c>
      <c r="F18" s="16" t="s">
        <v>12</v>
      </c>
      <c r="G18" s="16" t="s">
        <v>13</v>
      </c>
      <c r="H18" s="16" t="s">
        <v>14</v>
      </c>
      <c r="I18" s="16" t="s">
        <v>529</v>
      </c>
      <c r="J18" s="16" t="s">
        <v>15</v>
      </c>
      <c r="K18" s="16" t="s">
        <v>16</v>
      </c>
      <c r="L18" s="19"/>
      <c r="M18" s="1"/>
      <c r="N18" s="23" t="s">
        <v>57</v>
      </c>
      <c r="O18" s="23" t="s">
        <v>9</v>
      </c>
      <c r="P18" s="23" t="s">
        <v>10</v>
      </c>
      <c r="Q18" s="23" t="s">
        <v>11</v>
      </c>
      <c r="R18" s="16" t="s">
        <v>12</v>
      </c>
      <c r="S18" s="16" t="s">
        <v>13</v>
      </c>
      <c r="T18" s="16" t="s">
        <v>14</v>
      </c>
      <c r="U18" s="16" t="s">
        <v>529</v>
      </c>
      <c r="V18" s="16" t="s">
        <v>15</v>
      </c>
      <c r="W18" s="16" t="s">
        <v>16</v>
      </c>
      <c r="X18" s="28" t="s">
        <v>17</v>
      </c>
      <c r="Y18" s="1"/>
    </row>
    <row r="19" spans="1:25" ht="14.25" customHeight="1">
      <c r="A19" s="1"/>
      <c r="B19" s="1">
        <v>1</v>
      </c>
      <c r="C19" s="1" t="s">
        <v>57</v>
      </c>
      <c r="D19" s="1" t="s">
        <v>157</v>
      </c>
      <c r="E19" s="1" t="s">
        <v>157</v>
      </c>
      <c r="F19" s="1" t="s">
        <v>157</v>
      </c>
      <c r="G19" s="1" t="s">
        <v>157</v>
      </c>
      <c r="H19" s="1" t="s">
        <v>157</v>
      </c>
      <c r="I19" s="1" t="s">
        <v>151</v>
      </c>
      <c r="J19" s="1" t="s">
        <v>237</v>
      </c>
      <c r="K19" s="1" t="s">
        <v>606</v>
      </c>
      <c r="L19" s="1"/>
      <c r="M19" s="1"/>
      <c r="N19" s="1" t="str">
        <f t="shared" ref="N19:N82" si="5">IF(OR(C19="DNB",C19="TDNB"),"Yes","No")</f>
        <v>Yes</v>
      </c>
      <c r="O19" s="1">
        <f t="shared" ref="O19:O82" si="6">IF(N21="Yes", "NA",SUBSTITUTE(C21,"*","")*1)</f>
        <v>1</v>
      </c>
      <c r="P19" s="1" t="str">
        <f>IF(D19="-","NA",D19*1)</f>
        <v>NA</v>
      </c>
      <c r="Q19" s="1" t="str">
        <f t="shared" ref="Q19:S34" si="7">IF(E19="-","NA",E19*1)</f>
        <v>NA</v>
      </c>
      <c r="R19" s="1" t="str">
        <f t="shared" si="7"/>
        <v>NA</v>
      </c>
      <c r="S19" s="34" t="str">
        <f t="shared" si="7"/>
        <v>NA</v>
      </c>
      <c r="T19" s="1" t="str">
        <f>IF(H19="-","NA",H19)</f>
        <v>NA</v>
      </c>
      <c r="U19" s="1" t="str">
        <f>I19</f>
        <v>2</v>
      </c>
      <c r="V19" s="1" t="str">
        <f>SUBSTITUTE(J19,"v","")</f>
        <v xml:space="preserve"> Ireland</v>
      </c>
      <c r="W19" s="1" t="str">
        <f>K19</f>
        <v>Belfast</v>
      </c>
      <c r="X19" s="1" t="str">
        <f>IF(N19="Yes","No",IF(T19="not out","No","Yes"))</f>
        <v>No</v>
      </c>
      <c r="Y19" s="1"/>
    </row>
    <row r="20" spans="1:25" ht="14.25" customHeight="1">
      <c r="A20" s="1"/>
      <c r="B20" s="1">
        <v>2</v>
      </c>
      <c r="C20" s="1" t="s">
        <v>189</v>
      </c>
      <c r="D20" s="1" t="s">
        <v>161</v>
      </c>
      <c r="E20" s="1" t="s">
        <v>131</v>
      </c>
      <c r="F20" s="1" t="s">
        <v>131</v>
      </c>
      <c r="G20" s="1" t="s">
        <v>511</v>
      </c>
      <c r="H20" s="1" t="s">
        <v>29</v>
      </c>
      <c r="I20" s="1" t="s">
        <v>130</v>
      </c>
      <c r="J20" s="1" t="s">
        <v>191</v>
      </c>
      <c r="K20" s="1" t="s">
        <v>606</v>
      </c>
      <c r="L20" s="1"/>
      <c r="M20" s="1"/>
      <c r="N20" s="1" t="str">
        <f t="shared" si="5"/>
        <v>No</v>
      </c>
      <c r="O20" s="1">
        <f t="shared" si="6"/>
        <v>52</v>
      </c>
      <c r="P20" s="1">
        <f t="shared" ref="P20:P83" si="8">IF(D20="-","NA",D20*1)</f>
        <v>9</v>
      </c>
      <c r="Q20" s="1">
        <f t="shared" si="7"/>
        <v>0</v>
      </c>
      <c r="R20" s="1">
        <f t="shared" si="7"/>
        <v>0</v>
      </c>
      <c r="S20" s="29">
        <f t="shared" si="7"/>
        <v>88.88</v>
      </c>
      <c r="T20" s="1" t="str">
        <f t="shared" ref="T20:T83" si="9">IF(H20="-","NA",H20)</f>
        <v>bowled</v>
      </c>
      <c r="U20" s="1" t="str">
        <f t="shared" ref="U20:U83" si="10">I20</f>
        <v>1</v>
      </c>
      <c r="V20" s="1" t="str">
        <f t="shared" ref="V20:V83" si="11">SUBSTITUTE(J20,"v","")</f>
        <v xml:space="preserve"> South Africa</v>
      </c>
      <c r="W20" s="1" t="str">
        <f t="shared" ref="W20:W83" si="12">K20</f>
        <v>Belfast</v>
      </c>
      <c r="X20" s="1" t="str">
        <f t="shared" ref="X20:X83" si="13">IF(N20="Yes","No",IF(T20="not out","No","Yes"))</f>
        <v>Yes</v>
      </c>
      <c r="Y20" s="1"/>
    </row>
    <row r="21" spans="1:25" ht="14.25" customHeight="1">
      <c r="A21" s="1"/>
      <c r="B21" s="1">
        <v>3</v>
      </c>
      <c r="C21" s="1" t="s">
        <v>130</v>
      </c>
      <c r="D21" s="1" t="s">
        <v>140</v>
      </c>
      <c r="E21" s="1" t="s">
        <v>131</v>
      </c>
      <c r="F21" s="1" t="s">
        <v>131</v>
      </c>
      <c r="G21" s="1" t="s">
        <v>190</v>
      </c>
      <c r="H21" s="1" t="s">
        <v>24</v>
      </c>
      <c r="I21" s="1" t="s">
        <v>151</v>
      </c>
      <c r="J21" s="1" t="s">
        <v>158</v>
      </c>
      <c r="K21" s="1" t="s">
        <v>85</v>
      </c>
      <c r="L21" s="1"/>
      <c r="M21" s="1"/>
      <c r="N21" s="1" t="str">
        <f t="shared" si="5"/>
        <v>No</v>
      </c>
      <c r="O21" s="1">
        <f t="shared" si="6"/>
        <v>29</v>
      </c>
      <c r="P21" s="1">
        <f t="shared" si="8"/>
        <v>4</v>
      </c>
      <c r="Q21" s="1">
        <f t="shared" si="7"/>
        <v>0</v>
      </c>
      <c r="R21" s="1">
        <f t="shared" si="7"/>
        <v>0</v>
      </c>
      <c r="S21" s="29">
        <f t="shared" si="7"/>
        <v>25</v>
      </c>
      <c r="T21" s="1" t="str">
        <f t="shared" si="9"/>
        <v>caught</v>
      </c>
      <c r="U21" s="1" t="str">
        <f t="shared" si="10"/>
        <v>2</v>
      </c>
      <c r="V21" s="1" t="str">
        <f t="shared" si="11"/>
        <v xml:space="preserve"> Australia</v>
      </c>
      <c r="W21" s="1" t="str">
        <f t="shared" si="12"/>
        <v>Hyderabad</v>
      </c>
      <c r="X21" s="1" t="str">
        <f t="shared" si="13"/>
        <v>Yes</v>
      </c>
      <c r="Y21" s="1"/>
    </row>
    <row r="22" spans="1:25" ht="14.25" customHeight="1">
      <c r="A22" s="1"/>
      <c r="B22" s="1">
        <v>4</v>
      </c>
      <c r="C22" s="1" t="s">
        <v>327</v>
      </c>
      <c r="D22" s="1" t="s">
        <v>334</v>
      </c>
      <c r="E22" s="1" t="s">
        <v>148</v>
      </c>
      <c r="F22" s="1" t="s">
        <v>130</v>
      </c>
      <c r="G22" s="1" t="s">
        <v>791</v>
      </c>
      <c r="H22" s="1" t="s">
        <v>24</v>
      </c>
      <c r="I22" s="1" t="s">
        <v>151</v>
      </c>
      <c r="J22" s="1" t="s">
        <v>156</v>
      </c>
      <c r="K22" s="1" t="s">
        <v>56</v>
      </c>
      <c r="L22" s="1"/>
      <c r="M22" s="1"/>
      <c r="N22" s="1" t="str">
        <f t="shared" si="5"/>
        <v>No</v>
      </c>
      <c r="O22" s="1">
        <f t="shared" si="6"/>
        <v>0</v>
      </c>
      <c r="P22" s="1">
        <f t="shared" si="8"/>
        <v>61</v>
      </c>
      <c r="Q22" s="1">
        <f t="shared" si="7"/>
        <v>3</v>
      </c>
      <c r="R22" s="1">
        <f t="shared" si="7"/>
        <v>1</v>
      </c>
      <c r="S22" s="29">
        <f t="shared" si="7"/>
        <v>85.24</v>
      </c>
      <c r="T22" s="1" t="str">
        <f t="shared" si="9"/>
        <v>caught</v>
      </c>
      <c r="U22" s="1" t="str">
        <f t="shared" si="10"/>
        <v>2</v>
      </c>
      <c r="V22" s="1" t="str">
        <f t="shared" si="11"/>
        <v xml:space="preserve"> Pakistan</v>
      </c>
      <c r="W22" s="1" t="str">
        <f t="shared" si="12"/>
        <v>Jaipur</v>
      </c>
      <c r="X22" s="1" t="str">
        <f t="shared" si="13"/>
        <v>Yes</v>
      </c>
      <c r="Y22" s="1"/>
    </row>
    <row r="23" spans="1:25" ht="14.25" customHeight="1">
      <c r="A23" s="1"/>
      <c r="B23" s="1">
        <v>5</v>
      </c>
      <c r="C23" s="1" t="s">
        <v>200</v>
      </c>
      <c r="D23" s="1" t="s">
        <v>321</v>
      </c>
      <c r="E23" s="1" t="s">
        <v>202</v>
      </c>
      <c r="F23" s="1" t="s">
        <v>131</v>
      </c>
      <c r="G23" s="1" t="s">
        <v>792</v>
      </c>
      <c r="H23" s="1" t="s">
        <v>24</v>
      </c>
      <c r="I23" s="1" t="s">
        <v>130</v>
      </c>
      <c r="J23" s="1" t="s">
        <v>158</v>
      </c>
      <c r="K23" s="1" t="s">
        <v>91</v>
      </c>
      <c r="L23" s="1"/>
      <c r="M23" s="1"/>
      <c r="N23" s="1" t="str">
        <f t="shared" si="5"/>
        <v>No</v>
      </c>
      <c r="O23" s="1">
        <f t="shared" si="6"/>
        <v>39</v>
      </c>
      <c r="P23" s="1">
        <f t="shared" si="8"/>
        <v>43</v>
      </c>
      <c r="Q23" s="1">
        <f t="shared" si="7"/>
        <v>5</v>
      </c>
      <c r="R23" s="1">
        <f t="shared" si="7"/>
        <v>0</v>
      </c>
      <c r="S23" s="29">
        <f t="shared" si="7"/>
        <v>67.44</v>
      </c>
      <c r="T23" s="1" t="str">
        <f t="shared" si="9"/>
        <v>caught</v>
      </c>
      <c r="U23" s="1" t="str">
        <f t="shared" si="10"/>
        <v>1</v>
      </c>
      <c r="V23" s="1" t="str">
        <f t="shared" si="11"/>
        <v xml:space="preserve"> Australia</v>
      </c>
      <c r="W23" s="1" t="str">
        <f t="shared" si="12"/>
        <v>Brisbane</v>
      </c>
      <c r="X23" s="1" t="str">
        <f t="shared" si="13"/>
        <v>Yes</v>
      </c>
      <c r="Y23" s="1"/>
    </row>
    <row r="24" spans="1:25" ht="14.25" customHeight="1">
      <c r="A24" s="1"/>
      <c r="B24" s="1">
        <v>6</v>
      </c>
      <c r="C24" s="1" t="s">
        <v>131</v>
      </c>
      <c r="D24" s="1" t="s">
        <v>151</v>
      </c>
      <c r="E24" s="1" t="s">
        <v>131</v>
      </c>
      <c r="F24" s="1" t="s">
        <v>131</v>
      </c>
      <c r="G24" s="1" t="s">
        <v>210</v>
      </c>
      <c r="H24" s="1" t="s">
        <v>24</v>
      </c>
      <c r="I24" s="1" t="s">
        <v>130</v>
      </c>
      <c r="J24" s="1" t="s">
        <v>133</v>
      </c>
      <c r="K24" s="1" t="s">
        <v>91</v>
      </c>
      <c r="L24" s="1"/>
      <c r="M24" s="1"/>
      <c r="N24" s="1" t="str">
        <f t="shared" si="5"/>
        <v>No</v>
      </c>
      <c r="O24" s="1">
        <f t="shared" si="6"/>
        <v>70</v>
      </c>
      <c r="P24" s="1">
        <f t="shared" si="8"/>
        <v>2</v>
      </c>
      <c r="Q24" s="1">
        <f t="shared" si="7"/>
        <v>0</v>
      </c>
      <c r="R24" s="1">
        <f t="shared" si="7"/>
        <v>0</v>
      </c>
      <c r="S24" s="29">
        <f t="shared" si="7"/>
        <v>0</v>
      </c>
      <c r="T24" s="1" t="str">
        <f t="shared" si="9"/>
        <v>caught</v>
      </c>
      <c r="U24" s="1" t="str">
        <f t="shared" si="10"/>
        <v>1</v>
      </c>
      <c r="V24" s="1" t="str">
        <f t="shared" si="11"/>
        <v xml:space="preserve"> Sri Lanka</v>
      </c>
      <c r="W24" s="1" t="str">
        <f t="shared" si="12"/>
        <v>Brisbane</v>
      </c>
      <c r="X24" s="1" t="str">
        <f t="shared" si="13"/>
        <v>Yes</v>
      </c>
      <c r="Y24" s="1"/>
    </row>
    <row r="25" spans="1:25" ht="14.25" customHeight="1">
      <c r="A25" s="1"/>
      <c r="B25" s="1">
        <v>7</v>
      </c>
      <c r="C25" s="1" t="s">
        <v>793</v>
      </c>
      <c r="D25" s="1" t="s">
        <v>334</v>
      </c>
      <c r="E25" s="1" t="s">
        <v>151</v>
      </c>
      <c r="F25" s="1" t="s">
        <v>131</v>
      </c>
      <c r="G25" s="1" t="s">
        <v>794</v>
      </c>
      <c r="H25" s="1" t="s">
        <v>32</v>
      </c>
      <c r="I25" s="1" t="s">
        <v>151</v>
      </c>
      <c r="J25" s="1" t="s">
        <v>158</v>
      </c>
      <c r="K25" s="1" t="s">
        <v>88</v>
      </c>
      <c r="L25" s="1"/>
      <c r="M25" s="1"/>
      <c r="N25" s="1" t="str">
        <f t="shared" si="5"/>
        <v>No</v>
      </c>
      <c r="O25" s="1">
        <f t="shared" si="6"/>
        <v>1</v>
      </c>
      <c r="P25" s="1">
        <f t="shared" si="8"/>
        <v>61</v>
      </c>
      <c r="Q25" s="1">
        <f t="shared" si="7"/>
        <v>2</v>
      </c>
      <c r="R25" s="1">
        <f t="shared" si="7"/>
        <v>0</v>
      </c>
      <c r="S25" s="29">
        <f t="shared" si="7"/>
        <v>63.93</v>
      </c>
      <c r="T25" s="1" t="str">
        <f t="shared" si="9"/>
        <v>not out</v>
      </c>
      <c r="U25" s="1" t="str">
        <f t="shared" si="10"/>
        <v>2</v>
      </c>
      <c r="V25" s="1" t="str">
        <f t="shared" si="11"/>
        <v xml:space="preserve"> Australia</v>
      </c>
      <c r="W25" s="1" t="str">
        <f t="shared" si="12"/>
        <v>Melbourne</v>
      </c>
      <c r="X25" s="1" t="str">
        <f t="shared" si="13"/>
        <v>No</v>
      </c>
      <c r="Y25" s="1"/>
    </row>
    <row r="26" spans="1:25" ht="14.25" customHeight="1">
      <c r="A26" s="1"/>
      <c r="B26" s="1">
        <v>8</v>
      </c>
      <c r="C26" s="1" t="s">
        <v>795</v>
      </c>
      <c r="D26" s="1" t="s">
        <v>218</v>
      </c>
      <c r="E26" s="1" t="s">
        <v>136</v>
      </c>
      <c r="F26" s="1" t="s">
        <v>130</v>
      </c>
      <c r="G26" s="1" t="s">
        <v>796</v>
      </c>
      <c r="H26" s="1" t="s">
        <v>32</v>
      </c>
      <c r="I26" s="1" t="s">
        <v>130</v>
      </c>
      <c r="J26" s="1" t="s">
        <v>133</v>
      </c>
      <c r="K26" s="1" t="s">
        <v>111</v>
      </c>
      <c r="L26" s="1"/>
      <c r="M26" s="1"/>
      <c r="N26" s="1" t="str">
        <f t="shared" si="5"/>
        <v>No</v>
      </c>
      <c r="O26" s="1">
        <f t="shared" si="6"/>
        <v>24</v>
      </c>
      <c r="P26" s="1">
        <f t="shared" si="8"/>
        <v>64</v>
      </c>
      <c r="Q26" s="1">
        <f t="shared" si="7"/>
        <v>6</v>
      </c>
      <c r="R26" s="1">
        <f t="shared" si="7"/>
        <v>1</v>
      </c>
      <c r="S26" s="29">
        <f t="shared" si="7"/>
        <v>109.37</v>
      </c>
      <c r="T26" s="1" t="str">
        <f t="shared" si="9"/>
        <v>not out</v>
      </c>
      <c r="U26" s="1" t="str">
        <f t="shared" si="10"/>
        <v>1</v>
      </c>
      <c r="V26" s="1" t="str">
        <f t="shared" si="11"/>
        <v xml:space="preserve"> Sri Lanka</v>
      </c>
      <c r="W26" s="1" t="str">
        <f t="shared" si="12"/>
        <v>Canberra</v>
      </c>
      <c r="X26" s="1" t="str">
        <f t="shared" si="13"/>
        <v>No</v>
      </c>
      <c r="Y26" s="1"/>
    </row>
    <row r="27" spans="1:25" ht="14.25" customHeight="1">
      <c r="A27" s="1"/>
      <c r="B27" s="1">
        <v>9</v>
      </c>
      <c r="C27" s="1" t="s">
        <v>130</v>
      </c>
      <c r="D27" s="1" t="s">
        <v>148</v>
      </c>
      <c r="E27" s="1" t="s">
        <v>131</v>
      </c>
      <c r="F27" s="1" t="s">
        <v>131</v>
      </c>
      <c r="G27" s="1" t="s">
        <v>229</v>
      </c>
      <c r="H27" s="1" t="s">
        <v>24</v>
      </c>
      <c r="I27" s="1" t="s">
        <v>151</v>
      </c>
      <c r="J27" s="1" t="s">
        <v>158</v>
      </c>
      <c r="K27" s="1" t="s">
        <v>90</v>
      </c>
      <c r="L27" s="1"/>
      <c r="M27" s="1"/>
      <c r="N27" s="1" t="str">
        <f t="shared" si="5"/>
        <v>No</v>
      </c>
      <c r="O27" s="1">
        <f t="shared" si="6"/>
        <v>1</v>
      </c>
      <c r="P27" s="1">
        <f t="shared" si="8"/>
        <v>3</v>
      </c>
      <c r="Q27" s="1">
        <f t="shared" si="7"/>
        <v>0</v>
      </c>
      <c r="R27" s="1">
        <f t="shared" si="7"/>
        <v>0</v>
      </c>
      <c r="S27" s="29">
        <f t="shared" si="7"/>
        <v>33.33</v>
      </c>
      <c r="T27" s="1" t="str">
        <f t="shared" si="9"/>
        <v>caught</v>
      </c>
      <c r="U27" s="1" t="str">
        <f t="shared" si="10"/>
        <v>2</v>
      </c>
      <c r="V27" s="1" t="str">
        <f t="shared" si="11"/>
        <v xml:space="preserve"> Australia</v>
      </c>
      <c r="W27" s="1" t="str">
        <f t="shared" si="12"/>
        <v>Adelaide</v>
      </c>
      <c r="X27" s="1" t="str">
        <f t="shared" si="13"/>
        <v>Yes</v>
      </c>
      <c r="Y27" s="1"/>
    </row>
    <row r="28" spans="1:25" ht="14.25" customHeight="1">
      <c r="A28" s="1"/>
      <c r="B28" s="1">
        <v>10</v>
      </c>
      <c r="C28" s="1" t="s">
        <v>154</v>
      </c>
      <c r="D28" s="1" t="s">
        <v>258</v>
      </c>
      <c r="E28" s="1" t="s">
        <v>130</v>
      </c>
      <c r="F28" s="1" t="s">
        <v>131</v>
      </c>
      <c r="G28" s="1" t="s">
        <v>155</v>
      </c>
      <c r="H28" s="1" t="s">
        <v>24</v>
      </c>
      <c r="I28" s="1" t="s">
        <v>151</v>
      </c>
      <c r="J28" s="1" t="s">
        <v>133</v>
      </c>
      <c r="K28" s="1" t="s">
        <v>90</v>
      </c>
      <c r="L28" s="1"/>
      <c r="M28" s="1"/>
      <c r="N28" s="1" t="str">
        <f t="shared" si="5"/>
        <v>No</v>
      </c>
      <c r="O28" s="1">
        <f t="shared" si="6"/>
        <v>3</v>
      </c>
      <c r="P28" s="1">
        <f t="shared" si="8"/>
        <v>36</v>
      </c>
      <c r="Q28" s="1">
        <f t="shared" si="7"/>
        <v>1</v>
      </c>
      <c r="R28" s="1">
        <f t="shared" si="7"/>
        <v>0</v>
      </c>
      <c r="S28" s="29">
        <f t="shared" si="7"/>
        <v>66.66</v>
      </c>
      <c r="T28" s="1" t="str">
        <f t="shared" si="9"/>
        <v>caught</v>
      </c>
      <c r="U28" s="1" t="str">
        <f t="shared" si="10"/>
        <v>2</v>
      </c>
      <c r="V28" s="1" t="str">
        <f t="shared" si="11"/>
        <v xml:space="preserve"> Sri Lanka</v>
      </c>
      <c r="W28" s="1" t="str">
        <f t="shared" si="12"/>
        <v>Adelaide</v>
      </c>
      <c r="X28" s="1" t="str">
        <f t="shared" si="13"/>
        <v>Yes</v>
      </c>
      <c r="Y28" s="1"/>
    </row>
    <row r="29" spans="1:25" ht="14.25" customHeight="1">
      <c r="A29" s="1"/>
      <c r="B29" s="1">
        <v>11</v>
      </c>
      <c r="C29" s="1" t="s">
        <v>130</v>
      </c>
      <c r="D29" s="1" t="s">
        <v>148</v>
      </c>
      <c r="E29" s="1" t="s">
        <v>131</v>
      </c>
      <c r="F29" s="1" t="s">
        <v>131</v>
      </c>
      <c r="G29" s="1" t="s">
        <v>229</v>
      </c>
      <c r="H29" s="1" t="s">
        <v>24</v>
      </c>
      <c r="I29" s="1" t="s">
        <v>151</v>
      </c>
      <c r="J29" s="1" t="s">
        <v>158</v>
      </c>
      <c r="K29" s="1" t="s">
        <v>92</v>
      </c>
      <c r="L29" s="1"/>
      <c r="M29" s="1"/>
      <c r="N29" s="1" t="str">
        <f t="shared" si="5"/>
        <v>No</v>
      </c>
      <c r="O29" s="1">
        <f t="shared" si="6"/>
        <v>66</v>
      </c>
      <c r="P29" s="1">
        <f t="shared" si="8"/>
        <v>3</v>
      </c>
      <c r="Q29" s="1">
        <f t="shared" si="7"/>
        <v>0</v>
      </c>
      <c r="R29" s="1">
        <f t="shared" si="7"/>
        <v>0</v>
      </c>
      <c r="S29" s="29">
        <f t="shared" si="7"/>
        <v>33.33</v>
      </c>
      <c r="T29" s="1" t="str">
        <f t="shared" si="9"/>
        <v>caught</v>
      </c>
      <c r="U29" s="1" t="str">
        <f t="shared" si="10"/>
        <v>2</v>
      </c>
      <c r="V29" s="1" t="str">
        <f t="shared" si="11"/>
        <v xml:space="preserve"> Australia</v>
      </c>
      <c r="W29" s="1" t="str">
        <f t="shared" si="12"/>
        <v>Sydney</v>
      </c>
      <c r="X29" s="1" t="str">
        <f t="shared" si="13"/>
        <v>Yes</v>
      </c>
      <c r="Y29" s="1"/>
    </row>
    <row r="30" spans="1:25" ht="14.25" customHeight="1">
      <c r="A30" s="1"/>
      <c r="B30" s="1">
        <v>12</v>
      </c>
      <c r="C30" s="1" t="s">
        <v>377</v>
      </c>
      <c r="D30" s="1" t="s">
        <v>144</v>
      </c>
      <c r="E30" s="1" t="s">
        <v>131</v>
      </c>
      <c r="F30" s="1" t="s">
        <v>131</v>
      </c>
      <c r="G30" s="1" t="s">
        <v>247</v>
      </c>
      <c r="H30" s="1" t="s">
        <v>32</v>
      </c>
      <c r="I30" s="1" t="s">
        <v>151</v>
      </c>
      <c r="J30" s="1" t="s">
        <v>133</v>
      </c>
      <c r="K30" s="1" t="s">
        <v>93</v>
      </c>
      <c r="L30" s="1"/>
      <c r="M30" s="1"/>
      <c r="N30" s="1" t="str">
        <f t="shared" si="5"/>
        <v>No</v>
      </c>
      <c r="O30" s="1">
        <f t="shared" si="6"/>
        <v>2</v>
      </c>
      <c r="P30" s="1">
        <f t="shared" si="8"/>
        <v>7</v>
      </c>
      <c r="Q30" s="1">
        <f t="shared" si="7"/>
        <v>0</v>
      </c>
      <c r="R30" s="1">
        <f t="shared" si="7"/>
        <v>0</v>
      </c>
      <c r="S30" s="29">
        <f t="shared" si="7"/>
        <v>42.85</v>
      </c>
      <c r="T30" s="1" t="str">
        <f t="shared" si="9"/>
        <v>not out</v>
      </c>
      <c r="U30" s="1" t="str">
        <f t="shared" si="10"/>
        <v>2</v>
      </c>
      <c r="V30" s="1" t="str">
        <f t="shared" si="11"/>
        <v xml:space="preserve"> Sri Lanka</v>
      </c>
      <c r="W30" s="1" t="str">
        <f t="shared" si="12"/>
        <v>Hobart</v>
      </c>
      <c r="X30" s="1" t="str">
        <f t="shared" si="13"/>
        <v>No</v>
      </c>
      <c r="Y30" s="1"/>
    </row>
    <row r="31" spans="1:25" ht="14.25" customHeight="1">
      <c r="A31" s="1"/>
      <c r="B31" s="1">
        <v>13</v>
      </c>
      <c r="C31" s="1" t="s">
        <v>143</v>
      </c>
      <c r="D31" s="1" t="s">
        <v>421</v>
      </c>
      <c r="E31" s="1" t="s">
        <v>136</v>
      </c>
      <c r="F31" s="1" t="s">
        <v>131</v>
      </c>
      <c r="G31" s="1" t="s">
        <v>710</v>
      </c>
      <c r="H31" s="1" t="s">
        <v>29</v>
      </c>
      <c r="I31" s="1" t="s">
        <v>151</v>
      </c>
      <c r="J31" s="1" t="s">
        <v>158</v>
      </c>
      <c r="K31" s="1" t="s">
        <v>92</v>
      </c>
      <c r="L31" s="1"/>
      <c r="M31" s="1"/>
      <c r="N31" s="1" t="str">
        <f t="shared" si="5"/>
        <v>No</v>
      </c>
      <c r="O31" s="1">
        <f t="shared" si="6"/>
        <v>9</v>
      </c>
      <c r="P31" s="1">
        <f t="shared" si="8"/>
        <v>87</v>
      </c>
      <c r="Q31" s="1">
        <f t="shared" si="7"/>
        <v>6</v>
      </c>
      <c r="R31" s="1">
        <f t="shared" si="7"/>
        <v>0</v>
      </c>
      <c r="S31" s="29">
        <f t="shared" si="7"/>
        <v>75.86</v>
      </c>
      <c r="T31" s="1" t="str">
        <f t="shared" si="9"/>
        <v>bowled</v>
      </c>
      <c r="U31" s="1" t="str">
        <f t="shared" si="10"/>
        <v>2</v>
      </c>
      <c r="V31" s="1" t="str">
        <f t="shared" si="11"/>
        <v xml:space="preserve"> Australia</v>
      </c>
      <c r="W31" s="1" t="str">
        <f t="shared" si="12"/>
        <v>Sydney</v>
      </c>
      <c r="X31" s="1" t="str">
        <f t="shared" si="13"/>
        <v>Yes</v>
      </c>
      <c r="Y31" s="1"/>
    </row>
    <row r="32" spans="1:25" ht="14.25" customHeight="1">
      <c r="A32" s="1"/>
      <c r="B32" s="1">
        <v>14</v>
      </c>
      <c r="C32" s="1" t="s">
        <v>151</v>
      </c>
      <c r="D32" s="1" t="s">
        <v>202</v>
      </c>
      <c r="E32" s="1" t="s">
        <v>131</v>
      </c>
      <c r="F32" s="1" t="s">
        <v>131</v>
      </c>
      <c r="G32" s="1" t="s">
        <v>324</v>
      </c>
      <c r="H32" s="1" t="s">
        <v>24</v>
      </c>
      <c r="I32" s="1" t="s">
        <v>130</v>
      </c>
      <c r="J32" s="1" t="s">
        <v>158</v>
      </c>
      <c r="K32" s="1" t="s">
        <v>91</v>
      </c>
      <c r="L32" s="1"/>
      <c r="M32" s="1"/>
      <c r="N32" s="1" t="str">
        <f t="shared" si="5"/>
        <v>No</v>
      </c>
      <c r="O32" s="1">
        <f t="shared" si="6"/>
        <v>26</v>
      </c>
      <c r="P32" s="1">
        <f t="shared" si="8"/>
        <v>5</v>
      </c>
      <c r="Q32" s="1">
        <f t="shared" si="7"/>
        <v>0</v>
      </c>
      <c r="R32" s="1">
        <f t="shared" si="7"/>
        <v>0</v>
      </c>
      <c r="S32" s="29">
        <f t="shared" si="7"/>
        <v>40</v>
      </c>
      <c r="T32" s="1" t="str">
        <f t="shared" si="9"/>
        <v>caught</v>
      </c>
      <c r="U32" s="1" t="str">
        <f t="shared" si="10"/>
        <v>1</v>
      </c>
      <c r="V32" s="1" t="str">
        <f t="shared" si="11"/>
        <v xml:space="preserve"> Australia</v>
      </c>
      <c r="W32" s="1" t="str">
        <f t="shared" si="12"/>
        <v>Brisbane</v>
      </c>
      <c r="X32" s="1" t="str">
        <f t="shared" si="13"/>
        <v>Yes</v>
      </c>
      <c r="Y32" s="1"/>
    </row>
    <row r="33" spans="1:25" ht="14.25" customHeight="1">
      <c r="A33" s="1"/>
      <c r="B33" s="1">
        <v>15</v>
      </c>
      <c r="C33" s="1" t="s">
        <v>161</v>
      </c>
      <c r="D33" s="1" t="s">
        <v>169</v>
      </c>
      <c r="E33" s="1" t="s">
        <v>131</v>
      </c>
      <c r="F33" s="1" t="s">
        <v>131</v>
      </c>
      <c r="G33" s="1" t="s">
        <v>229</v>
      </c>
      <c r="H33" s="1" t="s">
        <v>29</v>
      </c>
      <c r="I33" s="1" t="s">
        <v>130</v>
      </c>
      <c r="J33" s="1" t="s">
        <v>156</v>
      </c>
      <c r="K33" s="1" t="s">
        <v>53</v>
      </c>
      <c r="L33" s="1"/>
      <c r="M33" s="1"/>
      <c r="N33" s="1" t="str">
        <f t="shared" si="5"/>
        <v>No</v>
      </c>
      <c r="O33" s="1">
        <f t="shared" si="6"/>
        <v>24</v>
      </c>
      <c r="P33" s="1">
        <f t="shared" si="8"/>
        <v>27</v>
      </c>
      <c r="Q33" s="1">
        <f t="shared" si="7"/>
        <v>0</v>
      </c>
      <c r="R33" s="1">
        <f t="shared" si="7"/>
        <v>0</v>
      </c>
      <c r="S33" s="29">
        <f t="shared" si="7"/>
        <v>33.33</v>
      </c>
      <c r="T33" s="1" t="str">
        <f t="shared" si="9"/>
        <v>bowled</v>
      </c>
      <c r="U33" s="1" t="str">
        <f t="shared" si="10"/>
        <v>1</v>
      </c>
      <c r="V33" s="1" t="str">
        <f t="shared" si="11"/>
        <v xml:space="preserve"> Pakistan</v>
      </c>
      <c r="W33" s="1" t="str">
        <f t="shared" si="12"/>
        <v>Mirpur</v>
      </c>
      <c r="X33" s="1" t="str">
        <f t="shared" si="13"/>
        <v>Yes</v>
      </c>
      <c r="Y33" s="1"/>
    </row>
    <row r="34" spans="1:25" ht="14.25" customHeight="1">
      <c r="A34" s="1"/>
      <c r="B34" s="1">
        <v>16</v>
      </c>
      <c r="C34" s="1" t="s">
        <v>313</v>
      </c>
      <c r="D34" s="1" t="s">
        <v>321</v>
      </c>
      <c r="E34" s="1" t="s">
        <v>130</v>
      </c>
      <c r="F34" s="1" t="s">
        <v>130</v>
      </c>
      <c r="G34" s="1" t="s">
        <v>797</v>
      </c>
      <c r="H34" s="1" t="s">
        <v>24</v>
      </c>
      <c r="I34" s="1" t="s">
        <v>151</v>
      </c>
      <c r="J34" s="1" t="s">
        <v>182</v>
      </c>
      <c r="K34" s="1" t="s">
        <v>53</v>
      </c>
      <c r="L34" s="1"/>
      <c r="M34" s="1"/>
      <c r="N34" s="1" t="str">
        <f t="shared" si="5"/>
        <v>No</v>
      </c>
      <c r="O34" s="1">
        <f t="shared" si="6"/>
        <v>11</v>
      </c>
      <c r="P34" s="1">
        <f t="shared" si="8"/>
        <v>43</v>
      </c>
      <c r="Q34" s="1">
        <f t="shared" si="7"/>
        <v>1</v>
      </c>
      <c r="R34" s="1">
        <f t="shared" si="7"/>
        <v>1</v>
      </c>
      <c r="S34" s="29">
        <f t="shared" si="7"/>
        <v>60.46</v>
      </c>
      <c r="T34" s="1" t="str">
        <f t="shared" si="9"/>
        <v>caught</v>
      </c>
      <c r="U34" s="1" t="str">
        <f t="shared" si="10"/>
        <v>2</v>
      </c>
      <c r="V34" s="1" t="str">
        <f t="shared" si="11"/>
        <v xml:space="preserve"> Bangladesh</v>
      </c>
      <c r="W34" s="1" t="str">
        <f t="shared" si="12"/>
        <v>Mirpur</v>
      </c>
      <c r="X34" s="1" t="str">
        <f t="shared" si="13"/>
        <v>Yes</v>
      </c>
      <c r="Y34" s="1"/>
    </row>
    <row r="35" spans="1:25" ht="14.25" customHeight="1">
      <c r="A35" s="1"/>
      <c r="B35" s="1">
        <v>17</v>
      </c>
      <c r="C35" s="1" t="s">
        <v>154</v>
      </c>
      <c r="D35" s="1" t="s">
        <v>169</v>
      </c>
      <c r="E35" s="1" t="s">
        <v>202</v>
      </c>
      <c r="F35" s="1" t="s">
        <v>131</v>
      </c>
      <c r="G35" s="1" t="s">
        <v>511</v>
      </c>
      <c r="H35" s="1" t="s">
        <v>24</v>
      </c>
      <c r="I35" s="1" t="s">
        <v>151</v>
      </c>
      <c r="J35" s="1" t="s">
        <v>156</v>
      </c>
      <c r="K35" s="1" t="s">
        <v>53</v>
      </c>
      <c r="L35" s="1"/>
      <c r="M35" s="1"/>
      <c r="N35" s="1" t="str">
        <f t="shared" si="5"/>
        <v>No</v>
      </c>
      <c r="O35" s="1">
        <f t="shared" si="6"/>
        <v>0</v>
      </c>
      <c r="P35" s="1">
        <f t="shared" si="8"/>
        <v>27</v>
      </c>
      <c r="Q35" s="1">
        <f t="shared" ref="Q35:S98" si="14">IF(E35="-","NA",E35*1)</f>
        <v>5</v>
      </c>
      <c r="R35" s="1">
        <f t="shared" si="14"/>
        <v>0</v>
      </c>
      <c r="S35" s="29">
        <f t="shared" si="14"/>
        <v>88.88</v>
      </c>
      <c r="T35" s="1" t="str">
        <f t="shared" si="9"/>
        <v>caught</v>
      </c>
      <c r="U35" s="1" t="str">
        <f t="shared" si="10"/>
        <v>2</v>
      </c>
      <c r="V35" s="1" t="str">
        <f t="shared" si="11"/>
        <v xml:space="preserve"> Pakistan</v>
      </c>
      <c r="W35" s="1" t="str">
        <f t="shared" si="12"/>
        <v>Mirpur</v>
      </c>
      <c r="X35" s="1" t="str">
        <f t="shared" si="13"/>
        <v>Yes</v>
      </c>
      <c r="Y35" s="1"/>
    </row>
    <row r="36" spans="1:25" ht="14.25" customHeight="1">
      <c r="A36" s="1"/>
      <c r="B36" s="1">
        <v>18</v>
      </c>
      <c r="C36" s="1" t="s">
        <v>176</v>
      </c>
      <c r="D36" s="1" t="s">
        <v>200</v>
      </c>
      <c r="E36" s="1" t="s">
        <v>131</v>
      </c>
      <c r="F36" s="1" t="s">
        <v>131</v>
      </c>
      <c r="G36" s="1" t="s">
        <v>798</v>
      </c>
      <c r="H36" s="1" t="s">
        <v>26</v>
      </c>
      <c r="I36" s="1" t="s">
        <v>130</v>
      </c>
      <c r="J36" s="1" t="s">
        <v>639</v>
      </c>
      <c r="K36" s="1" t="s">
        <v>568</v>
      </c>
      <c r="L36" s="1"/>
      <c r="M36" s="1"/>
      <c r="N36" s="1" t="str">
        <f t="shared" si="5"/>
        <v>No</v>
      </c>
      <c r="O36" s="1">
        <f t="shared" si="6"/>
        <v>22</v>
      </c>
      <c r="P36" s="1">
        <f t="shared" si="8"/>
        <v>29</v>
      </c>
      <c r="Q36" s="1">
        <f t="shared" si="14"/>
        <v>0</v>
      </c>
      <c r="R36" s="1">
        <f t="shared" si="14"/>
        <v>0</v>
      </c>
      <c r="S36" s="29">
        <f t="shared" si="14"/>
        <v>37.93</v>
      </c>
      <c r="T36" s="1" t="str">
        <f t="shared" si="9"/>
        <v>run out</v>
      </c>
      <c r="U36" s="1" t="str">
        <f t="shared" si="10"/>
        <v>1</v>
      </c>
      <c r="V36" s="1" t="str">
        <f t="shared" si="11"/>
        <v xml:space="preserve"> Hong Kong</v>
      </c>
      <c r="W36" s="1" t="str">
        <f t="shared" si="12"/>
        <v>Karachi</v>
      </c>
      <c r="X36" s="1" t="str">
        <f t="shared" si="13"/>
        <v>Yes</v>
      </c>
      <c r="Y36" s="1"/>
    </row>
    <row r="37" spans="1:25" ht="14.25" customHeight="1">
      <c r="A37" s="1"/>
      <c r="B37" s="1">
        <v>19</v>
      </c>
      <c r="C37" s="1" t="s">
        <v>799</v>
      </c>
      <c r="D37" s="1" t="s">
        <v>130</v>
      </c>
      <c r="E37" s="1" t="s">
        <v>131</v>
      </c>
      <c r="F37" s="1" t="s">
        <v>131</v>
      </c>
      <c r="G37" s="1" t="s">
        <v>210</v>
      </c>
      <c r="H37" s="1" t="s">
        <v>32</v>
      </c>
      <c r="I37" s="1" t="s">
        <v>151</v>
      </c>
      <c r="J37" s="1" t="s">
        <v>156</v>
      </c>
      <c r="K37" s="1" t="s">
        <v>568</v>
      </c>
      <c r="L37" s="1"/>
      <c r="M37" s="1"/>
      <c r="N37" s="1" t="str">
        <f t="shared" si="5"/>
        <v>No</v>
      </c>
      <c r="O37" s="1">
        <f t="shared" si="6"/>
        <v>58</v>
      </c>
      <c r="P37" s="1">
        <f t="shared" si="8"/>
        <v>1</v>
      </c>
      <c r="Q37" s="1">
        <f t="shared" si="14"/>
        <v>0</v>
      </c>
      <c r="R37" s="1">
        <f t="shared" si="14"/>
        <v>0</v>
      </c>
      <c r="S37" s="29">
        <f t="shared" si="14"/>
        <v>0</v>
      </c>
      <c r="T37" s="1" t="str">
        <f t="shared" si="9"/>
        <v>not out</v>
      </c>
      <c r="U37" s="1" t="str">
        <f t="shared" si="10"/>
        <v>2</v>
      </c>
      <c r="V37" s="1" t="str">
        <f t="shared" si="11"/>
        <v xml:space="preserve"> Pakistan</v>
      </c>
      <c r="W37" s="1" t="str">
        <f t="shared" si="12"/>
        <v>Karachi</v>
      </c>
      <c r="X37" s="1" t="str">
        <f t="shared" si="13"/>
        <v>No</v>
      </c>
      <c r="Y37" s="1"/>
    </row>
    <row r="38" spans="1:25" ht="14.25" customHeight="1">
      <c r="A38" s="1"/>
      <c r="B38" s="1">
        <v>20</v>
      </c>
      <c r="C38" s="1" t="s">
        <v>129</v>
      </c>
      <c r="D38" s="1" t="s">
        <v>304</v>
      </c>
      <c r="E38" s="1" t="s">
        <v>151</v>
      </c>
      <c r="F38" s="1" t="s">
        <v>131</v>
      </c>
      <c r="G38" s="1" t="s">
        <v>800</v>
      </c>
      <c r="H38" s="1" t="s">
        <v>24</v>
      </c>
      <c r="I38" s="1" t="s">
        <v>151</v>
      </c>
      <c r="J38" s="1" t="s">
        <v>182</v>
      </c>
      <c r="K38" s="1" t="s">
        <v>568</v>
      </c>
      <c r="L38" s="1"/>
      <c r="M38" s="1"/>
      <c r="N38" s="1" t="str">
        <f t="shared" si="5"/>
        <v>No</v>
      </c>
      <c r="O38" s="1">
        <f t="shared" si="6"/>
        <v>22</v>
      </c>
      <c r="P38" s="1">
        <f t="shared" si="8"/>
        <v>23</v>
      </c>
      <c r="Q38" s="1">
        <f t="shared" si="14"/>
        <v>2</v>
      </c>
      <c r="R38" s="1">
        <f t="shared" si="14"/>
        <v>0</v>
      </c>
      <c r="S38" s="29">
        <f t="shared" si="14"/>
        <v>95.65</v>
      </c>
      <c r="T38" s="1" t="str">
        <f t="shared" si="9"/>
        <v>caught</v>
      </c>
      <c r="U38" s="1" t="str">
        <f t="shared" si="10"/>
        <v>2</v>
      </c>
      <c r="V38" s="1" t="str">
        <f t="shared" si="11"/>
        <v xml:space="preserve"> Bangladesh</v>
      </c>
      <c r="W38" s="1" t="str">
        <f t="shared" si="12"/>
        <v>Karachi</v>
      </c>
      <c r="X38" s="1" t="str">
        <f t="shared" si="13"/>
        <v>Yes</v>
      </c>
      <c r="Y38" s="1"/>
    </row>
    <row r="39" spans="1:25" ht="14.25" customHeight="1">
      <c r="A39" s="1"/>
      <c r="B39" s="1">
        <v>21</v>
      </c>
      <c r="C39" s="1" t="s">
        <v>582</v>
      </c>
      <c r="D39" s="1" t="s">
        <v>193</v>
      </c>
      <c r="E39" s="1" t="s">
        <v>140</v>
      </c>
      <c r="F39" s="1" t="s">
        <v>131</v>
      </c>
      <c r="G39" s="1" t="s">
        <v>801</v>
      </c>
      <c r="H39" s="1" t="s">
        <v>24</v>
      </c>
      <c r="I39" s="1" t="s">
        <v>130</v>
      </c>
      <c r="J39" s="1" t="s">
        <v>156</v>
      </c>
      <c r="K39" s="1" t="s">
        <v>568</v>
      </c>
      <c r="L39" s="1"/>
      <c r="M39" s="1"/>
      <c r="N39" s="1" t="str">
        <f t="shared" si="5"/>
        <v>No</v>
      </c>
      <c r="O39" s="1">
        <f t="shared" si="6"/>
        <v>3</v>
      </c>
      <c r="P39" s="1">
        <f t="shared" si="8"/>
        <v>71</v>
      </c>
      <c r="Q39" s="1">
        <f t="shared" si="14"/>
        <v>4</v>
      </c>
      <c r="R39" s="1">
        <f t="shared" si="14"/>
        <v>0</v>
      </c>
      <c r="S39" s="29">
        <f t="shared" si="14"/>
        <v>81.69</v>
      </c>
      <c r="T39" s="1" t="str">
        <f t="shared" si="9"/>
        <v>caught</v>
      </c>
      <c r="U39" s="1" t="str">
        <f t="shared" si="10"/>
        <v>1</v>
      </c>
      <c r="V39" s="1" t="str">
        <f t="shared" si="11"/>
        <v xml:space="preserve"> Pakistan</v>
      </c>
      <c r="W39" s="1" t="str">
        <f t="shared" si="12"/>
        <v>Karachi</v>
      </c>
      <c r="X39" s="1" t="str">
        <f t="shared" si="13"/>
        <v>Yes</v>
      </c>
      <c r="Y39" s="1"/>
    </row>
    <row r="40" spans="1:25" ht="14.25" customHeight="1">
      <c r="A40" s="1"/>
      <c r="B40" s="1">
        <v>22</v>
      </c>
      <c r="C40" s="1" t="s">
        <v>317</v>
      </c>
      <c r="D40" s="1" t="s">
        <v>207</v>
      </c>
      <c r="E40" s="1" t="s">
        <v>151</v>
      </c>
      <c r="F40" s="1" t="s">
        <v>131</v>
      </c>
      <c r="G40" s="1" t="s">
        <v>527</v>
      </c>
      <c r="H40" s="1" t="s">
        <v>32</v>
      </c>
      <c r="I40" s="1" t="s">
        <v>151</v>
      </c>
      <c r="J40" s="1" t="s">
        <v>133</v>
      </c>
      <c r="K40" s="1" t="s">
        <v>568</v>
      </c>
      <c r="L40" s="1"/>
      <c r="M40" s="1"/>
      <c r="N40" s="1" t="str">
        <f t="shared" si="5"/>
        <v>No</v>
      </c>
      <c r="O40" s="1">
        <f t="shared" si="6"/>
        <v>19</v>
      </c>
      <c r="P40" s="1">
        <f t="shared" si="8"/>
        <v>28</v>
      </c>
      <c r="Q40" s="1">
        <f t="shared" si="14"/>
        <v>2</v>
      </c>
      <c r="R40" s="1">
        <f t="shared" si="14"/>
        <v>0</v>
      </c>
      <c r="S40" s="29">
        <f t="shared" si="14"/>
        <v>78.569999999999993</v>
      </c>
      <c r="T40" s="1" t="str">
        <f t="shared" si="9"/>
        <v>not out</v>
      </c>
      <c r="U40" s="1" t="str">
        <f t="shared" si="10"/>
        <v>2</v>
      </c>
      <c r="V40" s="1" t="str">
        <f t="shared" si="11"/>
        <v xml:space="preserve"> Sri Lanka</v>
      </c>
      <c r="W40" s="1" t="str">
        <f t="shared" si="12"/>
        <v>Karachi</v>
      </c>
      <c r="X40" s="1" t="str">
        <f t="shared" si="13"/>
        <v>No</v>
      </c>
      <c r="Y40" s="1"/>
    </row>
    <row r="41" spans="1:25" ht="14.25" customHeight="1">
      <c r="A41" s="1"/>
      <c r="B41" s="1">
        <v>23</v>
      </c>
      <c r="C41" s="1" t="s">
        <v>148</v>
      </c>
      <c r="D41" s="1" t="s">
        <v>189</v>
      </c>
      <c r="E41" s="1" t="s">
        <v>131</v>
      </c>
      <c r="F41" s="1" t="s">
        <v>131</v>
      </c>
      <c r="G41" s="1" t="s">
        <v>388</v>
      </c>
      <c r="H41" s="1" t="s">
        <v>19</v>
      </c>
      <c r="I41" s="1" t="s">
        <v>151</v>
      </c>
      <c r="J41" s="1" t="s">
        <v>133</v>
      </c>
      <c r="K41" s="1" t="s">
        <v>568</v>
      </c>
      <c r="L41" s="1"/>
      <c r="M41" s="1"/>
      <c r="N41" s="1" t="str">
        <f t="shared" si="5"/>
        <v>No</v>
      </c>
      <c r="O41" s="1">
        <f t="shared" si="6"/>
        <v>0</v>
      </c>
      <c r="P41" s="1">
        <f t="shared" si="8"/>
        <v>8</v>
      </c>
      <c r="Q41" s="1">
        <f t="shared" si="14"/>
        <v>0</v>
      </c>
      <c r="R41" s="1">
        <f t="shared" si="14"/>
        <v>0</v>
      </c>
      <c r="S41" s="29">
        <f t="shared" si="14"/>
        <v>37.5</v>
      </c>
      <c r="T41" s="1" t="str">
        <f t="shared" si="9"/>
        <v>lbw</v>
      </c>
      <c r="U41" s="1" t="str">
        <f t="shared" si="10"/>
        <v>2</v>
      </c>
      <c r="V41" s="1" t="str">
        <f t="shared" si="11"/>
        <v xml:space="preserve"> Sri Lanka</v>
      </c>
      <c r="W41" s="1" t="str">
        <f t="shared" si="12"/>
        <v>Karachi</v>
      </c>
      <c r="X41" s="1" t="str">
        <f t="shared" si="13"/>
        <v>Yes</v>
      </c>
      <c r="Y41" s="1"/>
    </row>
    <row r="42" spans="1:25" ht="14.25" customHeight="1">
      <c r="A42" s="1"/>
      <c r="B42" s="1">
        <v>24</v>
      </c>
      <c r="C42" s="1" t="s">
        <v>170</v>
      </c>
      <c r="D42" s="1" t="s">
        <v>146</v>
      </c>
      <c r="E42" s="1" t="s">
        <v>130</v>
      </c>
      <c r="F42" s="1" t="s">
        <v>130</v>
      </c>
      <c r="G42" s="1" t="s">
        <v>738</v>
      </c>
      <c r="H42" s="1" t="s">
        <v>24</v>
      </c>
      <c r="I42" s="1" t="s">
        <v>130</v>
      </c>
      <c r="J42" s="1" t="s">
        <v>133</v>
      </c>
      <c r="K42" s="1" t="s">
        <v>21</v>
      </c>
      <c r="L42" s="1"/>
      <c r="M42" s="1"/>
      <c r="N42" s="1" t="str">
        <f t="shared" si="5"/>
        <v>No</v>
      </c>
      <c r="O42" s="1">
        <f t="shared" si="6"/>
        <v>32</v>
      </c>
      <c r="P42" s="1">
        <f t="shared" si="8"/>
        <v>31</v>
      </c>
      <c r="Q42" s="1">
        <f t="shared" si="14"/>
        <v>1</v>
      </c>
      <c r="R42" s="1">
        <f t="shared" si="14"/>
        <v>1</v>
      </c>
      <c r="S42" s="29">
        <f t="shared" si="14"/>
        <v>61.29</v>
      </c>
      <c r="T42" s="1" t="str">
        <f t="shared" si="9"/>
        <v>caught</v>
      </c>
      <c r="U42" s="1" t="str">
        <f t="shared" si="10"/>
        <v>1</v>
      </c>
      <c r="V42" s="1" t="str">
        <f t="shared" si="11"/>
        <v xml:space="preserve"> Sri Lanka</v>
      </c>
      <c r="W42" s="1" t="str">
        <f t="shared" si="12"/>
        <v>Dambulla</v>
      </c>
      <c r="X42" s="1" t="str">
        <f t="shared" si="13"/>
        <v>Yes</v>
      </c>
      <c r="Y42" s="1"/>
    </row>
    <row r="43" spans="1:25" ht="14.25" customHeight="1">
      <c r="A43" s="1"/>
      <c r="B43" s="1">
        <v>25</v>
      </c>
      <c r="C43" s="1" t="s">
        <v>131</v>
      </c>
      <c r="D43" s="1" t="s">
        <v>151</v>
      </c>
      <c r="E43" s="1" t="s">
        <v>131</v>
      </c>
      <c r="F43" s="1" t="s">
        <v>131</v>
      </c>
      <c r="G43" s="1" t="s">
        <v>210</v>
      </c>
      <c r="H43" s="1" t="s">
        <v>19</v>
      </c>
      <c r="I43" s="1" t="s">
        <v>151</v>
      </c>
      <c r="J43" s="1" t="s">
        <v>133</v>
      </c>
      <c r="K43" s="1" t="s">
        <v>21</v>
      </c>
      <c r="L43" s="1"/>
      <c r="M43" s="1"/>
      <c r="N43" s="1" t="str">
        <f t="shared" si="5"/>
        <v>No</v>
      </c>
      <c r="O43" s="1">
        <f t="shared" si="6"/>
        <v>18</v>
      </c>
      <c r="P43" s="1">
        <f t="shared" si="8"/>
        <v>2</v>
      </c>
      <c r="Q43" s="1">
        <f t="shared" si="14"/>
        <v>0</v>
      </c>
      <c r="R43" s="1">
        <f t="shared" si="14"/>
        <v>0</v>
      </c>
      <c r="S43" s="29">
        <f t="shared" si="14"/>
        <v>0</v>
      </c>
      <c r="T43" s="1" t="str">
        <f t="shared" si="9"/>
        <v>lbw</v>
      </c>
      <c r="U43" s="1" t="str">
        <f t="shared" si="10"/>
        <v>2</v>
      </c>
      <c r="V43" s="1" t="str">
        <f t="shared" si="11"/>
        <v xml:space="preserve"> Sri Lanka</v>
      </c>
      <c r="W43" s="1" t="str">
        <f t="shared" si="12"/>
        <v>Dambulla</v>
      </c>
      <c r="X43" s="1" t="str">
        <f t="shared" si="13"/>
        <v>Yes</v>
      </c>
      <c r="Y43" s="1"/>
    </row>
    <row r="44" spans="1:25" ht="14.25" customHeight="1">
      <c r="A44" s="1"/>
      <c r="B44" s="1">
        <v>26</v>
      </c>
      <c r="C44" s="1" t="s">
        <v>521</v>
      </c>
      <c r="D44" s="1" t="s">
        <v>521</v>
      </c>
      <c r="E44" s="1" t="s">
        <v>148</v>
      </c>
      <c r="F44" s="1" t="s">
        <v>131</v>
      </c>
      <c r="G44" s="1" t="s">
        <v>152</v>
      </c>
      <c r="H44" s="1" t="s">
        <v>24</v>
      </c>
      <c r="I44" s="1" t="s">
        <v>130</v>
      </c>
      <c r="J44" s="1" t="s">
        <v>133</v>
      </c>
      <c r="K44" s="1" t="s">
        <v>27</v>
      </c>
      <c r="L44" s="1"/>
      <c r="M44" s="1"/>
      <c r="N44" s="1" t="str">
        <f t="shared" si="5"/>
        <v>No</v>
      </c>
      <c r="O44" s="1">
        <f t="shared" si="6"/>
        <v>3</v>
      </c>
      <c r="P44" s="1">
        <f t="shared" si="8"/>
        <v>32</v>
      </c>
      <c r="Q44" s="1">
        <f t="shared" si="14"/>
        <v>3</v>
      </c>
      <c r="R44" s="1">
        <f t="shared" si="14"/>
        <v>0</v>
      </c>
      <c r="S44" s="29">
        <f t="shared" si="14"/>
        <v>100</v>
      </c>
      <c r="T44" s="1" t="str">
        <f t="shared" si="9"/>
        <v>caught</v>
      </c>
      <c r="U44" s="1" t="str">
        <f t="shared" si="10"/>
        <v>1</v>
      </c>
      <c r="V44" s="1" t="str">
        <f t="shared" si="11"/>
        <v xml:space="preserve"> Sri Lanka</v>
      </c>
      <c r="W44" s="1" t="str">
        <f t="shared" si="12"/>
        <v>Colombo (RPS)</v>
      </c>
      <c r="X44" s="1" t="str">
        <f t="shared" si="13"/>
        <v>Yes</v>
      </c>
      <c r="Y44" s="1"/>
    </row>
    <row r="45" spans="1:25" ht="14.25" customHeight="1">
      <c r="A45" s="1"/>
      <c r="B45" s="1">
        <v>27</v>
      </c>
      <c r="C45" s="1" t="s">
        <v>199</v>
      </c>
      <c r="D45" s="1" t="s">
        <v>304</v>
      </c>
      <c r="E45" s="1" t="s">
        <v>131</v>
      </c>
      <c r="F45" s="1" t="s">
        <v>131</v>
      </c>
      <c r="G45" s="1" t="s">
        <v>802</v>
      </c>
      <c r="H45" s="1" t="s">
        <v>24</v>
      </c>
      <c r="I45" s="1" t="s">
        <v>130</v>
      </c>
      <c r="J45" s="1" t="s">
        <v>133</v>
      </c>
      <c r="K45" s="1" t="s">
        <v>27</v>
      </c>
      <c r="L45" s="1"/>
      <c r="M45" s="1"/>
      <c r="N45" s="1" t="str">
        <f t="shared" si="5"/>
        <v>No</v>
      </c>
      <c r="O45" s="1">
        <f t="shared" si="6"/>
        <v>11</v>
      </c>
      <c r="P45" s="1">
        <f t="shared" si="8"/>
        <v>23</v>
      </c>
      <c r="Q45" s="1">
        <f t="shared" si="14"/>
        <v>0</v>
      </c>
      <c r="R45" s="1">
        <f t="shared" si="14"/>
        <v>0</v>
      </c>
      <c r="S45" s="29">
        <f t="shared" si="14"/>
        <v>78.260000000000005</v>
      </c>
      <c r="T45" s="1" t="str">
        <f t="shared" si="9"/>
        <v>caught</v>
      </c>
      <c r="U45" s="1" t="str">
        <f t="shared" si="10"/>
        <v>1</v>
      </c>
      <c r="V45" s="1" t="str">
        <f t="shared" si="11"/>
        <v xml:space="preserve"> Sri Lanka</v>
      </c>
      <c r="W45" s="1" t="str">
        <f t="shared" si="12"/>
        <v>Colombo (RPS)</v>
      </c>
      <c r="X45" s="1" t="str">
        <f t="shared" si="13"/>
        <v>Yes</v>
      </c>
      <c r="Y45" s="1"/>
    </row>
    <row r="46" spans="1:25" ht="14.25" customHeight="1">
      <c r="A46" s="1"/>
      <c r="B46" s="1">
        <v>28</v>
      </c>
      <c r="C46" s="1" t="s">
        <v>148</v>
      </c>
      <c r="D46" s="1" t="s">
        <v>202</v>
      </c>
      <c r="E46" s="1" t="s">
        <v>131</v>
      </c>
      <c r="F46" s="1" t="s">
        <v>131</v>
      </c>
      <c r="G46" s="1" t="s">
        <v>239</v>
      </c>
      <c r="H46" s="1" t="s">
        <v>19</v>
      </c>
      <c r="I46" s="1" t="s">
        <v>151</v>
      </c>
      <c r="J46" s="1" t="s">
        <v>133</v>
      </c>
      <c r="K46" s="1" t="s">
        <v>27</v>
      </c>
      <c r="L46" s="1"/>
      <c r="M46" s="1"/>
      <c r="N46" s="1" t="str">
        <f t="shared" si="5"/>
        <v>No</v>
      </c>
      <c r="O46" s="1">
        <f t="shared" si="6"/>
        <v>3</v>
      </c>
      <c r="P46" s="1">
        <f t="shared" si="8"/>
        <v>5</v>
      </c>
      <c r="Q46" s="1">
        <f t="shared" si="14"/>
        <v>0</v>
      </c>
      <c r="R46" s="1">
        <f t="shared" si="14"/>
        <v>0</v>
      </c>
      <c r="S46" s="29">
        <f t="shared" si="14"/>
        <v>60</v>
      </c>
      <c r="T46" s="1" t="str">
        <f t="shared" si="9"/>
        <v>lbw</v>
      </c>
      <c r="U46" s="1" t="str">
        <f t="shared" si="10"/>
        <v>2</v>
      </c>
      <c r="V46" s="1" t="str">
        <f t="shared" si="11"/>
        <v xml:space="preserve"> Sri Lanka</v>
      </c>
      <c r="W46" s="1" t="str">
        <f t="shared" si="12"/>
        <v>Colombo (RPS)</v>
      </c>
      <c r="X46" s="1" t="str">
        <f t="shared" si="13"/>
        <v>Yes</v>
      </c>
      <c r="Y46" s="1"/>
    </row>
    <row r="47" spans="1:25" ht="14.25" customHeight="1">
      <c r="A47" s="1"/>
      <c r="B47" s="1">
        <v>29</v>
      </c>
      <c r="C47" s="1" t="s">
        <v>803</v>
      </c>
      <c r="D47" s="1" t="s">
        <v>189</v>
      </c>
      <c r="E47" s="1" t="s">
        <v>130</v>
      </c>
      <c r="F47" s="1" t="s">
        <v>131</v>
      </c>
      <c r="G47" s="1" t="s">
        <v>567</v>
      </c>
      <c r="H47" s="1" t="s">
        <v>32</v>
      </c>
      <c r="I47" s="1" t="s">
        <v>130</v>
      </c>
      <c r="J47" s="1" t="s">
        <v>234</v>
      </c>
      <c r="K47" s="1" t="s">
        <v>48</v>
      </c>
      <c r="L47" s="1"/>
      <c r="M47" s="1"/>
      <c r="N47" s="1" t="str">
        <f t="shared" si="5"/>
        <v>No</v>
      </c>
      <c r="O47" s="1">
        <f t="shared" si="6"/>
        <v>28</v>
      </c>
      <c r="P47" s="1">
        <f t="shared" si="8"/>
        <v>8</v>
      </c>
      <c r="Q47" s="1">
        <f t="shared" si="14"/>
        <v>1</v>
      </c>
      <c r="R47" s="1">
        <f t="shared" si="14"/>
        <v>0</v>
      </c>
      <c r="S47" s="29">
        <f t="shared" si="14"/>
        <v>137.5</v>
      </c>
      <c r="T47" s="1" t="str">
        <f t="shared" si="9"/>
        <v>not out</v>
      </c>
      <c r="U47" s="1" t="str">
        <f t="shared" si="10"/>
        <v>1</v>
      </c>
      <c r="V47" s="1" t="str">
        <f t="shared" si="11"/>
        <v xml:space="preserve"> England</v>
      </c>
      <c r="W47" s="1" t="str">
        <f t="shared" si="12"/>
        <v>Rajkot</v>
      </c>
      <c r="X47" s="1" t="str">
        <f t="shared" si="13"/>
        <v>No</v>
      </c>
      <c r="Y47" s="1"/>
    </row>
    <row r="48" spans="1:25" ht="14.25" customHeight="1">
      <c r="A48" s="1"/>
      <c r="B48" s="1">
        <v>30</v>
      </c>
      <c r="C48" s="1" t="s">
        <v>148</v>
      </c>
      <c r="D48" s="1" t="s">
        <v>325</v>
      </c>
      <c r="E48" s="1" t="s">
        <v>131</v>
      </c>
      <c r="F48" s="1" t="s">
        <v>131</v>
      </c>
      <c r="G48" s="1" t="s">
        <v>804</v>
      </c>
      <c r="H48" s="1" t="s">
        <v>24</v>
      </c>
      <c r="I48" s="1" t="s">
        <v>130</v>
      </c>
      <c r="J48" s="1" t="s">
        <v>234</v>
      </c>
      <c r="K48" s="1" t="s">
        <v>87</v>
      </c>
      <c r="L48" s="1"/>
      <c r="M48" s="1"/>
      <c r="N48" s="1" t="str">
        <f t="shared" si="5"/>
        <v>No</v>
      </c>
      <c r="O48" s="1">
        <f t="shared" si="6"/>
        <v>8</v>
      </c>
      <c r="P48" s="1">
        <f t="shared" si="8"/>
        <v>13</v>
      </c>
      <c r="Q48" s="1">
        <f t="shared" si="14"/>
        <v>0</v>
      </c>
      <c r="R48" s="1">
        <f t="shared" si="14"/>
        <v>0</v>
      </c>
      <c r="S48" s="29">
        <f t="shared" si="14"/>
        <v>23.07</v>
      </c>
      <c r="T48" s="1" t="str">
        <f t="shared" si="9"/>
        <v>caught</v>
      </c>
      <c r="U48" s="1" t="str">
        <f t="shared" si="10"/>
        <v>1</v>
      </c>
      <c r="V48" s="1" t="str">
        <f t="shared" si="11"/>
        <v xml:space="preserve"> England</v>
      </c>
      <c r="W48" s="1" t="str">
        <f t="shared" si="12"/>
        <v>Indore</v>
      </c>
      <c r="X48" s="1" t="str">
        <f t="shared" si="13"/>
        <v>Yes</v>
      </c>
      <c r="Y48" s="1"/>
    </row>
    <row r="49" spans="1:25" ht="14.25" customHeight="1">
      <c r="A49" s="1"/>
      <c r="B49" s="1">
        <v>31</v>
      </c>
      <c r="C49" s="1" t="s">
        <v>207</v>
      </c>
      <c r="D49" s="1" t="s">
        <v>165</v>
      </c>
      <c r="E49" s="1" t="s">
        <v>148</v>
      </c>
      <c r="F49" s="1" t="s">
        <v>131</v>
      </c>
      <c r="G49" s="1" t="s">
        <v>226</v>
      </c>
      <c r="H49" s="1" t="s">
        <v>24</v>
      </c>
      <c r="I49" s="1" t="s">
        <v>151</v>
      </c>
      <c r="J49" s="1" t="s">
        <v>234</v>
      </c>
      <c r="K49" s="1" t="s">
        <v>101</v>
      </c>
      <c r="L49" s="1"/>
      <c r="M49" s="1"/>
      <c r="N49" s="1" t="str">
        <f t="shared" si="5"/>
        <v>No</v>
      </c>
      <c r="O49" s="1">
        <f t="shared" si="6"/>
        <v>25</v>
      </c>
      <c r="P49" s="1">
        <f t="shared" si="8"/>
        <v>41</v>
      </c>
      <c r="Q49" s="1">
        <f t="shared" si="14"/>
        <v>3</v>
      </c>
      <c r="R49" s="1">
        <f t="shared" si="14"/>
        <v>0</v>
      </c>
      <c r="S49" s="29">
        <f t="shared" si="14"/>
        <v>68.290000000000006</v>
      </c>
      <c r="T49" s="1" t="str">
        <f t="shared" si="9"/>
        <v>caught</v>
      </c>
      <c r="U49" s="1" t="str">
        <f t="shared" si="10"/>
        <v>2</v>
      </c>
      <c r="V49" s="1" t="str">
        <f t="shared" si="11"/>
        <v xml:space="preserve"> England</v>
      </c>
      <c r="W49" s="1" t="str">
        <f t="shared" si="12"/>
        <v>Kanpur</v>
      </c>
      <c r="X49" s="1" t="str">
        <f t="shared" si="13"/>
        <v>Yes</v>
      </c>
      <c r="Y49" s="1"/>
    </row>
    <row r="50" spans="1:25" ht="14.25" customHeight="1">
      <c r="A50" s="1"/>
      <c r="B50" s="1">
        <v>32</v>
      </c>
      <c r="C50" s="1" t="s">
        <v>805</v>
      </c>
      <c r="D50" s="1" t="s">
        <v>167</v>
      </c>
      <c r="E50" s="1" t="s">
        <v>130</v>
      </c>
      <c r="F50" s="1" t="s">
        <v>131</v>
      </c>
      <c r="G50" s="1" t="s">
        <v>361</v>
      </c>
      <c r="H50" s="1" t="s">
        <v>32</v>
      </c>
      <c r="I50" s="1" t="s">
        <v>151</v>
      </c>
      <c r="J50" s="1" t="s">
        <v>234</v>
      </c>
      <c r="K50" s="1" t="s">
        <v>86</v>
      </c>
      <c r="L50" s="1"/>
      <c r="M50" s="1"/>
      <c r="N50" s="1" t="str">
        <f t="shared" si="5"/>
        <v>No</v>
      </c>
      <c r="O50" s="1">
        <f t="shared" si="6"/>
        <v>4</v>
      </c>
      <c r="P50" s="1">
        <f t="shared" si="8"/>
        <v>10</v>
      </c>
      <c r="Q50" s="1">
        <f t="shared" si="14"/>
        <v>1</v>
      </c>
      <c r="R50" s="1">
        <f t="shared" si="14"/>
        <v>0</v>
      </c>
      <c r="S50" s="29">
        <f t="shared" si="14"/>
        <v>80</v>
      </c>
      <c r="T50" s="1" t="str">
        <f t="shared" si="9"/>
        <v>not out</v>
      </c>
      <c r="U50" s="1" t="str">
        <f t="shared" si="10"/>
        <v>2</v>
      </c>
      <c r="V50" s="1" t="str">
        <f t="shared" si="11"/>
        <v xml:space="preserve"> England</v>
      </c>
      <c r="W50" s="1" t="str">
        <f t="shared" si="12"/>
        <v>Cuttack</v>
      </c>
      <c r="X50" s="1" t="str">
        <f t="shared" si="13"/>
        <v>No</v>
      </c>
      <c r="Y50" s="1"/>
    </row>
    <row r="51" spans="1:25" ht="14.25" customHeight="1">
      <c r="A51" s="1"/>
      <c r="B51" s="1">
        <v>33</v>
      </c>
      <c r="C51" s="1" t="s">
        <v>732</v>
      </c>
      <c r="D51" s="1" t="s">
        <v>164</v>
      </c>
      <c r="E51" s="1" t="s">
        <v>148</v>
      </c>
      <c r="F51" s="1" t="s">
        <v>131</v>
      </c>
      <c r="G51" s="1" t="s">
        <v>496</v>
      </c>
      <c r="H51" s="1" t="s">
        <v>32</v>
      </c>
      <c r="I51" s="1" t="s">
        <v>151</v>
      </c>
      <c r="J51" s="1" t="s">
        <v>133</v>
      </c>
      <c r="K51" s="1" t="s">
        <v>21</v>
      </c>
      <c r="L51" s="1"/>
      <c r="M51" s="1"/>
      <c r="N51" s="1" t="str">
        <f t="shared" si="5"/>
        <v>No</v>
      </c>
      <c r="O51" s="1">
        <f t="shared" si="6"/>
        <v>15</v>
      </c>
      <c r="P51" s="1">
        <f t="shared" si="8"/>
        <v>30</v>
      </c>
      <c r="Q51" s="1">
        <f t="shared" si="14"/>
        <v>3</v>
      </c>
      <c r="R51" s="1">
        <f t="shared" si="14"/>
        <v>0</v>
      </c>
      <c r="S51" s="29">
        <f t="shared" si="14"/>
        <v>83.33</v>
      </c>
      <c r="T51" s="1" t="str">
        <f t="shared" si="9"/>
        <v>not out</v>
      </c>
      <c r="U51" s="1" t="str">
        <f t="shared" si="10"/>
        <v>2</v>
      </c>
      <c r="V51" s="1" t="str">
        <f t="shared" si="11"/>
        <v xml:space="preserve"> Sri Lanka</v>
      </c>
      <c r="W51" s="1" t="str">
        <f t="shared" si="12"/>
        <v>Dambulla</v>
      </c>
      <c r="X51" s="1" t="str">
        <f t="shared" si="13"/>
        <v>No</v>
      </c>
      <c r="Y51" s="1"/>
    </row>
    <row r="52" spans="1:25" ht="14.25" customHeight="1">
      <c r="A52" s="1"/>
      <c r="B52" s="1">
        <v>34</v>
      </c>
      <c r="C52" s="1" t="s">
        <v>715</v>
      </c>
      <c r="D52" s="1" t="s">
        <v>136</v>
      </c>
      <c r="E52" s="1" t="s">
        <v>131</v>
      </c>
      <c r="F52" s="1" t="s">
        <v>131</v>
      </c>
      <c r="G52" s="1" t="s">
        <v>155</v>
      </c>
      <c r="H52" s="1" t="s">
        <v>32</v>
      </c>
      <c r="I52" s="1" t="s">
        <v>130</v>
      </c>
      <c r="J52" s="1" t="s">
        <v>133</v>
      </c>
      <c r="K52" s="1" t="s">
        <v>27</v>
      </c>
      <c r="L52" s="1"/>
      <c r="M52" s="1"/>
      <c r="N52" s="1" t="str">
        <f t="shared" si="5"/>
        <v>No</v>
      </c>
      <c r="O52" s="1" t="str">
        <f t="shared" si="6"/>
        <v>NA</v>
      </c>
      <c r="P52" s="1">
        <f t="shared" si="8"/>
        <v>6</v>
      </c>
      <c r="Q52" s="1">
        <f t="shared" si="14"/>
        <v>0</v>
      </c>
      <c r="R52" s="1">
        <f t="shared" si="14"/>
        <v>0</v>
      </c>
      <c r="S52" s="29">
        <f t="shared" si="14"/>
        <v>66.66</v>
      </c>
      <c r="T52" s="1" t="str">
        <f t="shared" si="9"/>
        <v>not out</v>
      </c>
      <c r="U52" s="1" t="str">
        <f t="shared" si="10"/>
        <v>1</v>
      </c>
      <c r="V52" s="1" t="str">
        <f t="shared" si="11"/>
        <v xml:space="preserve"> Sri Lanka</v>
      </c>
      <c r="W52" s="1" t="str">
        <f t="shared" si="12"/>
        <v>Colombo (RPS)</v>
      </c>
      <c r="X52" s="1" t="str">
        <f t="shared" si="13"/>
        <v>No</v>
      </c>
      <c r="Y52" s="1"/>
    </row>
    <row r="53" spans="1:25" ht="14.25" customHeight="1">
      <c r="A53" s="1"/>
      <c r="B53" s="1">
        <v>35</v>
      </c>
      <c r="C53" s="1" t="s">
        <v>283</v>
      </c>
      <c r="D53" s="1" t="s">
        <v>129</v>
      </c>
      <c r="E53" s="1" t="s">
        <v>130</v>
      </c>
      <c r="F53" s="1" t="s">
        <v>131</v>
      </c>
      <c r="G53" s="1" t="s">
        <v>308</v>
      </c>
      <c r="H53" s="1" t="s">
        <v>24</v>
      </c>
      <c r="I53" s="1" t="s">
        <v>151</v>
      </c>
      <c r="J53" s="1" t="s">
        <v>133</v>
      </c>
      <c r="K53" s="1" t="s">
        <v>27</v>
      </c>
      <c r="L53" s="1"/>
      <c r="M53" s="1"/>
      <c r="N53" s="1" t="str">
        <f t="shared" si="5"/>
        <v>No</v>
      </c>
      <c r="O53" s="1">
        <f t="shared" si="6"/>
        <v>43</v>
      </c>
      <c r="P53" s="1">
        <f t="shared" si="8"/>
        <v>22</v>
      </c>
      <c r="Q53" s="1">
        <f t="shared" si="14"/>
        <v>1</v>
      </c>
      <c r="R53" s="1">
        <f t="shared" si="14"/>
        <v>0</v>
      </c>
      <c r="S53" s="29">
        <f t="shared" si="14"/>
        <v>68.180000000000007</v>
      </c>
      <c r="T53" s="1" t="str">
        <f t="shared" si="9"/>
        <v>caught</v>
      </c>
      <c r="U53" s="1" t="str">
        <f t="shared" si="10"/>
        <v>2</v>
      </c>
      <c r="V53" s="1" t="str">
        <f t="shared" si="11"/>
        <v xml:space="preserve"> Sri Lanka</v>
      </c>
      <c r="W53" s="1" t="str">
        <f t="shared" si="12"/>
        <v>Colombo (RPS)</v>
      </c>
      <c r="X53" s="1" t="str">
        <f t="shared" si="13"/>
        <v>Yes</v>
      </c>
      <c r="Y53" s="1"/>
    </row>
    <row r="54" spans="1:25" ht="14.25" customHeight="1">
      <c r="A54" s="1"/>
      <c r="B54" s="1">
        <v>36</v>
      </c>
      <c r="C54" s="1" t="s">
        <v>57</v>
      </c>
      <c r="D54" s="1" t="s">
        <v>157</v>
      </c>
      <c r="E54" s="1" t="s">
        <v>157</v>
      </c>
      <c r="F54" s="1" t="s">
        <v>157</v>
      </c>
      <c r="G54" s="1" t="s">
        <v>157</v>
      </c>
      <c r="H54" s="1" t="s">
        <v>157</v>
      </c>
      <c r="I54" s="1" t="s">
        <v>151</v>
      </c>
      <c r="J54" s="1" t="s">
        <v>211</v>
      </c>
      <c r="K54" s="1" t="s">
        <v>103</v>
      </c>
      <c r="L54" s="1"/>
      <c r="M54" s="1"/>
      <c r="N54" s="1" t="str">
        <f t="shared" si="5"/>
        <v>Yes</v>
      </c>
      <c r="O54" s="1">
        <f t="shared" si="6"/>
        <v>4</v>
      </c>
      <c r="P54" s="1" t="str">
        <f t="shared" si="8"/>
        <v>NA</v>
      </c>
      <c r="Q54" s="1" t="str">
        <f t="shared" si="14"/>
        <v>NA</v>
      </c>
      <c r="R54" s="1" t="str">
        <f t="shared" si="14"/>
        <v>NA</v>
      </c>
      <c r="S54" s="29" t="str">
        <f t="shared" si="14"/>
        <v>NA</v>
      </c>
      <c r="T54" s="1" t="str">
        <f t="shared" si="9"/>
        <v>NA</v>
      </c>
      <c r="U54" s="1" t="str">
        <f t="shared" si="10"/>
        <v>2</v>
      </c>
      <c r="V54" s="1" t="str">
        <f t="shared" si="11"/>
        <v xml:space="preserve"> New Zealand</v>
      </c>
      <c r="W54" s="1" t="str">
        <f t="shared" si="12"/>
        <v>Hamilton</v>
      </c>
      <c r="X54" s="1" t="str">
        <f t="shared" si="13"/>
        <v>No</v>
      </c>
      <c r="Y54" s="1"/>
    </row>
    <row r="55" spans="1:25" ht="14.25" customHeight="1">
      <c r="A55" s="1"/>
      <c r="B55" s="1">
        <v>37</v>
      </c>
      <c r="C55" s="1" t="s">
        <v>806</v>
      </c>
      <c r="D55" s="1" t="s">
        <v>466</v>
      </c>
      <c r="E55" s="1" t="s">
        <v>130</v>
      </c>
      <c r="F55" s="1" t="s">
        <v>130</v>
      </c>
      <c r="G55" s="1" t="s">
        <v>807</v>
      </c>
      <c r="H55" s="1" t="s">
        <v>32</v>
      </c>
      <c r="I55" s="1" t="s">
        <v>130</v>
      </c>
      <c r="J55" s="1" t="s">
        <v>211</v>
      </c>
      <c r="K55" s="1" t="s">
        <v>104</v>
      </c>
      <c r="L55" s="1"/>
      <c r="M55" s="1"/>
      <c r="N55" s="1" t="str">
        <f t="shared" si="5"/>
        <v>No</v>
      </c>
      <c r="O55" s="1">
        <f t="shared" si="6"/>
        <v>0</v>
      </c>
      <c r="P55" s="1">
        <f t="shared" si="8"/>
        <v>74</v>
      </c>
      <c r="Q55" s="1">
        <f t="shared" si="14"/>
        <v>1</v>
      </c>
      <c r="R55" s="1">
        <f t="shared" si="14"/>
        <v>1</v>
      </c>
      <c r="S55" s="29">
        <f t="shared" si="14"/>
        <v>58.1</v>
      </c>
      <c r="T55" s="1" t="str">
        <f t="shared" si="9"/>
        <v>not out</v>
      </c>
      <c r="U55" s="1" t="str">
        <f t="shared" si="10"/>
        <v>1</v>
      </c>
      <c r="V55" s="1" t="str">
        <f t="shared" si="11"/>
        <v xml:space="preserve"> New Zealand</v>
      </c>
      <c r="W55" s="1" t="str">
        <f t="shared" si="12"/>
        <v>Auckland</v>
      </c>
      <c r="X55" s="1" t="str">
        <f t="shared" si="13"/>
        <v>No</v>
      </c>
      <c r="Y55" s="1"/>
    </row>
    <row r="56" spans="1:25" ht="14.25" customHeight="1">
      <c r="A56" s="1"/>
      <c r="B56" s="1">
        <v>38</v>
      </c>
      <c r="C56" s="1" t="s">
        <v>140</v>
      </c>
      <c r="D56" s="1" t="s">
        <v>128</v>
      </c>
      <c r="E56" s="1" t="s">
        <v>131</v>
      </c>
      <c r="F56" s="1" t="s">
        <v>131</v>
      </c>
      <c r="G56" s="1" t="s">
        <v>229</v>
      </c>
      <c r="H56" s="1" t="s">
        <v>24</v>
      </c>
      <c r="I56" s="1" t="s">
        <v>130</v>
      </c>
      <c r="J56" s="1" t="s">
        <v>163</v>
      </c>
      <c r="K56" s="1" t="s">
        <v>78</v>
      </c>
      <c r="L56" s="1"/>
      <c r="M56" s="1"/>
      <c r="N56" s="1" t="str">
        <f t="shared" si="5"/>
        <v>No</v>
      </c>
      <c r="O56" s="1">
        <f t="shared" si="6"/>
        <v>11</v>
      </c>
      <c r="P56" s="1">
        <f t="shared" si="8"/>
        <v>12</v>
      </c>
      <c r="Q56" s="1">
        <f t="shared" si="14"/>
        <v>0</v>
      </c>
      <c r="R56" s="1">
        <f t="shared" si="14"/>
        <v>0</v>
      </c>
      <c r="S56" s="29">
        <f t="shared" si="14"/>
        <v>33.33</v>
      </c>
      <c r="T56" s="1" t="str">
        <f t="shared" si="9"/>
        <v>caught</v>
      </c>
      <c r="U56" s="1" t="str">
        <f t="shared" si="10"/>
        <v>1</v>
      </c>
      <c r="V56" s="1" t="str">
        <f t="shared" si="11"/>
        <v xml:space="preserve"> West Indies</v>
      </c>
      <c r="W56" s="1" t="str">
        <f t="shared" si="12"/>
        <v>Kingston</v>
      </c>
      <c r="X56" s="1" t="str">
        <f t="shared" si="13"/>
        <v>Yes</v>
      </c>
      <c r="Y56" s="1"/>
    </row>
    <row r="57" spans="1:25" ht="14.25" customHeight="1">
      <c r="A57" s="1"/>
      <c r="B57" s="1">
        <v>39</v>
      </c>
      <c r="C57" s="1" t="s">
        <v>131</v>
      </c>
      <c r="D57" s="1" t="s">
        <v>151</v>
      </c>
      <c r="E57" s="1" t="s">
        <v>131</v>
      </c>
      <c r="F57" s="1" t="s">
        <v>131</v>
      </c>
      <c r="G57" s="1" t="s">
        <v>210</v>
      </c>
      <c r="H57" s="1" t="s">
        <v>24</v>
      </c>
      <c r="I57" s="1" t="s">
        <v>130</v>
      </c>
      <c r="J57" s="1" t="s">
        <v>163</v>
      </c>
      <c r="K57" s="1" t="s">
        <v>78</v>
      </c>
      <c r="L57" s="1"/>
      <c r="M57" s="1"/>
      <c r="N57" s="1" t="str">
        <f t="shared" si="5"/>
        <v>No</v>
      </c>
      <c r="O57" s="1" t="str">
        <f t="shared" si="6"/>
        <v>NA</v>
      </c>
      <c r="P57" s="1">
        <f t="shared" si="8"/>
        <v>2</v>
      </c>
      <c r="Q57" s="1">
        <f t="shared" si="14"/>
        <v>0</v>
      </c>
      <c r="R57" s="1">
        <f t="shared" si="14"/>
        <v>0</v>
      </c>
      <c r="S57" s="29">
        <f t="shared" si="14"/>
        <v>0</v>
      </c>
      <c r="T57" s="1" t="str">
        <f t="shared" si="9"/>
        <v>caught</v>
      </c>
      <c r="U57" s="1" t="str">
        <f t="shared" si="10"/>
        <v>1</v>
      </c>
      <c r="V57" s="1" t="str">
        <f t="shared" si="11"/>
        <v xml:space="preserve"> West Indies</v>
      </c>
      <c r="W57" s="1" t="str">
        <f t="shared" si="12"/>
        <v>Kingston</v>
      </c>
      <c r="X57" s="1" t="str">
        <f t="shared" si="13"/>
        <v>Yes</v>
      </c>
      <c r="Y57" s="1"/>
    </row>
    <row r="58" spans="1:25" ht="14.25" customHeight="1">
      <c r="A58" s="1"/>
      <c r="B58" s="1">
        <v>40</v>
      </c>
      <c r="C58" s="1" t="s">
        <v>176</v>
      </c>
      <c r="D58" s="1" t="s">
        <v>161</v>
      </c>
      <c r="E58" s="1" t="s">
        <v>131</v>
      </c>
      <c r="F58" s="1" t="s">
        <v>131</v>
      </c>
      <c r="G58" s="1" t="s">
        <v>316</v>
      </c>
      <c r="H58" s="1" t="s">
        <v>24</v>
      </c>
      <c r="I58" s="1" t="s">
        <v>151</v>
      </c>
      <c r="J58" s="1" t="s">
        <v>163</v>
      </c>
      <c r="K58" s="1" t="s">
        <v>666</v>
      </c>
      <c r="L58" s="1"/>
      <c r="M58" s="1"/>
      <c r="N58" s="1" t="str">
        <f t="shared" si="5"/>
        <v>No</v>
      </c>
      <c r="O58" s="1">
        <f t="shared" si="6"/>
        <v>48</v>
      </c>
      <c r="P58" s="1">
        <f t="shared" si="8"/>
        <v>9</v>
      </c>
      <c r="Q58" s="1">
        <f t="shared" si="14"/>
        <v>0</v>
      </c>
      <c r="R58" s="1">
        <f t="shared" si="14"/>
        <v>0</v>
      </c>
      <c r="S58" s="29">
        <f t="shared" si="14"/>
        <v>122.22</v>
      </c>
      <c r="T58" s="1" t="str">
        <f t="shared" si="9"/>
        <v>caught</v>
      </c>
      <c r="U58" s="1" t="str">
        <f t="shared" si="10"/>
        <v>2</v>
      </c>
      <c r="V58" s="1" t="str">
        <f t="shared" si="11"/>
        <v xml:space="preserve"> West Indies</v>
      </c>
      <c r="W58" s="1" t="str">
        <f t="shared" si="12"/>
        <v>Gros Islet</v>
      </c>
      <c r="X58" s="1" t="str">
        <f t="shared" si="13"/>
        <v>Yes</v>
      </c>
      <c r="Y58" s="1"/>
    </row>
    <row r="59" spans="1:25" ht="14.25" customHeight="1">
      <c r="A59" s="1"/>
      <c r="B59" s="1">
        <v>41</v>
      </c>
      <c r="C59" s="1" t="s">
        <v>38</v>
      </c>
      <c r="D59" s="1" t="s">
        <v>157</v>
      </c>
      <c r="E59" s="1" t="s">
        <v>157</v>
      </c>
      <c r="F59" s="1" t="s">
        <v>157</v>
      </c>
      <c r="G59" s="1" t="s">
        <v>157</v>
      </c>
      <c r="H59" s="1" t="s">
        <v>157</v>
      </c>
      <c r="I59" s="1" t="s">
        <v>157</v>
      </c>
      <c r="J59" s="1" t="s">
        <v>163</v>
      </c>
      <c r="K59" s="1" t="s">
        <v>666</v>
      </c>
      <c r="L59" s="1"/>
      <c r="M59" s="1"/>
      <c r="N59" s="1" t="str">
        <f t="shared" si="5"/>
        <v>Yes</v>
      </c>
      <c r="O59" s="1">
        <f t="shared" si="6"/>
        <v>114</v>
      </c>
      <c r="P59" s="1" t="str">
        <f t="shared" si="8"/>
        <v>NA</v>
      </c>
      <c r="Q59" s="1" t="str">
        <f t="shared" si="14"/>
        <v>NA</v>
      </c>
      <c r="R59" s="1" t="str">
        <f t="shared" si="14"/>
        <v>NA</v>
      </c>
      <c r="S59" s="29" t="str">
        <f t="shared" si="14"/>
        <v>NA</v>
      </c>
      <c r="T59" s="1" t="str">
        <f t="shared" si="9"/>
        <v>NA</v>
      </c>
      <c r="U59" s="1" t="str">
        <f t="shared" si="10"/>
        <v>-</v>
      </c>
      <c r="V59" s="1" t="str">
        <f t="shared" si="11"/>
        <v xml:space="preserve"> West Indies</v>
      </c>
      <c r="W59" s="1" t="str">
        <f t="shared" si="12"/>
        <v>Gros Islet</v>
      </c>
      <c r="X59" s="1" t="str">
        <f t="shared" si="13"/>
        <v>No</v>
      </c>
      <c r="Y59" s="1"/>
    </row>
    <row r="60" spans="1:25" ht="14.25" customHeight="1">
      <c r="A60" s="1"/>
      <c r="B60" s="1">
        <v>42</v>
      </c>
      <c r="C60" s="1" t="s">
        <v>355</v>
      </c>
      <c r="D60" s="1" t="s">
        <v>334</v>
      </c>
      <c r="E60" s="1" t="s">
        <v>148</v>
      </c>
      <c r="F60" s="1" t="s">
        <v>131</v>
      </c>
      <c r="G60" s="1" t="s">
        <v>808</v>
      </c>
      <c r="H60" s="1" t="s">
        <v>24</v>
      </c>
      <c r="I60" s="1" t="s">
        <v>151</v>
      </c>
      <c r="J60" s="1" t="s">
        <v>191</v>
      </c>
      <c r="K60" s="1" t="s">
        <v>59</v>
      </c>
      <c r="L60" s="1"/>
      <c r="M60" s="1"/>
      <c r="N60" s="1" t="str">
        <f t="shared" si="5"/>
        <v>No</v>
      </c>
      <c r="O60" s="1">
        <f t="shared" si="6"/>
        <v>101</v>
      </c>
      <c r="P60" s="1">
        <f t="shared" si="8"/>
        <v>61</v>
      </c>
      <c r="Q60" s="1">
        <f t="shared" si="14"/>
        <v>3</v>
      </c>
      <c r="R60" s="1">
        <f t="shared" si="14"/>
        <v>0</v>
      </c>
      <c r="S60" s="29">
        <f t="shared" si="14"/>
        <v>78.680000000000007</v>
      </c>
      <c r="T60" s="1" t="str">
        <f t="shared" si="9"/>
        <v>caught</v>
      </c>
      <c r="U60" s="1" t="str">
        <f t="shared" si="10"/>
        <v>2</v>
      </c>
      <c r="V60" s="1" t="str">
        <f t="shared" si="11"/>
        <v xml:space="preserve"> South Africa</v>
      </c>
      <c r="W60" s="1" t="str">
        <f t="shared" si="12"/>
        <v>Ahmedabad</v>
      </c>
      <c r="X60" s="1" t="str">
        <f t="shared" si="13"/>
        <v>Yes</v>
      </c>
      <c r="Y60" s="1"/>
    </row>
    <row r="61" spans="1:25" ht="14.25" customHeight="1">
      <c r="A61" s="1"/>
      <c r="B61" s="1">
        <v>43</v>
      </c>
      <c r="C61" s="1" t="s">
        <v>175</v>
      </c>
      <c r="D61" s="1" t="s">
        <v>302</v>
      </c>
      <c r="E61" s="1" t="s">
        <v>136</v>
      </c>
      <c r="F61" s="1" t="s">
        <v>140</v>
      </c>
      <c r="G61" s="1" t="s">
        <v>809</v>
      </c>
      <c r="H61" s="1" t="s">
        <v>24</v>
      </c>
      <c r="I61" s="1" t="s">
        <v>130</v>
      </c>
      <c r="J61" s="1" t="s">
        <v>195</v>
      </c>
      <c r="K61" s="1" t="s">
        <v>61</v>
      </c>
      <c r="L61" s="1"/>
      <c r="M61" s="1"/>
      <c r="N61" s="1" t="str">
        <f t="shared" si="5"/>
        <v>No</v>
      </c>
      <c r="O61" s="1">
        <f t="shared" si="6"/>
        <v>13</v>
      </c>
      <c r="P61" s="1">
        <f t="shared" si="8"/>
        <v>119</v>
      </c>
      <c r="Q61" s="1">
        <f t="shared" si="14"/>
        <v>6</v>
      </c>
      <c r="R61" s="1">
        <f t="shared" si="14"/>
        <v>4</v>
      </c>
      <c r="S61" s="29">
        <f t="shared" si="14"/>
        <v>95.79</v>
      </c>
      <c r="T61" s="1" t="str">
        <f t="shared" si="9"/>
        <v>caught</v>
      </c>
      <c r="U61" s="1" t="str">
        <f t="shared" si="10"/>
        <v>1</v>
      </c>
      <c r="V61" s="1" t="str">
        <f t="shared" si="11"/>
        <v xml:space="preserve"> Zimbabwe</v>
      </c>
      <c r="W61" s="1" t="str">
        <f t="shared" si="12"/>
        <v>Bulawayo</v>
      </c>
      <c r="X61" s="1" t="str">
        <f t="shared" si="13"/>
        <v>Yes</v>
      </c>
      <c r="Y61" s="1"/>
    </row>
    <row r="62" spans="1:25" ht="14.25" customHeight="1">
      <c r="A62" s="1"/>
      <c r="B62" s="1">
        <v>44</v>
      </c>
      <c r="C62" s="1" t="s">
        <v>516</v>
      </c>
      <c r="D62" s="1" t="s">
        <v>342</v>
      </c>
      <c r="E62" s="1" t="s">
        <v>136</v>
      </c>
      <c r="F62" s="1" t="s">
        <v>151</v>
      </c>
      <c r="G62" s="1" t="s">
        <v>810</v>
      </c>
      <c r="H62" s="1" t="s">
        <v>32</v>
      </c>
      <c r="I62" s="1" t="s">
        <v>151</v>
      </c>
      <c r="J62" s="1" t="s">
        <v>133</v>
      </c>
      <c r="K62" s="1" t="s">
        <v>61</v>
      </c>
      <c r="L62" s="1"/>
      <c r="M62" s="1"/>
      <c r="N62" s="1" t="str">
        <f t="shared" si="5"/>
        <v>No</v>
      </c>
      <c r="O62" s="1">
        <f t="shared" si="6"/>
        <v>32</v>
      </c>
      <c r="P62" s="1">
        <f t="shared" si="8"/>
        <v>100</v>
      </c>
      <c r="Q62" s="1">
        <f t="shared" si="14"/>
        <v>6</v>
      </c>
      <c r="R62" s="1">
        <f t="shared" si="14"/>
        <v>2</v>
      </c>
      <c r="S62" s="29">
        <f t="shared" si="14"/>
        <v>101</v>
      </c>
      <c r="T62" s="1" t="str">
        <f t="shared" si="9"/>
        <v>not out</v>
      </c>
      <c r="U62" s="1" t="str">
        <f t="shared" si="10"/>
        <v>2</v>
      </c>
      <c r="V62" s="1" t="str">
        <f t="shared" si="11"/>
        <v xml:space="preserve"> Sri Lanka</v>
      </c>
      <c r="W62" s="1" t="str">
        <f t="shared" si="12"/>
        <v>Bulawayo</v>
      </c>
      <c r="X62" s="1" t="str">
        <f t="shared" si="13"/>
        <v>No</v>
      </c>
      <c r="Y62" s="1"/>
    </row>
    <row r="63" spans="1:25" ht="14.25" customHeight="1">
      <c r="A63" s="1"/>
      <c r="B63" s="1">
        <v>45</v>
      </c>
      <c r="C63" s="1" t="s">
        <v>325</v>
      </c>
      <c r="D63" s="1" t="s">
        <v>138</v>
      </c>
      <c r="E63" s="1" t="s">
        <v>131</v>
      </c>
      <c r="F63" s="1" t="s">
        <v>131</v>
      </c>
      <c r="G63" s="1" t="s">
        <v>811</v>
      </c>
      <c r="H63" s="1" t="s">
        <v>26</v>
      </c>
      <c r="I63" s="1" t="s">
        <v>130</v>
      </c>
      <c r="J63" s="1" t="s">
        <v>195</v>
      </c>
      <c r="K63" s="1" t="s">
        <v>62</v>
      </c>
      <c r="L63" s="1"/>
      <c r="M63" s="1"/>
      <c r="N63" s="1" t="str">
        <f t="shared" si="5"/>
        <v>No</v>
      </c>
      <c r="O63" s="1">
        <f t="shared" si="6"/>
        <v>0</v>
      </c>
      <c r="P63" s="1">
        <f t="shared" si="8"/>
        <v>25</v>
      </c>
      <c r="Q63" s="1">
        <f t="shared" si="14"/>
        <v>0</v>
      </c>
      <c r="R63" s="1">
        <f t="shared" si="14"/>
        <v>0</v>
      </c>
      <c r="S63" s="29">
        <f t="shared" si="14"/>
        <v>52</v>
      </c>
      <c r="T63" s="1" t="str">
        <f t="shared" si="9"/>
        <v>run out</v>
      </c>
      <c r="U63" s="1" t="str">
        <f t="shared" si="10"/>
        <v>1</v>
      </c>
      <c r="V63" s="1" t="str">
        <f t="shared" si="11"/>
        <v xml:space="preserve"> Zimbabwe</v>
      </c>
      <c r="W63" s="1" t="str">
        <f t="shared" si="12"/>
        <v>Harare</v>
      </c>
      <c r="X63" s="1" t="str">
        <f t="shared" si="13"/>
        <v>Yes</v>
      </c>
      <c r="Y63" s="1"/>
    </row>
    <row r="64" spans="1:25" ht="14.25" customHeight="1">
      <c r="A64" s="1"/>
      <c r="B64" s="1">
        <v>46</v>
      </c>
      <c r="C64" s="1" t="s">
        <v>521</v>
      </c>
      <c r="D64" s="1" t="s">
        <v>359</v>
      </c>
      <c r="E64" s="1" t="s">
        <v>130</v>
      </c>
      <c r="F64" s="1" t="s">
        <v>131</v>
      </c>
      <c r="G64" s="1" t="s">
        <v>361</v>
      </c>
      <c r="H64" s="1" t="s">
        <v>29</v>
      </c>
      <c r="I64" s="1" t="s">
        <v>130</v>
      </c>
      <c r="J64" s="1" t="s">
        <v>133</v>
      </c>
      <c r="K64" s="1" t="s">
        <v>62</v>
      </c>
      <c r="L64" s="1"/>
      <c r="M64" s="1"/>
      <c r="N64" s="1" t="str">
        <f t="shared" si="5"/>
        <v>No</v>
      </c>
      <c r="O64" s="1">
        <f t="shared" si="6"/>
        <v>22</v>
      </c>
      <c r="P64" s="1">
        <f t="shared" si="8"/>
        <v>40</v>
      </c>
      <c r="Q64" s="1">
        <f t="shared" si="14"/>
        <v>1</v>
      </c>
      <c r="R64" s="1">
        <f t="shared" si="14"/>
        <v>0</v>
      </c>
      <c r="S64" s="29">
        <f t="shared" si="14"/>
        <v>80</v>
      </c>
      <c r="T64" s="1" t="str">
        <f t="shared" si="9"/>
        <v>bowled</v>
      </c>
      <c r="U64" s="1" t="str">
        <f t="shared" si="10"/>
        <v>1</v>
      </c>
      <c r="V64" s="1" t="str">
        <f t="shared" si="11"/>
        <v xml:space="preserve"> Sri Lanka</v>
      </c>
      <c r="W64" s="1" t="str">
        <f t="shared" si="12"/>
        <v>Harare</v>
      </c>
      <c r="X64" s="1" t="str">
        <f t="shared" si="13"/>
        <v>Yes</v>
      </c>
      <c r="Y64" s="1"/>
    </row>
    <row r="65" spans="1:25" ht="14.25" customHeight="1">
      <c r="A65" s="1"/>
      <c r="B65" s="1">
        <v>47</v>
      </c>
      <c r="C65" s="1" t="s">
        <v>131</v>
      </c>
      <c r="D65" s="1" t="s">
        <v>130</v>
      </c>
      <c r="E65" s="1" t="s">
        <v>131</v>
      </c>
      <c r="F65" s="1" t="s">
        <v>131</v>
      </c>
      <c r="G65" s="1" t="s">
        <v>210</v>
      </c>
      <c r="H65" s="1" t="s">
        <v>19</v>
      </c>
      <c r="I65" s="1" t="s">
        <v>151</v>
      </c>
      <c r="J65" s="1" t="s">
        <v>182</v>
      </c>
      <c r="K65" s="1" t="s">
        <v>21</v>
      </c>
      <c r="L65" s="1"/>
      <c r="M65" s="1"/>
      <c r="N65" s="1" t="str">
        <f t="shared" si="5"/>
        <v>No</v>
      </c>
      <c r="O65" s="1">
        <f t="shared" si="6"/>
        <v>69</v>
      </c>
      <c r="P65" s="1">
        <f t="shared" si="8"/>
        <v>1</v>
      </c>
      <c r="Q65" s="1">
        <f t="shared" si="14"/>
        <v>0</v>
      </c>
      <c r="R65" s="1">
        <f t="shared" si="14"/>
        <v>0</v>
      </c>
      <c r="S65" s="29">
        <f t="shared" si="14"/>
        <v>0</v>
      </c>
      <c r="T65" s="1" t="str">
        <f t="shared" si="9"/>
        <v>lbw</v>
      </c>
      <c r="U65" s="1" t="str">
        <f t="shared" si="10"/>
        <v>2</v>
      </c>
      <c r="V65" s="1" t="str">
        <f t="shared" si="11"/>
        <v xml:space="preserve"> Bangladesh</v>
      </c>
      <c r="W65" s="1" t="str">
        <f t="shared" si="12"/>
        <v>Dambulla</v>
      </c>
      <c r="X65" s="1" t="str">
        <f t="shared" si="13"/>
        <v>Yes</v>
      </c>
      <c r="Y65" s="1"/>
    </row>
    <row r="66" spans="1:25" ht="14.25" customHeight="1">
      <c r="A66" s="1"/>
      <c r="B66" s="1">
        <v>48</v>
      </c>
      <c r="C66" s="1" t="s">
        <v>129</v>
      </c>
      <c r="D66" s="1" t="s">
        <v>154</v>
      </c>
      <c r="E66" s="1" t="s">
        <v>151</v>
      </c>
      <c r="F66" s="1" t="s">
        <v>131</v>
      </c>
      <c r="G66" s="1" t="s">
        <v>384</v>
      </c>
      <c r="H66" s="1" t="s">
        <v>19</v>
      </c>
      <c r="I66" s="1" t="s">
        <v>151</v>
      </c>
      <c r="J66" s="1" t="s">
        <v>156</v>
      </c>
      <c r="K66" s="1" t="s">
        <v>21</v>
      </c>
      <c r="L66" s="1"/>
      <c r="M66" s="1"/>
      <c r="N66" s="1" t="str">
        <f t="shared" si="5"/>
        <v>No</v>
      </c>
      <c r="O66" s="1">
        <f t="shared" si="6"/>
        <v>41</v>
      </c>
      <c r="P66" s="1">
        <f t="shared" si="8"/>
        <v>24</v>
      </c>
      <c r="Q66" s="1">
        <f t="shared" si="14"/>
        <v>2</v>
      </c>
      <c r="R66" s="1">
        <f t="shared" si="14"/>
        <v>0</v>
      </c>
      <c r="S66" s="29">
        <f t="shared" si="14"/>
        <v>91.66</v>
      </c>
      <c r="T66" s="1" t="str">
        <f t="shared" si="9"/>
        <v>lbw</v>
      </c>
      <c r="U66" s="1" t="str">
        <f t="shared" si="10"/>
        <v>2</v>
      </c>
      <c r="V66" s="1" t="str">
        <f t="shared" si="11"/>
        <v xml:space="preserve"> Pakistan</v>
      </c>
      <c r="W66" s="1" t="str">
        <f t="shared" si="12"/>
        <v>Dambulla</v>
      </c>
      <c r="X66" s="1" t="str">
        <f t="shared" si="13"/>
        <v>Yes</v>
      </c>
      <c r="Y66" s="1"/>
    </row>
    <row r="67" spans="1:25" ht="14.25" customHeight="1">
      <c r="A67" s="1"/>
      <c r="B67" s="1">
        <v>49</v>
      </c>
      <c r="C67" s="1" t="s">
        <v>701</v>
      </c>
      <c r="D67" s="1" t="s">
        <v>219</v>
      </c>
      <c r="E67" s="1" t="s">
        <v>144</v>
      </c>
      <c r="F67" s="1" t="s">
        <v>131</v>
      </c>
      <c r="G67" s="1" t="s">
        <v>812</v>
      </c>
      <c r="H67" s="1" t="s">
        <v>26</v>
      </c>
      <c r="I67" s="1" t="s">
        <v>130</v>
      </c>
      <c r="J67" s="1" t="s">
        <v>133</v>
      </c>
      <c r="K67" s="1" t="s">
        <v>21</v>
      </c>
      <c r="L67" s="1"/>
      <c r="M67" s="1"/>
      <c r="N67" s="1" t="str">
        <f t="shared" si="5"/>
        <v>No</v>
      </c>
      <c r="O67" s="1">
        <f t="shared" si="6"/>
        <v>4</v>
      </c>
      <c r="P67" s="1">
        <f t="shared" si="8"/>
        <v>73</v>
      </c>
      <c r="Q67" s="1">
        <f t="shared" si="14"/>
        <v>7</v>
      </c>
      <c r="R67" s="1">
        <f t="shared" si="14"/>
        <v>0</v>
      </c>
      <c r="S67" s="29">
        <f t="shared" si="14"/>
        <v>94.52</v>
      </c>
      <c r="T67" s="1" t="str">
        <f t="shared" si="9"/>
        <v>run out</v>
      </c>
      <c r="U67" s="1" t="str">
        <f t="shared" si="10"/>
        <v>1</v>
      </c>
      <c r="V67" s="1" t="str">
        <f t="shared" si="11"/>
        <v xml:space="preserve"> Sri Lanka</v>
      </c>
      <c r="W67" s="1" t="str">
        <f t="shared" si="12"/>
        <v>Dambulla</v>
      </c>
      <c r="X67" s="1" t="str">
        <f t="shared" si="13"/>
        <v>Yes</v>
      </c>
      <c r="Y67" s="1"/>
    </row>
    <row r="68" spans="1:25" ht="14.25" customHeight="1">
      <c r="A68" s="1"/>
      <c r="B68" s="1">
        <v>50</v>
      </c>
      <c r="C68" s="1" t="s">
        <v>165</v>
      </c>
      <c r="D68" s="1" t="s">
        <v>327</v>
      </c>
      <c r="E68" s="1" t="s">
        <v>148</v>
      </c>
      <c r="F68" s="1" t="s">
        <v>131</v>
      </c>
      <c r="G68" s="1" t="s">
        <v>813</v>
      </c>
      <c r="H68" s="1" t="s">
        <v>24</v>
      </c>
      <c r="I68" s="1" t="s">
        <v>130</v>
      </c>
      <c r="J68" s="1" t="s">
        <v>133</v>
      </c>
      <c r="K68" s="1" t="s">
        <v>21</v>
      </c>
      <c r="L68" s="1"/>
      <c r="M68" s="1"/>
      <c r="N68" s="1" t="str">
        <f t="shared" si="5"/>
        <v>No</v>
      </c>
      <c r="O68" s="1">
        <f t="shared" si="6"/>
        <v>0</v>
      </c>
      <c r="P68" s="1">
        <f t="shared" si="8"/>
        <v>52</v>
      </c>
      <c r="Q68" s="1">
        <f t="shared" si="14"/>
        <v>3</v>
      </c>
      <c r="R68" s="1">
        <f t="shared" si="14"/>
        <v>0</v>
      </c>
      <c r="S68" s="29">
        <f t="shared" si="14"/>
        <v>78.84</v>
      </c>
      <c r="T68" s="1" t="str">
        <f t="shared" si="9"/>
        <v>caught</v>
      </c>
      <c r="U68" s="1" t="str">
        <f t="shared" si="10"/>
        <v>1</v>
      </c>
      <c r="V68" s="1" t="str">
        <f t="shared" si="11"/>
        <v xml:space="preserve"> Sri Lanka</v>
      </c>
      <c r="W68" s="1" t="str">
        <f t="shared" si="12"/>
        <v>Dambulla</v>
      </c>
      <c r="X68" s="1" t="str">
        <f t="shared" si="13"/>
        <v>Yes</v>
      </c>
      <c r="Y68" s="1"/>
    </row>
    <row r="69" spans="1:25" ht="14.25" customHeight="1">
      <c r="A69" s="1"/>
      <c r="B69" s="1">
        <v>51</v>
      </c>
      <c r="C69" s="1" t="s">
        <v>140</v>
      </c>
      <c r="D69" s="1" t="s">
        <v>176</v>
      </c>
      <c r="E69" s="1" t="s">
        <v>131</v>
      </c>
      <c r="F69" s="1" t="s">
        <v>131</v>
      </c>
      <c r="G69" s="1" t="s">
        <v>814</v>
      </c>
      <c r="H69" s="1" t="s">
        <v>24</v>
      </c>
      <c r="I69" s="1" t="s">
        <v>151</v>
      </c>
      <c r="J69" s="1" t="s">
        <v>211</v>
      </c>
      <c r="K69" s="1" t="s">
        <v>21</v>
      </c>
      <c r="L69" s="1"/>
      <c r="M69" s="1"/>
      <c r="N69" s="1" t="str">
        <f t="shared" si="5"/>
        <v>No</v>
      </c>
      <c r="O69" s="1">
        <f t="shared" si="6"/>
        <v>11</v>
      </c>
      <c r="P69" s="1">
        <f t="shared" si="8"/>
        <v>11</v>
      </c>
      <c r="Q69" s="1">
        <f t="shared" si="14"/>
        <v>0</v>
      </c>
      <c r="R69" s="1">
        <f t="shared" si="14"/>
        <v>0</v>
      </c>
      <c r="S69" s="29">
        <f t="shared" si="14"/>
        <v>36.36</v>
      </c>
      <c r="T69" s="1" t="str">
        <f t="shared" si="9"/>
        <v>caught</v>
      </c>
      <c r="U69" s="1" t="str">
        <f t="shared" si="10"/>
        <v>2</v>
      </c>
      <c r="V69" s="1" t="str">
        <f t="shared" si="11"/>
        <v xml:space="preserve"> New Zealand</v>
      </c>
      <c r="W69" s="1" t="str">
        <f t="shared" si="12"/>
        <v>Dambulla</v>
      </c>
      <c r="X69" s="1" t="str">
        <f t="shared" si="13"/>
        <v>Yes</v>
      </c>
      <c r="Y69" s="1"/>
    </row>
    <row r="70" spans="1:25" ht="14.25" customHeight="1">
      <c r="A70" s="1"/>
      <c r="B70" s="1">
        <v>52</v>
      </c>
      <c r="C70" s="1" t="s">
        <v>131</v>
      </c>
      <c r="D70" s="1" t="s">
        <v>151</v>
      </c>
      <c r="E70" s="1" t="s">
        <v>131</v>
      </c>
      <c r="F70" s="1" t="s">
        <v>131</v>
      </c>
      <c r="G70" s="1" t="s">
        <v>210</v>
      </c>
      <c r="H70" s="1" t="s">
        <v>19</v>
      </c>
      <c r="I70" s="1" t="s">
        <v>151</v>
      </c>
      <c r="J70" s="1" t="s">
        <v>133</v>
      </c>
      <c r="K70" s="1" t="s">
        <v>21</v>
      </c>
      <c r="L70" s="1"/>
      <c r="M70" s="1"/>
      <c r="N70" s="1" t="str">
        <f t="shared" si="5"/>
        <v>No</v>
      </c>
      <c r="O70" s="1">
        <f t="shared" si="6"/>
        <v>5</v>
      </c>
      <c r="P70" s="1">
        <f t="shared" si="8"/>
        <v>2</v>
      </c>
      <c r="Q70" s="1">
        <f t="shared" si="14"/>
        <v>0</v>
      </c>
      <c r="R70" s="1">
        <f t="shared" si="14"/>
        <v>0</v>
      </c>
      <c r="S70" s="29">
        <f t="shared" si="14"/>
        <v>0</v>
      </c>
      <c r="T70" s="1" t="str">
        <f t="shared" si="9"/>
        <v>lbw</v>
      </c>
      <c r="U70" s="1" t="str">
        <f t="shared" si="10"/>
        <v>2</v>
      </c>
      <c r="V70" s="1" t="str">
        <f t="shared" si="11"/>
        <v xml:space="preserve"> Sri Lanka</v>
      </c>
      <c r="W70" s="1" t="str">
        <f t="shared" si="12"/>
        <v>Dambulla</v>
      </c>
      <c r="X70" s="1" t="str">
        <f t="shared" si="13"/>
        <v>Yes</v>
      </c>
      <c r="Y70" s="1"/>
    </row>
    <row r="71" spans="1:25" ht="14.25" customHeight="1">
      <c r="A71" s="1"/>
      <c r="B71" s="1">
        <v>53</v>
      </c>
      <c r="C71" s="1" t="s">
        <v>176</v>
      </c>
      <c r="D71" s="1" t="s">
        <v>246</v>
      </c>
      <c r="E71" s="1" t="s">
        <v>151</v>
      </c>
      <c r="F71" s="1" t="s">
        <v>131</v>
      </c>
      <c r="G71" s="1" t="s">
        <v>323</v>
      </c>
      <c r="H71" s="1" t="s">
        <v>19</v>
      </c>
      <c r="I71" s="1" t="s">
        <v>130</v>
      </c>
      <c r="J71" s="1" t="s">
        <v>133</v>
      </c>
      <c r="K71" s="1" t="s">
        <v>21</v>
      </c>
      <c r="L71" s="1"/>
      <c r="M71" s="1"/>
      <c r="N71" s="1" t="str">
        <f t="shared" si="5"/>
        <v>No</v>
      </c>
      <c r="O71" s="1">
        <f t="shared" si="6"/>
        <v>44</v>
      </c>
      <c r="P71" s="1">
        <f t="shared" si="8"/>
        <v>21</v>
      </c>
      <c r="Q71" s="1">
        <f t="shared" si="14"/>
        <v>2</v>
      </c>
      <c r="R71" s="1">
        <f t="shared" si="14"/>
        <v>0</v>
      </c>
      <c r="S71" s="29">
        <f t="shared" si="14"/>
        <v>52.38</v>
      </c>
      <c r="T71" s="1" t="str">
        <f t="shared" si="9"/>
        <v>lbw</v>
      </c>
      <c r="U71" s="1" t="str">
        <f t="shared" si="10"/>
        <v>1</v>
      </c>
      <c r="V71" s="1" t="str">
        <f t="shared" si="11"/>
        <v xml:space="preserve"> Sri Lanka</v>
      </c>
      <c r="W71" s="1" t="str">
        <f t="shared" si="12"/>
        <v>Dambulla</v>
      </c>
      <c r="X71" s="1" t="str">
        <f t="shared" si="13"/>
        <v>Yes</v>
      </c>
      <c r="Y71" s="1"/>
    </row>
    <row r="72" spans="1:25" ht="14.25" customHeight="1">
      <c r="A72" s="1"/>
      <c r="B72" s="1">
        <v>54</v>
      </c>
      <c r="C72" s="1" t="s">
        <v>202</v>
      </c>
      <c r="D72" s="1" t="s">
        <v>161</v>
      </c>
      <c r="E72" s="1" t="s">
        <v>131</v>
      </c>
      <c r="F72" s="1" t="s">
        <v>131</v>
      </c>
      <c r="G72" s="1" t="s">
        <v>417</v>
      </c>
      <c r="H72" s="1" t="s">
        <v>63</v>
      </c>
      <c r="I72" s="1" t="s">
        <v>151</v>
      </c>
      <c r="J72" s="1" t="s">
        <v>133</v>
      </c>
      <c r="K72" s="1" t="s">
        <v>21</v>
      </c>
      <c r="L72" s="1"/>
      <c r="M72" s="1"/>
      <c r="N72" s="1" t="str">
        <f t="shared" si="5"/>
        <v>No</v>
      </c>
      <c r="O72" s="1" t="str">
        <f t="shared" si="6"/>
        <v>NA</v>
      </c>
      <c r="P72" s="1">
        <f t="shared" si="8"/>
        <v>9</v>
      </c>
      <c r="Q72" s="1">
        <f t="shared" si="14"/>
        <v>0</v>
      </c>
      <c r="R72" s="1">
        <f t="shared" si="14"/>
        <v>0</v>
      </c>
      <c r="S72" s="29">
        <f t="shared" si="14"/>
        <v>55.55</v>
      </c>
      <c r="T72" s="1" t="str">
        <f t="shared" si="9"/>
        <v>stumped</v>
      </c>
      <c r="U72" s="1" t="str">
        <f t="shared" si="10"/>
        <v>2</v>
      </c>
      <c r="V72" s="1" t="str">
        <f t="shared" si="11"/>
        <v xml:space="preserve"> Sri Lanka</v>
      </c>
      <c r="W72" s="1" t="str">
        <f t="shared" si="12"/>
        <v>Dambulla</v>
      </c>
      <c r="X72" s="1" t="str">
        <f t="shared" si="13"/>
        <v>Yes</v>
      </c>
      <c r="Y72" s="1"/>
    </row>
    <row r="73" spans="1:25" ht="14.25" customHeight="1">
      <c r="A73" s="1"/>
      <c r="B73" s="1">
        <v>55</v>
      </c>
      <c r="C73" s="1" t="s">
        <v>369</v>
      </c>
      <c r="D73" s="1" t="s">
        <v>355</v>
      </c>
      <c r="E73" s="1" t="s">
        <v>140</v>
      </c>
      <c r="F73" s="1" t="s">
        <v>130</v>
      </c>
      <c r="G73" s="1" t="s">
        <v>384</v>
      </c>
      <c r="H73" s="1" t="s">
        <v>24</v>
      </c>
      <c r="I73" s="1" t="s">
        <v>151</v>
      </c>
      <c r="J73" s="1" t="s">
        <v>211</v>
      </c>
      <c r="K73" s="1" t="s">
        <v>67</v>
      </c>
      <c r="L73" s="1"/>
      <c r="M73" s="1"/>
      <c r="N73" s="1" t="str">
        <f t="shared" si="5"/>
        <v>No</v>
      </c>
      <c r="O73" s="1">
        <f t="shared" si="6"/>
        <v>11</v>
      </c>
      <c r="P73" s="1">
        <f t="shared" si="8"/>
        <v>48</v>
      </c>
      <c r="Q73" s="1">
        <f t="shared" si="14"/>
        <v>4</v>
      </c>
      <c r="R73" s="1">
        <f t="shared" si="14"/>
        <v>1</v>
      </c>
      <c r="S73" s="29">
        <f t="shared" si="14"/>
        <v>91.66</v>
      </c>
      <c r="T73" s="1" t="str">
        <f t="shared" si="9"/>
        <v>caught</v>
      </c>
      <c r="U73" s="1" t="str">
        <f t="shared" si="10"/>
        <v>2</v>
      </c>
      <c r="V73" s="1" t="str">
        <f t="shared" si="11"/>
        <v xml:space="preserve"> New Zealand</v>
      </c>
      <c r="W73" s="1" t="str">
        <f t="shared" si="12"/>
        <v>Bengaluru</v>
      </c>
      <c r="X73" s="1" t="str">
        <f t="shared" si="13"/>
        <v>Yes</v>
      </c>
      <c r="Y73" s="1"/>
    </row>
    <row r="74" spans="1:25" ht="14.25" customHeight="1">
      <c r="A74" s="1"/>
      <c r="B74" s="1">
        <v>56</v>
      </c>
      <c r="C74" s="1" t="s">
        <v>57</v>
      </c>
      <c r="D74" s="1" t="s">
        <v>157</v>
      </c>
      <c r="E74" s="1" t="s">
        <v>157</v>
      </c>
      <c r="F74" s="1" t="s">
        <v>157</v>
      </c>
      <c r="G74" s="1" t="s">
        <v>157</v>
      </c>
      <c r="H74" s="1" t="s">
        <v>157</v>
      </c>
      <c r="I74" s="1" t="s">
        <v>151</v>
      </c>
      <c r="J74" s="1" t="s">
        <v>211</v>
      </c>
      <c r="K74" s="1" t="s">
        <v>68</v>
      </c>
      <c r="L74" s="1"/>
      <c r="M74" s="1"/>
      <c r="N74" s="1" t="str">
        <f t="shared" si="5"/>
        <v>Yes</v>
      </c>
      <c r="O74" s="1">
        <f t="shared" si="6"/>
        <v>9</v>
      </c>
      <c r="P74" s="1" t="str">
        <f t="shared" si="8"/>
        <v>NA</v>
      </c>
      <c r="Q74" s="1" t="str">
        <f t="shared" si="14"/>
        <v>NA</v>
      </c>
      <c r="R74" s="1" t="str">
        <f t="shared" si="14"/>
        <v>NA</v>
      </c>
      <c r="S74" s="29" t="str">
        <f t="shared" si="14"/>
        <v>NA</v>
      </c>
      <c r="T74" s="1" t="str">
        <f t="shared" si="9"/>
        <v>NA</v>
      </c>
      <c r="U74" s="1" t="str">
        <f t="shared" si="10"/>
        <v>2</v>
      </c>
      <c r="V74" s="1" t="str">
        <f t="shared" si="11"/>
        <v xml:space="preserve"> New Zealand</v>
      </c>
      <c r="W74" s="1" t="str">
        <f t="shared" si="12"/>
        <v>Chennai</v>
      </c>
      <c r="X74" s="1" t="str">
        <f t="shared" si="13"/>
        <v>No</v>
      </c>
      <c r="Y74" s="1"/>
    </row>
    <row r="75" spans="1:25" ht="14.25" customHeight="1">
      <c r="A75" s="1"/>
      <c r="B75" s="1">
        <v>57</v>
      </c>
      <c r="C75" s="1" t="s">
        <v>176</v>
      </c>
      <c r="D75" s="1" t="s">
        <v>169</v>
      </c>
      <c r="E75" s="1" t="s">
        <v>130</v>
      </c>
      <c r="F75" s="1" t="s">
        <v>131</v>
      </c>
      <c r="G75" s="1" t="s">
        <v>815</v>
      </c>
      <c r="H75" s="1" t="s">
        <v>24</v>
      </c>
      <c r="I75" s="1" t="s">
        <v>151</v>
      </c>
      <c r="J75" s="1" t="s">
        <v>191</v>
      </c>
      <c r="K75" s="1" t="s">
        <v>69</v>
      </c>
      <c r="L75" s="1"/>
      <c r="M75" s="1"/>
      <c r="N75" s="1" t="str">
        <f t="shared" si="5"/>
        <v>No</v>
      </c>
      <c r="O75" s="1">
        <f t="shared" si="6"/>
        <v>23</v>
      </c>
      <c r="P75" s="1">
        <f t="shared" si="8"/>
        <v>27</v>
      </c>
      <c r="Q75" s="1">
        <f t="shared" si="14"/>
        <v>1</v>
      </c>
      <c r="R75" s="1">
        <f t="shared" si="14"/>
        <v>0</v>
      </c>
      <c r="S75" s="29">
        <f t="shared" si="14"/>
        <v>40.74</v>
      </c>
      <c r="T75" s="1" t="str">
        <f t="shared" si="9"/>
        <v>caught</v>
      </c>
      <c r="U75" s="1" t="str">
        <f t="shared" si="10"/>
        <v>2</v>
      </c>
      <c r="V75" s="1" t="str">
        <f t="shared" si="11"/>
        <v xml:space="preserve"> South Africa</v>
      </c>
      <c r="W75" s="1" t="str">
        <f t="shared" si="12"/>
        <v>Durban</v>
      </c>
      <c r="X75" s="1" t="str">
        <f t="shared" si="13"/>
        <v>Yes</v>
      </c>
      <c r="Y75" s="1"/>
    </row>
    <row r="76" spans="1:25" ht="14.25" customHeight="1">
      <c r="A76" s="1"/>
      <c r="B76" s="1">
        <v>58</v>
      </c>
      <c r="C76" s="1" t="s">
        <v>161</v>
      </c>
      <c r="D76" s="1" t="s">
        <v>205</v>
      </c>
      <c r="E76" s="1" t="s">
        <v>130</v>
      </c>
      <c r="F76" s="1" t="s">
        <v>131</v>
      </c>
      <c r="G76" s="1" t="s">
        <v>282</v>
      </c>
      <c r="H76" s="1" t="s">
        <v>19</v>
      </c>
      <c r="I76" s="1" t="s">
        <v>130</v>
      </c>
      <c r="J76" s="1" t="s">
        <v>191</v>
      </c>
      <c r="K76" s="1" t="s">
        <v>43</v>
      </c>
      <c r="L76" s="1"/>
      <c r="M76" s="1"/>
      <c r="N76" s="1" t="str">
        <f t="shared" si="5"/>
        <v>No</v>
      </c>
      <c r="O76" s="1">
        <f t="shared" si="6"/>
        <v>1</v>
      </c>
      <c r="P76" s="1">
        <f t="shared" si="8"/>
        <v>14</v>
      </c>
      <c r="Q76" s="1">
        <f t="shared" si="14"/>
        <v>1</v>
      </c>
      <c r="R76" s="1">
        <f t="shared" si="14"/>
        <v>0</v>
      </c>
      <c r="S76" s="29">
        <f t="shared" si="14"/>
        <v>64.28</v>
      </c>
      <c r="T76" s="1" t="str">
        <f t="shared" si="9"/>
        <v>lbw</v>
      </c>
      <c r="U76" s="1" t="str">
        <f t="shared" si="10"/>
        <v>1</v>
      </c>
      <c r="V76" s="1" t="str">
        <f t="shared" si="11"/>
        <v xml:space="preserve"> South Africa</v>
      </c>
      <c r="W76" s="1" t="str">
        <f t="shared" si="12"/>
        <v>Johannesburg</v>
      </c>
      <c r="X76" s="1" t="str">
        <f t="shared" si="13"/>
        <v>Yes</v>
      </c>
      <c r="Y76" s="1"/>
    </row>
    <row r="77" spans="1:25" ht="14.25" customHeight="1">
      <c r="A77" s="1"/>
      <c r="B77" s="1">
        <v>59</v>
      </c>
      <c r="C77" s="1" t="s">
        <v>304</v>
      </c>
      <c r="D77" s="1" t="s">
        <v>405</v>
      </c>
      <c r="E77" s="1" t="s">
        <v>151</v>
      </c>
      <c r="F77" s="1" t="s">
        <v>131</v>
      </c>
      <c r="G77" s="1" t="s">
        <v>816</v>
      </c>
      <c r="H77" s="1" t="s">
        <v>29</v>
      </c>
      <c r="I77" s="1" t="s">
        <v>151</v>
      </c>
      <c r="J77" s="1" t="s">
        <v>191</v>
      </c>
      <c r="K77" s="1" t="s">
        <v>70</v>
      </c>
      <c r="L77" s="1"/>
      <c r="M77" s="1"/>
      <c r="N77" s="1" t="str">
        <f t="shared" si="5"/>
        <v>No</v>
      </c>
      <c r="O77" s="1">
        <f t="shared" si="6"/>
        <v>5</v>
      </c>
      <c r="P77" s="1">
        <f t="shared" si="8"/>
        <v>45</v>
      </c>
      <c r="Q77" s="1">
        <f t="shared" si="14"/>
        <v>2</v>
      </c>
      <c r="R77" s="1">
        <f t="shared" si="14"/>
        <v>0</v>
      </c>
      <c r="S77" s="29">
        <f t="shared" si="14"/>
        <v>51.11</v>
      </c>
      <c r="T77" s="1" t="str">
        <f t="shared" si="9"/>
        <v>bowled</v>
      </c>
      <c r="U77" s="1" t="str">
        <f t="shared" si="10"/>
        <v>2</v>
      </c>
      <c r="V77" s="1" t="str">
        <f t="shared" si="11"/>
        <v xml:space="preserve"> South Africa</v>
      </c>
      <c r="W77" s="1" t="str">
        <f t="shared" si="12"/>
        <v>Cape Town</v>
      </c>
      <c r="X77" s="1" t="str">
        <f t="shared" si="13"/>
        <v>Yes</v>
      </c>
      <c r="Y77" s="1"/>
    </row>
    <row r="78" spans="1:25" ht="14.25" customHeight="1">
      <c r="A78" s="1"/>
      <c r="B78" s="1">
        <v>60</v>
      </c>
      <c r="C78" s="1" t="s">
        <v>130</v>
      </c>
      <c r="D78" s="1" t="s">
        <v>136</v>
      </c>
      <c r="E78" s="1" t="s">
        <v>131</v>
      </c>
      <c r="F78" s="1" t="s">
        <v>131</v>
      </c>
      <c r="G78" s="1" t="s">
        <v>481</v>
      </c>
      <c r="H78" s="1" t="s">
        <v>24</v>
      </c>
      <c r="I78" s="1" t="s">
        <v>151</v>
      </c>
      <c r="J78" s="1" t="s">
        <v>191</v>
      </c>
      <c r="K78" s="1" t="s">
        <v>71</v>
      </c>
      <c r="L78" s="1"/>
      <c r="M78" s="1"/>
      <c r="N78" s="1" t="str">
        <f t="shared" si="5"/>
        <v>No</v>
      </c>
      <c r="O78" s="1">
        <f t="shared" si="6"/>
        <v>68</v>
      </c>
      <c r="P78" s="1">
        <f t="shared" si="8"/>
        <v>6</v>
      </c>
      <c r="Q78" s="1">
        <f t="shared" si="14"/>
        <v>0</v>
      </c>
      <c r="R78" s="1">
        <f t="shared" si="14"/>
        <v>0</v>
      </c>
      <c r="S78" s="29">
        <f t="shared" si="14"/>
        <v>16.66</v>
      </c>
      <c r="T78" s="1" t="str">
        <f t="shared" si="9"/>
        <v>caught</v>
      </c>
      <c r="U78" s="1" t="str">
        <f t="shared" si="10"/>
        <v>2</v>
      </c>
      <c r="V78" s="1" t="str">
        <f t="shared" si="11"/>
        <v xml:space="preserve"> South Africa</v>
      </c>
      <c r="W78" s="1" t="str">
        <f t="shared" si="12"/>
        <v>Gqeberha</v>
      </c>
      <c r="X78" s="1" t="str">
        <f t="shared" si="13"/>
        <v>Yes</v>
      </c>
      <c r="Y78" s="1"/>
    </row>
    <row r="79" spans="1:25" ht="14.25" customHeight="1">
      <c r="A79" s="1"/>
      <c r="B79" s="1">
        <v>61</v>
      </c>
      <c r="C79" s="1" t="s">
        <v>202</v>
      </c>
      <c r="D79" s="1" t="s">
        <v>189</v>
      </c>
      <c r="E79" s="1" t="s">
        <v>130</v>
      </c>
      <c r="F79" s="1" t="s">
        <v>131</v>
      </c>
      <c r="G79" s="1" t="s">
        <v>168</v>
      </c>
      <c r="H79" s="1" t="s">
        <v>29</v>
      </c>
      <c r="I79" s="1" t="s">
        <v>151</v>
      </c>
      <c r="J79" s="1" t="s">
        <v>191</v>
      </c>
      <c r="K79" s="1" t="s">
        <v>36</v>
      </c>
      <c r="L79" s="1"/>
      <c r="M79" s="1"/>
      <c r="N79" s="1" t="str">
        <f t="shared" si="5"/>
        <v>No</v>
      </c>
      <c r="O79" s="1">
        <f t="shared" si="6"/>
        <v>7</v>
      </c>
      <c r="P79" s="1">
        <f t="shared" si="8"/>
        <v>8</v>
      </c>
      <c r="Q79" s="1">
        <f t="shared" si="14"/>
        <v>1</v>
      </c>
      <c r="R79" s="1">
        <f t="shared" si="14"/>
        <v>0</v>
      </c>
      <c r="S79" s="29">
        <f t="shared" si="14"/>
        <v>62.5</v>
      </c>
      <c r="T79" s="1" t="str">
        <f t="shared" si="9"/>
        <v>bowled</v>
      </c>
      <c r="U79" s="1" t="str">
        <f t="shared" si="10"/>
        <v>2</v>
      </c>
      <c r="V79" s="1" t="str">
        <f t="shared" si="11"/>
        <v xml:space="preserve"> South Africa</v>
      </c>
      <c r="W79" s="1" t="str">
        <f t="shared" si="12"/>
        <v>Centurion</v>
      </c>
      <c r="X79" s="1" t="str">
        <f t="shared" si="13"/>
        <v>Yes</v>
      </c>
      <c r="Y79" s="1"/>
    </row>
    <row r="80" spans="1:25" ht="14.25" customHeight="1">
      <c r="A80" s="1"/>
      <c r="B80" s="1">
        <v>62</v>
      </c>
      <c r="C80" s="1" t="s">
        <v>331</v>
      </c>
      <c r="D80" s="1" t="s">
        <v>447</v>
      </c>
      <c r="E80" s="1" t="s">
        <v>148</v>
      </c>
      <c r="F80" s="1" t="s">
        <v>130</v>
      </c>
      <c r="G80" s="1" t="s">
        <v>817</v>
      </c>
      <c r="H80" s="1" t="s">
        <v>32</v>
      </c>
      <c r="I80" s="1" t="s">
        <v>151</v>
      </c>
      <c r="J80" s="1" t="s">
        <v>163</v>
      </c>
      <c r="K80" s="1" t="s">
        <v>76</v>
      </c>
      <c r="L80" s="1"/>
      <c r="M80" s="1"/>
      <c r="N80" s="1" t="str">
        <f t="shared" si="5"/>
        <v>No</v>
      </c>
      <c r="O80" s="1">
        <f t="shared" si="6"/>
        <v>86</v>
      </c>
      <c r="P80" s="1">
        <f t="shared" si="8"/>
        <v>75</v>
      </c>
      <c r="Q80" s="1">
        <f t="shared" si="14"/>
        <v>3</v>
      </c>
      <c r="R80" s="1">
        <f t="shared" si="14"/>
        <v>1</v>
      </c>
      <c r="S80" s="29">
        <f t="shared" si="14"/>
        <v>90.66</v>
      </c>
      <c r="T80" s="1" t="str">
        <f t="shared" si="9"/>
        <v>not out</v>
      </c>
      <c r="U80" s="1" t="str">
        <f t="shared" si="10"/>
        <v>2</v>
      </c>
      <c r="V80" s="1" t="str">
        <f t="shared" si="11"/>
        <v xml:space="preserve"> West Indies</v>
      </c>
      <c r="W80" s="1" t="str">
        <f t="shared" si="12"/>
        <v>Port of Spain</v>
      </c>
      <c r="X80" s="1" t="str">
        <f t="shared" si="13"/>
        <v>No</v>
      </c>
      <c r="Y80" s="1"/>
    </row>
    <row r="81" spans="1:25" ht="14.25" customHeight="1">
      <c r="A81" s="1"/>
      <c r="B81" s="1">
        <v>63</v>
      </c>
      <c r="C81" s="1" t="s">
        <v>532</v>
      </c>
      <c r="D81" s="1" t="s">
        <v>205</v>
      </c>
      <c r="E81" s="1" t="s">
        <v>130</v>
      </c>
      <c r="F81" s="1" t="s">
        <v>131</v>
      </c>
      <c r="G81" s="1" t="s">
        <v>204</v>
      </c>
      <c r="H81" s="1" t="s">
        <v>32</v>
      </c>
      <c r="I81" s="1" t="s">
        <v>151</v>
      </c>
      <c r="J81" s="1" t="s">
        <v>163</v>
      </c>
      <c r="K81" s="1" t="s">
        <v>76</v>
      </c>
      <c r="L81" s="1"/>
      <c r="M81" s="1"/>
      <c r="N81" s="1" t="str">
        <f t="shared" si="5"/>
        <v>No</v>
      </c>
      <c r="O81" s="1">
        <f t="shared" si="6"/>
        <v>39</v>
      </c>
      <c r="P81" s="1">
        <f t="shared" si="8"/>
        <v>14</v>
      </c>
      <c r="Q81" s="1">
        <f t="shared" si="14"/>
        <v>1</v>
      </c>
      <c r="R81" s="1">
        <f t="shared" si="14"/>
        <v>0</v>
      </c>
      <c r="S81" s="29">
        <f t="shared" si="14"/>
        <v>50</v>
      </c>
      <c r="T81" s="1" t="str">
        <f t="shared" si="9"/>
        <v>not out</v>
      </c>
      <c r="U81" s="1" t="str">
        <f t="shared" si="10"/>
        <v>2</v>
      </c>
      <c r="V81" s="1" t="str">
        <f t="shared" si="11"/>
        <v xml:space="preserve"> West Indies</v>
      </c>
      <c r="W81" s="1" t="str">
        <f t="shared" si="12"/>
        <v>Port of Spain</v>
      </c>
      <c r="X81" s="1" t="str">
        <f t="shared" si="13"/>
        <v>No</v>
      </c>
      <c r="Y81" s="1"/>
    </row>
    <row r="82" spans="1:25" ht="14.25" customHeight="1">
      <c r="A82" s="1"/>
      <c r="B82" s="1">
        <v>64</v>
      </c>
      <c r="C82" s="1" t="s">
        <v>268</v>
      </c>
      <c r="D82" s="1" t="s">
        <v>179</v>
      </c>
      <c r="E82" s="1" t="s">
        <v>202</v>
      </c>
      <c r="F82" s="1" t="s">
        <v>151</v>
      </c>
      <c r="G82" s="1" t="s">
        <v>818</v>
      </c>
      <c r="H82" s="1" t="s">
        <v>32</v>
      </c>
      <c r="I82" s="1" t="s">
        <v>151</v>
      </c>
      <c r="J82" s="1" t="s">
        <v>163</v>
      </c>
      <c r="K82" s="1" t="s">
        <v>77</v>
      </c>
      <c r="L82" s="1"/>
      <c r="M82" s="1"/>
      <c r="N82" s="1" t="str">
        <f t="shared" si="5"/>
        <v>No</v>
      </c>
      <c r="O82" s="1">
        <f t="shared" si="6"/>
        <v>57</v>
      </c>
      <c r="P82" s="1">
        <f t="shared" si="8"/>
        <v>91</v>
      </c>
      <c r="Q82" s="1">
        <f t="shared" si="14"/>
        <v>5</v>
      </c>
      <c r="R82" s="1">
        <f t="shared" si="14"/>
        <v>2</v>
      </c>
      <c r="S82" s="29">
        <f t="shared" si="14"/>
        <v>94.5</v>
      </c>
      <c r="T82" s="1" t="str">
        <f t="shared" si="9"/>
        <v>not out</v>
      </c>
      <c r="U82" s="1" t="str">
        <f t="shared" si="10"/>
        <v>2</v>
      </c>
      <c r="V82" s="1" t="str">
        <f t="shared" si="11"/>
        <v xml:space="preserve"> West Indies</v>
      </c>
      <c r="W82" s="1" t="str">
        <f t="shared" si="12"/>
        <v>North Sound</v>
      </c>
      <c r="X82" s="1" t="str">
        <f t="shared" si="13"/>
        <v>No</v>
      </c>
      <c r="Y82" s="1"/>
    </row>
    <row r="83" spans="1:25" ht="14.25" customHeight="1">
      <c r="A83" s="1"/>
      <c r="B83" s="1">
        <v>65</v>
      </c>
      <c r="C83" s="1" t="s">
        <v>436</v>
      </c>
      <c r="D83" s="1" t="s">
        <v>419</v>
      </c>
      <c r="E83" s="1" t="s">
        <v>131</v>
      </c>
      <c r="F83" s="1" t="s">
        <v>130</v>
      </c>
      <c r="G83" s="1" t="s">
        <v>819</v>
      </c>
      <c r="H83" s="1" t="s">
        <v>24</v>
      </c>
      <c r="I83" s="1" t="s">
        <v>151</v>
      </c>
      <c r="J83" s="1" t="s">
        <v>163</v>
      </c>
      <c r="K83" s="1" t="s">
        <v>77</v>
      </c>
      <c r="L83" s="1"/>
      <c r="M83" s="1"/>
      <c r="N83" s="1" t="str">
        <f t="shared" ref="N83:N146" si="15">IF(OR(C83="DNB",C83="TDNB"),"Yes","No")</f>
        <v>No</v>
      </c>
      <c r="O83" s="1">
        <f t="shared" ref="O83:O146" si="16">IF(N85="Yes", "NA",SUBSTITUTE(C85,"*","")*1)</f>
        <v>0</v>
      </c>
      <c r="P83" s="1">
        <f t="shared" si="8"/>
        <v>47</v>
      </c>
      <c r="Q83" s="1">
        <f t="shared" si="14"/>
        <v>0</v>
      </c>
      <c r="R83" s="1">
        <f t="shared" si="14"/>
        <v>1</v>
      </c>
      <c r="S83" s="29">
        <f t="shared" si="14"/>
        <v>82.97</v>
      </c>
      <c r="T83" s="1" t="str">
        <f t="shared" si="9"/>
        <v>caught</v>
      </c>
      <c r="U83" s="1" t="str">
        <f t="shared" si="10"/>
        <v>2</v>
      </c>
      <c r="V83" s="1" t="str">
        <f t="shared" si="11"/>
        <v xml:space="preserve"> West Indies</v>
      </c>
      <c r="W83" s="1" t="str">
        <f t="shared" si="12"/>
        <v>North Sound</v>
      </c>
      <c r="X83" s="1" t="str">
        <f t="shared" si="13"/>
        <v>Yes</v>
      </c>
      <c r="Y83" s="1"/>
    </row>
    <row r="84" spans="1:25" ht="14.25" customHeight="1">
      <c r="A84" s="1"/>
      <c r="B84" s="1">
        <v>66</v>
      </c>
      <c r="C84" s="1" t="s">
        <v>192</v>
      </c>
      <c r="D84" s="1" t="s">
        <v>454</v>
      </c>
      <c r="E84" s="1" t="s">
        <v>151</v>
      </c>
      <c r="F84" s="1" t="s">
        <v>130</v>
      </c>
      <c r="G84" s="1" t="s">
        <v>387</v>
      </c>
      <c r="H84" s="1" t="s">
        <v>29</v>
      </c>
      <c r="I84" s="1" t="s">
        <v>130</v>
      </c>
      <c r="J84" s="1" t="s">
        <v>163</v>
      </c>
      <c r="K84" s="1" t="s">
        <v>78</v>
      </c>
      <c r="L84" s="1"/>
      <c r="M84" s="1"/>
      <c r="N84" s="1" t="str">
        <f t="shared" si="15"/>
        <v>No</v>
      </c>
      <c r="O84" s="1">
        <f t="shared" si="16"/>
        <v>72</v>
      </c>
      <c r="P84" s="1">
        <f t="shared" ref="P84:P147" si="17">IF(D84="-","NA",D84*1)</f>
        <v>72</v>
      </c>
      <c r="Q84" s="1">
        <f t="shared" si="14"/>
        <v>2</v>
      </c>
      <c r="R84" s="1">
        <f t="shared" si="14"/>
        <v>1</v>
      </c>
      <c r="S84" s="29">
        <f t="shared" si="14"/>
        <v>79.16</v>
      </c>
      <c r="T84" s="1" t="str">
        <f t="shared" ref="T84:T147" si="18">IF(H84="-","NA",H84)</f>
        <v>bowled</v>
      </c>
      <c r="U84" s="1" t="str">
        <f t="shared" ref="U84:U147" si="19">I84</f>
        <v>1</v>
      </c>
      <c r="V84" s="1" t="str">
        <f t="shared" ref="V84:V147" si="20">SUBSTITUTE(J84,"v","")</f>
        <v xml:space="preserve"> West Indies</v>
      </c>
      <c r="W84" s="1" t="str">
        <f t="shared" ref="W84:W147" si="21">K84</f>
        <v>Kingston</v>
      </c>
      <c r="X84" s="1" t="str">
        <f t="shared" ref="X84:X147" si="22">IF(N84="Yes","No",IF(T84="not out","No","Yes"))</f>
        <v>Yes</v>
      </c>
      <c r="Y84" s="1"/>
    </row>
    <row r="85" spans="1:25" ht="14.25" customHeight="1">
      <c r="A85" s="1"/>
      <c r="B85" s="1">
        <v>67</v>
      </c>
      <c r="C85" s="1" t="s">
        <v>799</v>
      </c>
      <c r="D85" s="1" t="s">
        <v>130</v>
      </c>
      <c r="E85" s="1" t="s">
        <v>131</v>
      </c>
      <c r="F85" s="1" t="s">
        <v>131</v>
      </c>
      <c r="G85" s="1" t="s">
        <v>210</v>
      </c>
      <c r="H85" s="1" t="s">
        <v>820</v>
      </c>
      <c r="I85" s="1" t="s">
        <v>130</v>
      </c>
      <c r="J85" s="1" t="s">
        <v>234</v>
      </c>
      <c r="K85" s="1" t="s">
        <v>79</v>
      </c>
      <c r="L85" s="1"/>
      <c r="M85" s="1"/>
      <c r="N85" s="1" t="str">
        <f t="shared" si="15"/>
        <v>No</v>
      </c>
      <c r="O85" s="1">
        <f t="shared" si="16"/>
        <v>90</v>
      </c>
      <c r="P85" s="1">
        <f t="shared" si="17"/>
        <v>1</v>
      </c>
      <c r="Q85" s="1">
        <f t="shared" si="14"/>
        <v>0</v>
      </c>
      <c r="R85" s="1">
        <f t="shared" si="14"/>
        <v>0</v>
      </c>
      <c r="S85" s="29">
        <f t="shared" si="14"/>
        <v>0</v>
      </c>
      <c r="T85" s="1" t="str">
        <f t="shared" si="18"/>
        <v>retired notout</v>
      </c>
      <c r="U85" s="1" t="str">
        <f t="shared" si="19"/>
        <v>1</v>
      </c>
      <c r="V85" s="1" t="str">
        <f t="shared" si="20"/>
        <v xml:space="preserve"> England</v>
      </c>
      <c r="W85" s="1" t="str">
        <f t="shared" si="21"/>
        <v>Chester-le-Street</v>
      </c>
      <c r="X85" s="1" t="str">
        <f t="shared" si="22"/>
        <v>Yes</v>
      </c>
      <c r="Y85" s="1"/>
    </row>
    <row r="86" spans="1:25" ht="14.25" customHeight="1">
      <c r="A86" s="1"/>
      <c r="B86" s="1">
        <v>68</v>
      </c>
      <c r="C86" s="1" t="s">
        <v>454</v>
      </c>
      <c r="D86" s="1" t="s">
        <v>269</v>
      </c>
      <c r="E86" s="1" t="s">
        <v>148</v>
      </c>
      <c r="F86" s="1" t="s">
        <v>130</v>
      </c>
      <c r="G86" s="1" t="s">
        <v>245</v>
      </c>
      <c r="H86" s="1" t="s">
        <v>29</v>
      </c>
      <c r="I86" s="1" t="s">
        <v>151</v>
      </c>
      <c r="J86" s="1" t="s">
        <v>163</v>
      </c>
      <c r="K86" s="1" t="s">
        <v>86</v>
      </c>
      <c r="L86" s="1"/>
      <c r="M86" s="1"/>
      <c r="N86" s="1" t="str">
        <f t="shared" si="15"/>
        <v>No</v>
      </c>
      <c r="O86" s="1">
        <f t="shared" si="16"/>
        <v>95</v>
      </c>
      <c r="P86" s="1">
        <f t="shared" si="17"/>
        <v>99</v>
      </c>
      <c r="Q86" s="1">
        <f t="shared" si="14"/>
        <v>3</v>
      </c>
      <c r="R86" s="1">
        <f t="shared" si="14"/>
        <v>1</v>
      </c>
      <c r="S86" s="29">
        <f t="shared" si="14"/>
        <v>72.72</v>
      </c>
      <c r="T86" s="1" t="str">
        <f t="shared" si="18"/>
        <v>bowled</v>
      </c>
      <c r="U86" s="1" t="str">
        <f t="shared" si="19"/>
        <v>2</v>
      </c>
      <c r="V86" s="1" t="str">
        <f t="shared" si="20"/>
        <v xml:space="preserve"> West Indies</v>
      </c>
      <c r="W86" s="1" t="str">
        <f t="shared" si="21"/>
        <v>Cuttack</v>
      </c>
      <c r="X86" s="1" t="str">
        <f t="shared" si="22"/>
        <v>Yes</v>
      </c>
      <c r="Y86" s="1"/>
    </row>
    <row r="87" spans="1:25" ht="14.25" customHeight="1">
      <c r="A87" s="1"/>
      <c r="B87" s="1">
        <v>69</v>
      </c>
      <c r="C87" s="1" t="s">
        <v>821</v>
      </c>
      <c r="D87" s="1" t="s">
        <v>265</v>
      </c>
      <c r="E87" s="1" t="s">
        <v>144</v>
      </c>
      <c r="F87" s="1" t="s">
        <v>151</v>
      </c>
      <c r="G87" s="1" t="s">
        <v>822</v>
      </c>
      <c r="H87" s="1" t="s">
        <v>32</v>
      </c>
      <c r="I87" s="1" t="s">
        <v>151</v>
      </c>
      <c r="J87" s="1" t="s">
        <v>163</v>
      </c>
      <c r="K87" s="1" t="s">
        <v>65</v>
      </c>
      <c r="L87" s="1"/>
      <c r="M87" s="1"/>
      <c r="N87" s="1" t="str">
        <f t="shared" si="15"/>
        <v>No</v>
      </c>
      <c r="O87" s="1">
        <f t="shared" si="16"/>
        <v>27</v>
      </c>
      <c r="P87" s="1">
        <f t="shared" si="17"/>
        <v>98</v>
      </c>
      <c r="Q87" s="1">
        <f t="shared" si="14"/>
        <v>7</v>
      </c>
      <c r="R87" s="1">
        <f t="shared" si="14"/>
        <v>2</v>
      </c>
      <c r="S87" s="29">
        <f t="shared" si="14"/>
        <v>91.83</v>
      </c>
      <c r="T87" s="1" t="str">
        <f t="shared" si="18"/>
        <v>not out</v>
      </c>
      <c r="U87" s="1" t="str">
        <f t="shared" si="19"/>
        <v>2</v>
      </c>
      <c r="V87" s="1" t="str">
        <f t="shared" si="20"/>
        <v xml:space="preserve"> West Indies</v>
      </c>
      <c r="W87" s="1" t="str">
        <f t="shared" si="21"/>
        <v>Visakhapatnam</v>
      </c>
      <c r="X87" s="1" t="str">
        <f t="shared" si="22"/>
        <v>No</v>
      </c>
      <c r="Y87" s="1"/>
    </row>
    <row r="88" spans="1:25" ht="14.25" customHeight="1">
      <c r="A88" s="1"/>
      <c r="B88" s="1">
        <v>70</v>
      </c>
      <c r="C88" s="1" t="s">
        <v>187</v>
      </c>
      <c r="D88" s="1" t="s">
        <v>342</v>
      </c>
      <c r="E88" s="1" t="s">
        <v>167</v>
      </c>
      <c r="F88" s="1" t="s">
        <v>130</v>
      </c>
      <c r="G88" s="1" t="s">
        <v>645</v>
      </c>
      <c r="H88" s="1" t="s">
        <v>26</v>
      </c>
      <c r="I88" s="1" t="s">
        <v>151</v>
      </c>
      <c r="J88" s="1" t="s">
        <v>163</v>
      </c>
      <c r="K88" s="1" t="s">
        <v>59</v>
      </c>
      <c r="L88" s="1"/>
      <c r="M88" s="1"/>
      <c r="N88" s="1" t="str">
        <f t="shared" si="15"/>
        <v>No</v>
      </c>
      <c r="O88" s="1">
        <f t="shared" si="16"/>
        <v>21</v>
      </c>
      <c r="P88" s="1">
        <f t="shared" si="17"/>
        <v>100</v>
      </c>
      <c r="Q88" s="1">
        <f t="shared" si="14"/>
        <v>10</v>
      </c>
      <c r="R88" s="1">
        <f t="shared" si="14"/>
        <v>1</v>
      </c>
      <c r="S88" s="29">
        <f t="shared" si="14"/>
        <v>95</v>
      </c>
      <c r="T88" s="1" t="str">
        <f t="shared" si="18"/>
        <v>run out</v>
      </c>
      <c r="U88" s="1" t="str">
        <f t="shared" si="19"/>
        <v>2</v>
      </c>
      <c r="V88" s="1" t="str">
        <f t="shared" si="20"/>
        <v xml:space="preserve"> West Indies</v>
      </c>
      <c r="W88" s="1" t="str">
        <f t="shared" si="21"/>
        <v>Ahmedabad</v>
      </c>
      <c r="X88" s="1" t="str">
        <f t="shared" si="22"/>
        <v>Yes</v>
      </c>
      <c r="Y88" s="1"/>
    </row>
    <row r="89" spans="1:25" ht="14.25" customHeight="1">
      <c r="A89" s="1"/>
      <c r="B89" s="1">
        <v>71</v>
      </c>
      <c r="C89" s="1" t="s">
        <v>169</v>
      </c>
      <c r="D89" s="1" t="s">
        <v>153</v>
      </c>
      <c r="E89" s="1" t="s">
        <v>148</v>
      </c>
      <c r="F89" s="1" t="s">
        <v>131</v>
      </c>
      <c r="G89" s="1" t="s">
        <v>823</v>
      </c>
      <c r="H89" s="1" t="s">
        <v>29</v>
      </c>
      <c r="I89" s="1" t="s">
        <v>130</v>
      </c>
      <c r="J89" s="1" t="s">
        <v>163</v>
      </c>
      <c r="K89" s="1" t="s">
        <v>87</v>
      </c>
      <c r="L89" s="1"/>
      <c r="M89" s="1"/>
      <c r="N89" s="1" t="str">
        <f t="shared" si="15"/>
        <v>No</v>
      </c>
      <c r="O89" s="1">
        <f t="shared" si="16"/>
        <v>21</v>
      </c>
      <c r="P89" s="1">
        <f t="shared" si="17"/>
        <v>16</v>
      </c>
      <c r="Q89" s="1">
        <f t="shared" si="14"/>
        <v>3</v>
      </c>
      <c r="R89" s="1">
        <f t="shared" si="14"/>
        <v>0</v>
      </c>
      <c r="S89" s="29">
        <f t="shared" si="14"/>
        <v>168.75</v>
      </c>
      <c r="T89" s="1" t="str">
        <f t="shared" si="18"/>
        <v>bowled</v>
      </c>
      <c r="U89" s="1" t="str">
        <f t="shared" si="19"/>
        <v>1</v>
      </c>
      <c r="V89" s="1" t="str">
        <f t="shared" si="20"/>
        <v xml:space="preserve"> West Indies</v>
      </c>
      <c r="W89" s="1" t="str">
        <f t="shared" si="21"/>
        <v>Indore</v>
      </c>
      <c r="X89" s="1" t="str">
        <f t="shared" si="22"/>
        <v>Yes</v>
      </c>
      <c r="Y89" s="1"/>
    </row>
    <row r="90" spans="1:25" ht="14.25" customHeight="1">
      <c r="A90" s="1"/>
      <c r="B90" s="1">
        <v>72</v>
      </c>
      <c r="C90" s="1" t="s">
        <v>246</v>
      </c>
      <c r="D90" s="1" t="s">
        <v>313</v>
      </c>
      <c r="E90" s="1" t="s">
        <v>130</v>
      </c>
      <c r="F90" s="1" t="s">
        <v>131</v>
      </c>
      <c r="G90" s="1" t="s">
        <v>490</v>
      </c>
      <c r="H90" s="1" t="s">
        <v>29</v>
      </c>
      <c r="I90" s="1" t="s">
        <v>130</v>
      </c>
      <c r="J90" s="1" t="s">
        <v>163</v>
      </c>
      <c r="K90" s="1" t="s">
        <v>68</v>
      </c>
      <c r="L90" s="1"/>
      <c r="M90" s="1"/>
      <c r="N90" s="1" t="str">
        <f t="shared" si="15"/>
        <v>No</v>
      </c>
      <c r="O90" s="1">
        <f t="shared" si="16"/>
        <v>10</v>
      </c>
      <c r="P90" s="1">
        <f t="shared" si="17"/>
        <v>26</v>
      </c>
      <c r="Q90" s="1">
        <f t="shared" si="14"/>
        <v>1</v>
      </c>
      <c r="R90" s="1">
        <f t="shared" si="14"/>
        <v>0</v>
      </c>
      <c r="S90" s="29">
        <f t="shared" si="14"/>
        <v>80.760000000000005</v>
      </c>
      <c r="T90" s="1" t="str">
        <f t="shared" si="18"/>
        <v>bowled</v>
      </c>
      <c r="U90" s="1" t="str">
        <f t="shared" si="19"/>
        <v>1</v>
      </c>
      <c r="V90" s="1" t="str">
        <f t="shared" si="20"/>
        <v xml:space="preserve"> West Indies</v>
      </c>
      <c r="W90" s="1" t="str">
        <f t="shared" si="21"/>
        <v>Chennai</v>
      </c>
      <c r="X90" s="1" t="str">
        <f t="shared" si="22"/>
        <v>Yes</v>
      </c>
      <c r="Y90" s="1"/>
    </row>
    <row r="91" spans="1:25" ht="14.25" customHeight="1">
      <c r="A91" s="1"/>
      <c r="B91" s="1">
        <v>73</v>
      </c>
      <c r="C91" s="1" t="s">
        <v>246</v>
      </c>
      <c r="D91" s="1" t="s">
        <v>246</v>
      </c>
      <c r="E91" s="1" t="s">
        <v>151</v>
      </c>
      <c r="F91" s="1" t="s">
        <v>131</v>
      </c>
      <c r="G91" s="1" t="s">
        <v>152</v>
      </c>
      <c r="H91" s="1" t="s">
        <v>24</v>
      </c>
      <c r="I91" s="1" t="s">
        <v>151</v>
      </c>
      <c r="J91" s="1" t="s">
        <v>158</v>
      </c>
      <c r="K91" s="1" t="s">
        <v>88</v>
      </c>
      <c r="L91" s="1"/>
      <c r="M91" s="1"/>
      <c r="N91" s="1" t="str">
        <f t="shared" si="15"/>
        <v>No</v>
      </c>
      <c r="O91" s="1">
        <f t="shared" si="16"/>
        <v>33</v>
      </c>
      <c r="P91" s="1">
        <f t="shared" si="17"/>
        <v>21</v>
      </c>
      <c r="Q91" s="1">
        <f t="shared" si="14"/>
        <v>2</v>
      </c>
      <c r="R91" s="1">
        <f t="shared" si="14"/>
        <v>0</v>
      </c>
      <c r="S91" s="29">
        <f t="shared" si="14"/>
        <v>100</v>
      </c>
      <c r="T91" s="1" t="str">
        <f t="shared" si="18"/>
        <v>caught</v>
      </c>
      <c r="U91" s="1" t="str">
        <f t="shared" si="19"/>
        <v>2</v>
      </c>
      <c r="V91" s="1" t="str">
        <f t="shared" si="20"/>
        <v xml:space="preserve"> Australia</v>
      </c>
      <c r="W91" s="1" t="str">
        <f t="shared" si="21"/>
        <v>Melbourne</v>
      </c>
      <c r="X91" s="1" t="str">
        <f t="shared" si="22"/>
        <v>Yes</v>
      </c>
      <c r="Y91" s="1"/>
    </row>
    <row r="92" spans="1:25" ht="14.25" customHeight="1">
      <c r="A92" s="1"/>
      <c r="B92" s="1">
        <v>74</v>
      </c>
      <c r="C92" s="1" t="s">
        <v>167</v>
      </c>
      <c r="D92" s="1" t="s">
        <v>306</v>
      </c>
      <c r="E92" s="1" t="s">
        <v>130</v>
      </c>
      <c r="F92" s="1" t="s">
        <v>131</v>
      </c>
      <c r="G92" s="1" t="s">
        <v>824</v>
      </c>
      <c r="H92" s="1" t="s">
        <v>24</v>
      </c>
      <c r="I92" s="1" t="s">
        <v>151</v>
      </c>
      <c r="J92" s="1" t="s">
        <v>133</v>
      </c>
      <c r="K92" s="1" t="s">
        <v>89</v>
      </c>
      <c r="L92" s="1"/>
      <c r="M92" s="1"/>
      <c r="N92" s="1" t="str">
        <f t="shared" si="15"/>
        <v>No</v>
      </c>
      <c r="O92" s="1">
        <f t="shared" si="16"/>
        <v>15</v>
      </c>
      <c r="P92" s="1">
        <f t="shared" si="17"/>
        <v>17</v>
      </c>
      <c r="Q92" s="1">
        <f t="shared" si="14"/>
        <v>1</v>
      </c>
      <c r="R92" s="1">
        <f t="shared" si="14"/>
        <v>0</v>
      </c>
      <c r="S92" s="29">
        <f t="shared" si="14"/>
        <v>58.82</v>
      </c>
      <c r="T92" s="1" t="str">
        <f t="shared" si="18"/>
        <v>caught</v>
      </c>
      <c r="U92" s="1" t="str">
        <f t="shared" si="19"/>
        <v>2</v>
      </c>
      <c r="V92" s="1" t="str">
        <f t="shared" si="20"/>
        <v xml:space="preserve"> Sri Lanka</v>
      </c>
      <c r="W92" s="1" t="str">
        <f t="shared" si="21"/>
        <v>W.A.C.A</v>
      </c>
      <c r="X92" s="1" t="str">
        <f t="shared" si="22"/>
        <v>Yes</v>
      </c>
      <c r="Y92" s="1"/>
    </row>
    <row r="93" spans="1:25" ht="14.25" customHeight="1">
      <c r="A93" s="1"/>
      <c r="B93" s="1">
        <v>75</v>
      </c>
      <c r="C93" s="1" t="s">
        <v>244</v>
      </c>
      <c r="D93" s="1" t="s">
        <v>165</v>
      </c>
      <c r="E93" s="1" t="s">
        <v>130</v>
      </c>
      <c r="F93" s="1" t="s">
        <v>130</v>
      </c>
      <c r="G93" s="1" t="s">
        <v>292</v>
      </c>
      <c r="H93" s="1" t="s">
        <v>24</v>
      </c>
      <c r="I93" s="1" t="s">
        <v>151</v>
      </c>
      <c r="J93" s="1" t="s">
        <v>158</v>
      </c>
      <c r="K93" s="1" t="s">
        <v>90</v>
      </c>
      <c r="L93" s="1"/>
      <c r="M93" s="1"/>
      <c r="N93" s="1" t="str">
        <f t="shared" si="15"/>
        <v>No</v>
      </c>
      <c r="O93" s="1">
        <f t="shared" si="16"/>
        <v>0</v>
      </c>
      <c r="P93" s="1">
        <f t="shared" si="17"/>
        <v>41</v>
      </c>
      <c r="Q93" s="1">
        <f t="shared" si="14"/>
        <v>1</v>
      </c>
      <c r="R93" s="1">
        <f t="shared" si="14"/>
        <v>1</v>
      </c>
      <c r="S93" s="29">
        <f t="shared" si="14"/>
        <v>80.48</v>
      </c>
      <c r="T93" s="1" t="str">
        <f t="shared" si="18"/>
        <v>caught</v>
      </c>
      <c r="U93" s="1" t="str">
        <f t="shared" si="19"/>
        <v>2</v>
      </c>
      <c r="V93" s="1" t="str">
        <f t="shared" si="20"/>
        <v xml:space="preserve"> Australia</v>
      </c>
      <c r="W93" s="1" t="str">
        <f t="shared" si="21"/>
        <v>Adelaide</v>
      </c>
      <c r="X93" s="1" t="str">
        <f t="shared" si="22"/>
        <v>Yes</v>
      </c>
      <c r="Y93" s="1"/>
    </row>
    <row r="94" spans="1:25" ht="14.25" customHeight="1">
      <c r="A94" s="1"/>
      <c r="B94" s="1">
        <v>76</v>
      </c>
      <c r="C94" s="1" t="s">
        <v>283</v>
      </c>
      <c r="D94" s="1" t="s">
        <v>169</v>
      </c>
      <c r="E94" s="1" t="s">
        <v>151</v>
      </c>
      <c r="F94" s="1" t="s">
        <v>131</v>
      </c>
      <c r="G94" s="1" t="s">
        <v>417</v>
      </c>
      <c r="H94" s="1" t="s">
        <v>26</v>
      </c>
      <c r="I94" s="1" t="s">
        <v>151</v>
      </c>
      <c r="J94" s="1" t="s">
        <v>133</v>
      </c>
      <c r="K94" s="1" t="s">
        <v>90</v>
      </c>
      <c r="L94" s="1"/>
      <c r="M94" s="1"/>
      <c r="N94" s="1" t="str">
        <f t="shared" si="15"/>
        <v>No</v>
      </c>
      <c r="O94" s="1" t="str">
        <f t="shared" si="16"/>
        <v>NA</v>
      </c>
      <c r="P94" s="1">
        <f t="shared" si="17"/>
        <v>27</v>
      </c>
      <c r="Q94" s="1">
        <f t="shared" si="14"/>
        <v>2</v>
      </c>
      <c r="R94" s="1">
        <f t="shared" si="14"/>
        <v>0</v>
      </c>
      <c r="S94" s="29">
        <f t="shared" si="14"/>
        <v>55.55</v>
      </c>
      <c r="T94" s="1" t="str">
        <f t="shared" si="18"/>
        <v>run out</v>
      </c>
      <c r="U94" s="1" t="str">
        <f t="shared" si="19"/>
        <v>2</v>
      </c>
      <c r="V94" s="1" t="str">
        <f t="shared" si="20"/>
        <v xml:space="preserve"> Sri Lanka</v>
      </c>
      <c r="W94" s="1" t="str">
        <f t="shared" si="21"/>
        <v>Adelaide</v>
      </c>
      <c r="X94" s="1" t="str">
        <f t="shared" si="22"/>
        <v>Yes</v>
      </c>
      <c r="Y94" s="1"/>
    </row>
    <row r="95" spans="1:25" ht="14.25" customHeight="1">
      <c r="A95" s="1"/>
      <c r="B95" s="1">
        <v>77</v>
      </c>
      <c r="C95" s="1" t="s">
        <v>131</v>
      </c>
      <c r="D95" s="1" t="s">
        <v>202</v>
      </c>
      <c r="E95" s="1" t="s">
        <v>131</v>
      </c>
      <c r="F95" s="1" t="s">
        <v>131</v>
      </c>
      <c r="G95" s="1" t="s">
        <v>210</v>
      </c>
      <c r="H95" s="1" t="s">
        <v>24</v>
      </c>
      <c r="I95" s="1" t="s">
        <v>151</v>
      </c>
      <c r="J95" s="1" t="s">
        <v>158</v>
      </c>
      <c r="K95" s="1" t="s">
        <v>91</v>
      </c>
      <c r="L95" s="1"/>
      <c r="M95" s="1"/>
      <c r="N95" s="1" t="str">
        <f t="shared" si="15"/>
        <v>No</v>
      </c>
      <c r="O95" s="1">
        <f t="shared" si="16"/>
        <v>4</v>
      </c>
      <c r="P95" s="1">
        <f t="shared" si="17"/>
        <v>5</v>
      </c>
      <c r="Q95" s="1">
        <f t="shared" si="14"/>
        <v>0</v>
      </c>
      <c r="R95" s="1">
        <f t="shared" si="14"/>
        <v>0</v>
      </c>
      <c r="S95" s="29">
        <f t="shared" si="14"/>
        <v>0</v>
      </c>
      <c r="T95" s="1" t="str">
        <f t="shared" si="18"/>
        <v>caught</v>
      </c>
      <c r="U95" s="1" t="str">
        <f t="shared" si="19"/>
        <v>2</v>
      </c>
      <c r="V95" s="1" t="str">
        <f t="shared" si="20"/>
        <v xml:space="preserve"> Australia</v>
      </c>
      <c r="W95" s="1" t="str">
        <f t="shared" si="21"/>
        <v>Brisbane</v>
      </c>
      <c r="X95" s="1" t="str">
        <f t="shared" si="22"/>
        <v>Yes</v>
      </c>
      <c r="Y95" s="1"/>
    </row>
    <row r="96" spans="1:25" ht="14.25" customHeight="1">
      <c r="A96" s="1"/>
      <c r="B96" s="1">
        <v>78</v>
      </c>
      <c r="C96" s="1" t="s">
        <v>57</v>
      </c>
      <c r="D96" s="1" t="s">
        <v>157</v>
      </c>
      <c r="E96" s="1" t="s">
        <v>157</v>
      </c>
      <c r="F96" s="1" t="s">
        <v>157</v>
      </c>
      <c r="G96" s="1" t="s">
        <v>157</v>
      </c>
      <c r="H96" s="1" t="s">
        <v>157</v>
      </c>
      <c r="I96" s="1" t="s">
        <v>130</v>
      </c>
      <c r="J96" s="1" t="s">
        <v>133</v>
      </c>
      <c r="K96" s="1" t="s">
        <v>53</v>
      </c>
      <c r="L96" s="1"/>
      <c r="M96" s="1"/>
      <c r="N96" s="1" t="str">
        <f t="shared" si="15"/>
        <v>Yes</v>
      </c>
      <c r="O96" s="1">
        <f t="shared" si="16"/>
        <v>68</v>
      </c>
      <c r="P96" s="1" t="str">
        <f t="shared" si="17"/>
        <v>NA</v>
      </c>
      <c r="Q96" s="1" t="str">
        <f t="shared" si="14"/>
        <v>NA</v>
      </c>
      <c r="R96" s="1" t="str">
        <f t="shared" si="14"/>
        <v>NA</v>
      </c>
      <c r="S96" s="29" t="str">
        <f t="shared" si="14"/>
        <v>NA</v>
      </c>
      <c r="T96" s="1" t="str">
        <f t="shared" si="18"/>
        <v>NA</v>
      </c>
      <c r="U96" s="1" t="str">
        <f t="shared" si="19"/>
        <v>1</v>
      </c>
      <c r="V96" s="1" t="str">
        <f t="shared" si="20"/>
        <v xml:space="preserve"> Sri Lanka</v>
      </c>
      <c r="W96" s="1" t="str">
        <f t="shared" si="21"/>
        <v>Mirpur</v>
      </c>
      <c r="X96" s="1" t="str">
        <f t="shared" si="22"/>
        <v>No</v>
      </c>
      <c r="Y96" s="1"/>
    </row>
    <row r="97" spans="1:25" ht="14.25" customHeight="1">
      <c r="A97" s="1"/>
      <c r="B97" s="1">
        <v>79</v>
      </c>
      <c r="C97" s="1" t="s">
        <v>140</v>
      </c>
      <c r="D97" s="1" t="s">
        <v>136</v>
      </c>
      <c r="E97" s="1" t="s">
        <v>131</v>
      </c>
      <c r="F97" s="1" t="s">
        <v>131</v>
      </c>
      <c r="G97" s="1" t="s">
        <v>155</v>
      </c>
      <c r="H97" s="1" t="s">
        <v>26</v>
      </c>
      <c r="I97" s="1" t="s">
        <v>130</v>
      </c>
      <c r="J97" s="1" t="s">
        <v>182</v>
      </c>
      <c r="K97" s="1" t="s">
        <v>53</v>
      </c>
      <c r="L97" s="1"/>
      <c r="M97" s="1"/>
      <c r="N97" s="1" t="str">
        <f t="shared" si="15"/>
        <v>No</v>
      </c>
      <c r="O97" s="1">
        <f t="shared" si="16"/>
        <v>5</v>
      </c>
      <c r="P97" s="1">
        <f t="shared" si="17"/>
        <v>6</v>
      </c>
      <c r="Q97" s="1">
        <f t="shared" si="14"/>
        <v>0</v>
      </c>
      <c r="R97" s="1">
        <f t="shared" si="14"/>
        <v>0</v>
      </c>
      <c r="S97" s="29">
        <f t="shared" si="14"/>
        <v>66.66</v>
      </c>
      <c r="T97" s="1" t="str">
        <f t="shared" si="18"/>
        <v>run out</v>
      </c>
      <c r="U97" s="1" t="str">
        <f t="shared" si="19"/>
        <v>1</v>
      </c>
      <c r="V97" s="1" t="str">
        <f t="shared" si="20"/>
        <v xml:space="preserve"> Bangladesh</v>
      </c>
      <c r="W97" s="1" t="str">
        <f t="shared" si="21"/>
        <v>Mirpur</v>
      </c>
      <c r="X97" s="1" t="str">
        <f t="shared" si="22"/>
        <v>Yes</v>
      </c>
      <c r="Y97" s="1"/>
    </row>
    <row r="98" spans="1:25" ht="14.25" customHeight="1">
      <c r="A98" s="1"/>
      <c r="B98" s="1">
        <v>80</v>
      </c>
      <c r="C98" s="1" t="s">
        <v>184</v>
      </c>
      <c r="D98" s="1" t="s">
        <v>231</v>
      </c>
      <c r="E98" s="1" t="s">
        <v>202</v>
      </c>
      <c r="F98" s="1" t="s">
        <v>130</v>
      </c>
      <c r="G98" s="1" t="s">
        <v>825</v>
      </c>
      <c r="H98" s="1" t="s">
        <v>24</v>
      </c>
      <c r="I98" s="1" t="s">
        <v>151</v>
      </c>
      <c r="J98" s="1" t="s">
        <v>156</v>
      </c>
      <c r="K98" s="1" t="s">
        <v>53</v>
      </c>
      <c r="L98" s="1"/>
      <c r="M98" s="1"/>
      <c r="N98" s="1" t="str">
        <f t="shared" si="15"/>
        <v>No</v>
      </c>
      <c r="O98" s="1">
        <f t="shared" si="16"/>
        <v>0</v>
      </c>
      <c r="P98" s="1">
        <f t="shared" si="17"/>
        <v>83</v>
      </c>
      <c r="Q98" s="1">
        <f t="shared" si="14"/>
        <v>5</v>
      </c>
      <c r="R98" s="1">
        <f t="shared" si="14"/>
        <v>1</v>
      </c>
      <c r="S98" s="29">
        <f t="shared" si="14"/>
        <v>81.92</v>
      </c>
      <c r="T98" s="1" t="str">
        <f t="shared" si="18"/>
        <v>caught</v>
      </c>
      <c r="U98" s="1" t="str">
        <f t="shared" si="19"/>
        <v>2</v>
      </c>
      <c r="V98" s="1" t="str">
        <f t="shared" si="20"/>
        <v xml:space="preserve"> Pakistan</v>
      </c>
      <c r="W98" s="1" t="str">
        <f t="shared" si="21"/>
        <v>Mirpur</v>
      </c>
      <c r="X98" s="1" t="str">
        <f t="shared" si="22"/>
        <v>Yes</v>
      </c>
      <c r="Y98" s="1"/>
    </row>
    <row r="99" spans="1:25" ht="14.25" customHeight="1">
      <c r="A99" s="1"/>
      <c r="B99" s="1">
        <v>81</v>
      </c>
      <c r="C99" s="1" t="s">
        <v>202</v>
      </c>
      <c r="D99" s="1" t="s">
        <v>189</v>
      </c>
      <c r="E99" s="1" t="s">
        <v>131</v>
      </c>
      <c r="F99" s="1" t="s">
        <v>131</v>
      </c>
      <c r="G99" s="1" t="s">
        <v>168</v>
      </c>
      <c r="H99" s="1" t="s">
        <v>29</v>
      </c>
      <c r="I99" s="1" t="s">
        <v>130</v>
      </c>
      <c r="J99" s="1" t="s">
        <v>133</v>
      </c>
      <c r="K99" s="1" t="s">
        <v>94</v>
      </c>
      <c r="L99" s="1"/>
      <c r="M99" s="1"/>
      <c r="N99" s="1" t="str">
        <f t="shared" si="15"/>
        <v>No</v>
      </c>
      <c r="O99" s="1">
        <f t="shared" si="16"/>
        <v>0</v>
      </c>
      <c r="P99" s="1">
        <f t="shared" si="17"/>
        <v>8</v>
      </c>
      <c r="Q99" s="1">
        <f t="shared" ref="Q99:S162" si="23">IF(E99="-","NA",E99*1)</f>
        <v>0</v>
      </c>
      <c r="R99" s="1">
        <f t="shared" si="23"/>
        <v>0</v>
      </c>
      <c r="S99" s="29">
        <f t="shared" si="23"/>
        <v>62.5</v>
      </c>
      <c r="T99" s="1" t="str">
        <f t="shared" si="18"/>
        <v>bowled</v>
      </c>
      <c r="U99" s="1" t="str">
        <f t="shared" si="19"/>
        <v>1</v>
      </c>
      <c r="V99" s="1" t="str">
        <f t="shared" si="20"/>
        <v xml:space="preserve"> Sri Lanka</v>
      </c>
      <c r="W99" s="1" t="str">
        <f t="shared" si="21"/>
        <v>Hambantota</v>
      </c>
      <c r="X99" s="1" t="str">
        <f t="shared" si="22"/>
        <v>Yes</v>
      </c>
      <c r="Y99" s="1"/>
    </row>
    <row r="100" spans="1:25" ht="14.25" customHeight="1">
      <c r="A100" s="1"/>
      <c r="B100" s="1">
        <v>82</v>
      </c>
      <c r="C100" s="1" t="s">
        <v>131</v>
      </c>
      <c r="D100" s="1" t="s">
        <v>202</v>
      </c>
      <c r="E100" s="1" t="s">
        <v>131</v>
      </c>
      <c r="F100" s="1" t="s">
        <v>131</v>
      </c>
      <c r="G100" s="1" t="s">
        <v>210</v>
      </c>
      <c r="H100" s="1" t="s">
        <v>29</v>
      </c>
      <c r="I100" s="1" t="s">
        <v>130</v>
      </c>
      <c r="J100" s="1" t="s">
        <v>133</v>
      </c>
      <c r="K100" s="1" t="s">
        <v>94</v>
      </c>
      <c r="L100" s="1"/>
      <c r="M100" s="1"/>
      <c r="N100" s="1" t="str">
        <f t="shared" si="15"/>
        <v>No</v>
      </c>
      <c r="O100" s="1">
        <f t="shared" si="16"/>
        <v>4</v>
      </c>
      <c r="P100" s="1">
        <f t="shared" si="17"/>
        <v>5</v>
      </c>
      <c r="Q100" s="1">
        <f t="shared" si="23"/>
        <v>0</v>
      </c>
      <c r="R100" s="1">
        <f t="shared" si="23"/>
        <v>0</v>
      </c>
      <c r="S100" s="29">
        <f t="shared" si="23"/>
        <v>0</v>
      </c>
      <c r="T100" s="1" t="str">
        <f t="shared" si="18"/>
        <v>bowled</v>
      </c>
      <c r="U100" s="1" t="str">
        <f t="shared" si="19"/>
        <v>1</v>
      </c>
      <c r="V100" s="1" t="str">
        <f t="shared" si="20"/>
        <v xml:space="preserve"> Sri Lanka</v>
      </c>
      <c r="W100" s="1" t="str">
        <f t="shared" si="21"/>
        <v>Hambantota</v>
      </c>
      <c r="X100" s="1" t="str">
        <f t="shared" si="22"/>
        <v>Yes</v>
      </c>
      <c r="Y100" s="1"/>
    </row>
    <row r="101" spans="1:25" ht="14.25" customHeight="1">
      <c r="A101" s="1"/>
      <c r="B101" s="1">
        <v>83</v>
      </c>
      <c r="C101" s="1" t="s">
        <v>131</v>
      </c>
      <c r="D101" s="1" t="s">
        <v>130</v>
      </c>
      <c r="E101" s="1" t="s">
        <v>131</v>
      </c>
      <c r="F101" s="1" t="s">
        <v>131</v>
      </c>
      <c r="G101" s="1" t="s">
        <v>210</v>
      </c>
      <c r="H101" s="1" t="s">
        <v>19</v>
      </c>
      <c r="I101" s="1" t="s">
        <v>151</v>
      </c>
      <c r="J101" s="1" t="s">
        <v>133</v>
      </c>
      <c r="K101" s="1" t="s">
        <v>27</v>
      </c>
      <c r="L101" s="1"/>
      <c r="M101" s="1"/>
      <c r="N101" s="1" t="str">
        <f t="shared" si="15"/>
        <v>No</v>
      </c>
      <c r="O101" s="1">
        <f t="shared" si="16"/>
        <v>4</v>
      </c>
      <c r="P101" s="1">
        <f t="shared" si="17"/>
        <v>1</v>
      </c>
      <c r="Q101" s="1">
        <f t="shared" si="23"/>
        <v>0</v>
      </c>
      <c r="R101" s="1">
        <f t="shared" si="23"/>
        <v>0</v>
      </c>
      <c r="S101" s="29">
        <f t="shared" si="23"/>
        <v>0</v>
      </c>
      <c r="T101" s="1" t="str">
        <f t="shared" si="18"/>
        <v>lbw</v>
      </c>
      <c r="U101" s="1" t="str">
        <f t="shared" si="19"/>
        <v>2</v>
      </c>
      <c r="V101" s="1" t="str">
        <f t="shared" si="20"/>
        <v xml:space="preserve"> Sri Lanka</v>
      </c>
      <c r="W101" s="1" t="str">
        <f t="shared" si="21"/>
        <v>Colombo (RPS)</v>
      </c>
      <c r="X101" s="1" t="str">
        <f t="shared" si="22"/>
        <v>Yes</v>
      </c>
      <c r="Y101" s="1"/>
    </row>
    <row r="102" spans="1:25" ht="14.25" customHeight="1">
      <c r="A102" s="1"/>
      <c r="B102" s="1">
        <v>84</v>
      </c>
      <c r="C102" s="1" t="s">
        <v>140</v>
      </c>
      <c r="D102" s="1" t="s">
        <v>205</v>
      </c>
      <c r="E102" s="1" t="s">
        <v>131</v>
      </c>
      <c r="F102" s="1" t="s">
        <v>131</v>
      </c>
      <c r="G102" s="1" t="s">
        <v>539</v>
      </c>
      <c r="H102" s="1" t="s">
        <v>19</v>
      </c>
      <c r="I102" s="1" t="s">
        <v>151</v>
      </c>
      <c r="J102" s="1" t="s">
        <v>133</v>
      </c>
      <c r="K102" s="1" t="s">
        <v>27</v>
      </c>
      <c r="L102" s="1"/>
      <c r="M102" s="1"/>
      <c r="N102" s="1" t="str">
        <f t="shared" si="15"/>
        <v>No</v>
      </c>
      <c r="O102" s="1">
        <f t="shared" si="16"/>
        <v>4</v>
      </c>
      <c r="P102" s="1">
        <f t="shared" si="17"/>
        <v>14</v>
      </c>
      <c r="Q102" s="1">
        <f t="shared" si="23"/>
        <v>0</v>
      </c>
      <c r="R102" s="1">
        <f t="shared" si="23"/>
        <v>0</v>
      </c>
      <c r="S102" s="29">
        <f t="shared" si="23"/>
        <v>28.57</v>
      </c>
      <c r="T102" s="1" t="str">
        <f t="shared" si="18"/>
        <v>lbw</v>
      </c>
      <c r="U102" s="1" t="str">
        <f t="shared" si="19"/>
        <v>2</v>
      </c>
      <c r="V102" s="1" t="str">
        <f t="shared" si="20"/>
        <v xml:space="preserve"> Sri Lanka</v>
      </c>
      <c r="W102" s="1" t="str">
        <f t="shared" si="21"/>
        <v>Colombo (RPS)</v>
      </c>
      <c r="X102" s="1" t="str">
        <f t="shared" si="22"/>
        <v>Yes</v>
      </c>
      <c r="Y102" s="1"/>
    </row>
    <row r="103" spans="1:25" ht="14.25" customHeight="1">
      <c r="A103" s="1"/>
      <c r="B103" s="1">
        <v>85</v>
      </c>
      <c r="C103" s="1" t="s">
        <v>140</v>
      </c>
      <c r="D103" s="1" t="s">
        <v>161</v>
      </c>
      <c r="E103" s="1" t="s">
        <v>130</v>
      </c>
      <c r="F103" s="1" t="s">
        <v>131</v>
      </c>
      <c r="G103" s="1" t="s">
        <v>259</v>
      </c>
      <c r="H103" s="1" t="s">
        <v>29</v>
      </c>
      <c r="I103" s="1" t="s">
        <v>130</v>
      </c>
      <c r="J103" s="1" t="s">
        <v>133</v>
      </c>
      <c r="K103" s="1" t="s">
        <v>95</v>
      </c>
      <c r="L103" s="1"/>
      <c r="M103" s="1"/>
      <c r="N103" s="1" t="str">
        <f t="shared" si="15"/>
        <v>No</v>
      </c>
      <c r="O103" s="1">
        <f t="shared" si="16"/>
        <v>83</v>
      </c>
      <c r="P103" s="1">
        <f t="shared" si="17"/>
        <v>9</v>
      </c>
      <c r="Q103" s="1">
        <f t="shared" si="23"/>
        <v>1</v>
      </c>
      <c r="R103" s="1">
        <f t="shared" si="23"/>
        <v>0</v>
      </c>
      <c r="S103" s="29">
        <f t="shared" si="23"/>
        <v>44.44</v>
      </c>
      <c r="T103" s="1" t="str">
        <f t="shared" si="18"/>
        <v>bowled</v>
      </c>
      <c r="U103" s="1" t="str">
        <f t="shared" si="19"/>
        <v>1</v>
      </c>
      <c r="V103" s="1" t="str">
        <f t="shared" si="20"/>
        <v xml:space="preserve"> Sri Lanka</v>
      </c>
      <c r="W103" s="1" t="str">
        <f t="shared" si="21"/>
        <v>Pallekele</v>
      </c>
      <c r="X103" s="1" t="str">
        <f t="shared" si="22"/>
        <v>Yes</v>
      </c>
      <c r="Y103" s="1"/>
    </row>
    <row r="104" spans="1:25" ht="14.25" customHeight="1">
      <c r="A104" s="1"/>
      <c r="B104" s="1">
        <v>86</v>
      </c>
      <c r="C104" s="1" t="s">
        <v>140</v>
      </c>
      <c r="D104" s="1" t="s">
        <v>205</v>
      </c>
      <c r="E104" s="1" t="s">
        <v>131</v>
      </c>
      <c r="F104" s="1" t="s">
        <v>131</v>
      </c>
      <c r="G104" s="1" t="s">
        <v>539</v>
      </c>
      <c r="H104" s="1" t="s">
        <v>24</v>
      </c>
      <c r="I104" s="1" t="s">
        <v>130</v>
      </c>
      <c r="J104" s="1" t="s">
        <v>156</v>
      </c>
      <c r="K104" s="1" t="s">
        <v>68</v>
      </c>
      <c r="L104" s="1"/>
      <c r="M104" s="1"/>
      <c r="N104" s="1" t="str">
        <f t="shared" si="15"/>
        <v>No</v>
      </c>
      <c r="O104" s="1">
        <f t="shared" si="16"/>
        <v>4</v>
      </c>
      <c r="P104" s="1">
        <f t="shared" si="17"/>
        <v>14</v>
      </c>
      <c r="Q104" s="1">
        <f t="shared" si="23"/>
        <v>0</v>
      </c>
      <c r="R104" s="1">
        <f t="shared" si="23"/>
        <v>0</v>
      </c>
      <c r="S104" s="29">
        <f t="shared" si="23"/>
        <v>28.57</v>
      </c>
      <c r="T104" s="1" t="str">
        <f t="shared" si="18"/>
        <v>caught</v>
      </c>
      <c r="U104" s="1" t="str">
        <f t="shared" si="19"/>
        <v>1</v>
      </c>
      <c r="V104" s="1" t="str">
        <f t="shared" si="20"/>
        <v xml:space="preserve"> Pakistan</v>
      </c>
      <c r="W104" s="1" t="str">
        <f t="shared" si="21"/>
        <v>Chennai</v>
      </c>
      <c r="X104" s="1" t="str">
        <f t="shared" si="22"/>
        <v>Yes</v>
      </c>
      <c r="Y104" s="1"/>
    </row>
    <row r="105" spans="1:25" ht="14.25" customHeight="1">
      <c r="A105" s="1"/>
      <c r="B105" s="1">
        <v>87</v>
      </c>
      <c r="C105" s="1" t="s">
        <v>231</v>
      </c>
      <c r="D105" s="1" t="s">
        <v>260</v>
      </c>
      <c r="E105" s="1" t="s">
        <v>176</v>
      </c>
      <c r="F105" s="1" t="s">
        <v>130</v>
      </c>
      <c r="G105" s="1" t="s">
        <v>826</v>
      </c>
      <c r="H105" s="1" t="s">
        <v>19</v>
      </c>
      <c r="I105" s="1" t="s">
        <v>151</v>
      </c>
      <c r="J105" s="1" t="s">
        <v>234</v>
      </c>
      <c r="K105" s="1" t="s">
        <v>46</v>
      </c>
      <c r="L105" s="1"/>
      <c r="M105" s="1"/>
      <c r="N105" s="1" t="str">
        <f t="shared" si="15"/>
        <v>No</v>
      </c>
      <c r="O105" s="1">
        <f t="shared" si="16"/>
        <v>65</v>
      </c>
      <c r="P105" s="1">
        <f t="shared" si="17"/>
        <v>93</v>
      </c>
      <c r="Q105" s="1">
        <f t="shared" si="23"/>
        <v>11</v>
      </c>
      <c r="R105" s="1">
        <f t="shared" si="23"/>
        <v>1</v>
      </c>
      <c r="S105" s="29">
        <f t="shared" si="23"/>
        <v>89.24</v>
      </c>
      <c r="T105" s="1" t="str">
        <f t="shared" si="18"/>
        <v>lbw</v>
      </c>
      <c r="U105" s="1" t="str">
        <f t="shared" si="19"/>
        <v>2</v>
      </c>
      <c r="V105" s="1" t="str">
        <f t="shared" si="20"/>
        <v xml:space="preserve"> England</v>
      </c>
      <c r="W105" s="1" t="str">
        <f t="shared" si="21"/>
        <v>Mohali</v>
      </c>
      <c r="X105" s="1" t="str">
        <f t="shared" si="22"/>
        <v>Yes</v>
      </c>
      <c r="Y105" s="1"/>
    </row>
    <row r="106" spans="1:25" ht="14.25" customHeight="1">
      <c r="A106" s="1"/>
      <c r="B106" s="1">
        <v>88</v>
      </c>
      <c r="C106" s="1" t="s">
        <v>140</v>
      </c>
      <c r="D106" s="1" t="s">
        <v>161</v>
      </c>
      <c r="E106" s="1" t="s">
        <v>130</v>
      </c>
      <c r="F106" s="1" t="s">
        <v>131</v>
      </c>
      <c r="G106" s="1" t="s">
        <v>259</v>
      </c>
      <c r="H106" s="1" t="s">
        <v>24</v>
      </c>
      <c r="I106" s="1" t="s">
        <v>130</v>
      </c>
      <c r="J106" s="1" t="s">
        <v>234</v>
      </c>
      <c r="K106" s="1" t="s">
        <v>98</v>
      </c>
      <c r="L106" s="1"/>
      <c r="M106" s="1"/>
      <c r="N106" s="1" t="str">
        <f t="shared" si="15"/>
        <v>No</v>
      </c>
      <c r="O106" s="1">
        <f t="shared" si="16"/>
        <v>52</v>
      </c>
      <c r="P106" s="1">
        <f t="shared" si="17"/>
        <v>9</v>
      </c>
      <c r="Q106" s="1">
        <f t="shared" si="23"/>
        <v>1</v>
      </c>
      <c r="R106" s="1">
        <f t="shared" si="23"/>
        <v>0</v>
      </c>
      <c r="S106" s="29">
        <f t="shared" si="23"/>
        <v>44.44</v>
      </c>
      <c r="T106" s="1" t="str">
        <f t="shared" si="18"/>
        <v>caught</v>
      </c>
      <c r="U106" s="1" t="str">
        <f t="shared" si="19"/>
        <v>1</v>
      </c>
      <c r="V106" s="1" t="str">
        <f t="shared" si="20"/>
        <v xml:space="preserve"> England</v>
      </c>
      <c r="W106" s="1" t="str">
        <f t="shared" si="21"/>
        <v>Dharamsala</v>
      </c>
      <c r="X106" s="1" t="str">
        <f t="shared" si="22"/>
        <v>Yes</v>
      </c>
      <c r="Y106" s="1"/>
    </row>
    <row r="107" spans="1:25" ht="14.25" customHeight="1">
      <c r="A107" s="1"/>
      <c r="B107" s="1">
        <v>89</v>
      </c>
      <c r="C107" s="1" t="s">
        <v>172</v>
      </c>
      <c r="D107" s="1" t="s">
        <v>250</v>
      </c>
      <c r="E107" s="1" t="s">
        <v>189</v>
      </c>
      <c r="F107" s="1" t="s">
        <v>130</v>
      </c>
      <c r="G107" s="1" t="s">
        <v>827</v>
      </c>
      <c r="H107" s="1" t="s">
        <v>24</v>
      </c>
      <c r="I107" s="1" t="s">
        <v>130</v>
      </c>
      <c r="J107" s="1" t="s">
        <v>191</v>
      </c>
      <c r="K107" s="1" t="s">
        <v>84</v>
      </c>
      <c r="L107" s="1"/>
      <c r="M107" s="1"/>
      <c r="N107" s="1" t="str">
        <f t="shared" si="15"/>
        <v>No</v>
      </c>
      <c r="O107" s="1">
        <f t="shared" si="16"/>
        <v>18</v>
      </c>
      <c r="P107" s="1">
        <f t="shared" si="17"/>
        <v>81</v>
      </c>
      <c r="Q107" s="1">
        <f t="shared" si="23"/>
        <v>8</v>
      </c>
      <c r="R107" s="1">
        <f t="shared" si="23"/>
        <v>1</v>
      </c>
      <c r="S107" s="29">
        <f t="shared" si="23"/>
        <v>80.239999999999995</v>
      </c>
      <c r="T107" s="1" t="str">
        <f t="shared" si="18"/>
        <v>caught</v>
      </c>
      <c r="U107" s="1" t="str">
        <f t="shared" si="19"/>
        <v>1</v>
      </c>
      <c r="V107" s="1" t="str">
        <f t="shared" si="20"/>
        <v xml:space="preserve"> South Africa</v>
      </c>
      <c r="W107" s="1" t="str">
        <f t="shared" si="21"/>
        <v>Cardiff</v>
      </c>
      <c r="X107" s="1" t="str">
        <f t="shared" si="22"/>
        <v>Yes</v>
      </c>
      <c r="Y107" s="1"/>
    </row>
    <row r="108" spans="1:25" ht="14.25" customHeight="1">
      <c r="A108" s="1"/>
      <c r="B108" s="1">
        <v>90</v>
      </c>
      <c r="C108" s="1" t="s">
        <v>327</v>
      </c>
      <c r="D108" s="1" t="s">
        <v>452</v>
      </c>
      <c r="E108" s="1" t="s">
        <v>144</v>
      </c>
      <c r="F108" s="1" t="s">
        <v>131</v>
      </c>
      <c r="G108" s="1" t="s">
        <v>462</v>
      </c>
      <c r="H108" s="1" t="s">
        <v>24</v>
      </c>
      <c r="I108" s="1" t="s">
        <v>151</v>
      </c>
      <c r="J108" s="1" t="s">
        <v>163</v>
      </c>
      <c r="K108" s="1" t="s">
        <v>81</v>
      </c>
      <c r="L108" s="1"/>
      <c r="M108" s="1"/>
      <c r="N108" s="1" t="str">
        <f t="shared" si="15"/>
        <v>No</v>
      </c>
      <c r="O108" s="1">
        <f t="shared" si="16"/>
        <v>33</v>
      </c>
      <c r="P108" s="1">
        <f t="shared" si="17"/>
        <v>56</v>
      </c>
      <c r="Q108" s="1">
        <f t="shared" si="23"/>
        <v>7</v>
      </c>
      <c r="R108" s="1">
        <f t="shared" si="23"/>
        <v>0</v>
      </c>
      <c r="S108" s="29">
        <f t="shared" si="23"/>
        <v>92.85</v>
      </c>
      <c r="T108" s="1" t="str">
        <f t="shared" si="18"/>
        <v>caught</v>
      </c>
      <c r="U108" s="1" t="str">
        <f t="shared" si="19"/>
        <v>2</v>
      </c>
      <c r="V108" s="1" t="str">
        <f t="shared" si="20"/>
        <v xml:space="preserve"> West Indies</v>
      </c>
      <c r="W108" s="1" t="str">
        <f t="shared" si="21"/>
        <v>The Oval</v>
      </c>
      <c r="X108" s="1" t="str">
        <f t="shared" si="22"/>
        <v>Yes</v>
      </c>
      <c r="Y108" s="1"/>
    </row>
    <row r="109" spans="1:25" ht="14.25" customHeight="1">
      <c r="A109" s="1"/>
      <c r="B109" s="1">
        <v>91</v>
      </c>
      <c r="C109" s="1" t="s">
        <v>199</v>
      </c>
      <c r="D109" s="1" t="s">
        <v>521</v>
      </c>
      <c r="E109" s="1" t="s">
        <v>151</v>
      </c>
      <c r="F109" s="1" t="s">
        <v>131</v>
      </c>
      <c r="G109" s="1" t="s">
        <v>376</v>
      </c>
      <c r="H109" s="1" t="s">
        <v>24</v>
      </c>
      <c r="I109" s="1" t="s">
        <v>151</v>
      </c>
      <c r="J109" s="1" t="s">
        <v>156</v>
      </c>
      <c r="K109" s="1" t="s">
        <v>99</v>
      </c>
      <c r="L109" s="1"/>
      <c r="M109" s="1"/>
      <c r="N109" s="1" t="str">
        <f t="shared" si="15"/>
        <v>No</v>
      </c>
      <c r="O109" s="1">
        <f t="shared" si="16"/>
        <v>9</v>
      </c>
      <c r="P109" s="1">
        <f t="shared" si="17"/>
        <v>32</v>
      </c>
      <c r="Q109" s="1">
        <f t="shared" si="23"/>
        <v>2</v>
      </c>
      <c r="R109" s="1">
        <f t="shared" si="23"/>
        <v>0</v>
      </c>
      <c r="S109" s="29">
        <f t="shared" si="23"/>
        <v>56.25</v>
      </c>
      <c r="T109" s="1" t="str">
        <f t="shared" si="18"/>
        <v>caught</v>
      </c>
      <c r="U109" s="1" t="str">
        <f t="shared" si="19"/>
        <v>2</v>
      </c>
      <c r="V109" s="1" t="str">
        <f t="shared" si="20"/>
        <v xml:space="preserve"> Pakistan</v>
      </c>
      <c r="W109" s="1" t="str">
        <f t="shared" si="21"/>
        <v>Birmingham</v>
      </c>
      <c r="X109" s="1" t="str">
        <f t="shared" si="22"/>
        <v>Yes</v>
      </c>
      <c r="Y109" s="1"/>
    </row>
    <row r="110" spans="1:25" ht="14.25" customHeight="1">
      <c r="A110" s="1"/>
      <c r="B110" s="1">
        <v>92</v>
      </c>
      <c r="C110" s="1" t="s">
        <v>244</v>
      </c>
      <c r="D110" s="1" t="s">
        <v>360</v>
      </c>
      <c r="E110" s="1" t="s">
        <v>140</v>
      </c>
      <c r="F110" s="1" t="s">
        <v>131</v>
      </c>
      <c r="G110" s="1" t="s">
        <v>828</v>
      </c>
      <c r="H110" s="1" t="s">
        <v>29</v>
      </c>
      <c r="I110" s="1" t="s">
        <v>151</v>
      </c>
      <c r="J110" s="1" t="s">
        <v>133</v>
      </c>
      <c r="K110" s="1" t="s">
        <v>84</v>
      </c>
      <c r="L110" s="1"/>
      <c r="M110" s="1"/>
      <c r="N110" s="1" t="str">
        <f t="shared" si="15"/>
        <v>No</v>
      </c>
      <c r="O110" s="1">
        <f t="shared" si="16"/>
        <v>60</v>
      </c>
      <c r="P110" s="1">
        <f t="shared" si="17"/>
        <v>50</v>
      </c>
      <c r="Q110" s="1">
        <f t="shared" si="23"/>
        <v>4</v>
      </c>
      <c r="R110" s="1">
        <f t="shared" si="23"/>
        <v>0</v>
      </c>
      <c r="S110" s="29">
        <f t="shared" si="23"/>
        <v>66</v>
      </c>
      <c r="T110" s="1" t="str">
        <f t="shared" si="18"/>
        <v>bowled</v>
      </c>
      <c r="U110" s="1" t="str">
        <f t="shared" si="19"/>
        <v>2</v>
      </c>
      <c r="V110" s="1" t="str">
        <f t="shared" si="20"/>
        <v xml:space="preserve"> Sri Lanka</v>
      </c>
      <c r="W110" s="1" t="str">
        <f t="shared" si="21"/>
        <v>Cardiff</v>
      </c>
      <c r="X110" s="1" t="str">
        <f t="shared" si="22"/>
        <v>Yes</v>
      </c>
      <c r="Y110" s="1"/>
    </row>
    <row r="111" spans="1:25" ht="14.25" customHeight="1">
      <c r="A111" s="1"/>
      <c r="B111" s="1">
        <v>93</v>
      </c>
      <c r="C111" s="1" t="s">
        <v>161</v>
      </c>
      <c r="D111" s="1" t="s">
        <v>205</v>
      </c>
      <c r="E111" s="1" t="s">
        <v>130</v>
      </c>
      <c r="F111" s="1" t="s">
        <v>131</v>
      </c>
      <c r="G111" s="1" t="s">
        <v>282</v>
      </c>
      <c r="H111" s="1" t="s">
        <v>29</v>
      </c>
      <c r="I111" s="1" t="s">
        <v>130</v>
      </c>
      <c r="J111" s="1" t="s">
        <v>234</v>
      </c>
      <c r="K111" s="1" t="s">
        <v>99</v>
      </c>
      <c r="L111" s="1"/>
      <c r="M111" s="1"/>
      <c r="N111" s="1" t="str">
        <f t="shared" si="15"/>
        <v>No</v>
      </c>
      <c r="O111" s="1">
        <f t="shared" si="16"/>
        <v>5</v>
      </c>
      <c r="P111" s="1">
        <f t="shared" si="17"/>
        <v>14</v>
      </c>
      <c r="Q111" s="1">
        <f t="shared" si="23"/>
        <v>1</v>
      </c>
      <c r="R111" s="1">
        <f t="shared" si="23"/>
        <v>0</v>
      </c>
      <c r="S111" s="29">
        <f t="shared" si="23"/>
        <v>64.28</v>
      </c>
      <c r="T111" s="1" t="str">
        <f t="shared" si="18"/>
        <v>bowled</v>
      </c>
      <c r="U111" s="1" t="str">
        <f t="shared" si="19"/>
        <v>1</v>
      </c>
      <c r="V111" s="1" t="str">
        <f t="shared" si="20"/>
        <v xml:space="preserve"> England</v>
      </c>
      <c r="W111" s="1" t="str">
        <f t="shared" si="21"/>
        <v>Birmingham</v>
      </c>
      <c r="X111" s="1" t="str">
        <f t="shared" si="22"/>
        <v>Yes</v>
      </c>
      <c r="Y111" s="1"/>
    </row>
    <row r="112" spans="1:25" ht="14.25" customHeight="1">
      <c r="A112" s="1"/>
      <c r="B112" s="1">
        <v>94</v>
      </c>
      <c r="C112" s="1" t="s">
        <v>380</v>
      </c>
      <c r="D112" s="1" t="s">
        <v>486</v>
      </c>
      <c r="E112" s="1" t="s">
        <v>140</v>
      </c>
      <c r="F112" s="1" t="s">
        <v>130</v>
      </c>
      <c r="G112" s="1" t="s">
        <v>829</v>
      </c>
      <c r="H112" s="1" t="s">
        <v>24</v>
      </c>
      <c r="I112" s="1" t="s">
        <v>130</v>
      </c>
      <c r="J112" s="1" t="s">
        <v>163</v>
      </c>
      <c r="K112" s="1" t="s">
        <v>78</v>
      </c>
      <c r="L112" s="1"/>
      <c r="M112" s="1"/>
      <c r="N112" s="1" t="str">
        <f t="shared" si="15"/>
        <v>No</v>
      </c>
      <c r="O112" s="1">
        <f t="shared" si="16"/>
        <v>46</v>
      </c>
      <c r="P112" s="1">
        <f t="shared" si="17"/>
        <v>89</v>
      </c>
      <c r="Q112" s="1">
        <f t="shared" si="23"/>
        <v>4</v>
      </c>
      <c r="R112" s="1">
        <f t="shared" si="23"/>
        <v>1</v>
      </c>
      <c r="S112" s="29">
        <f t="shared" si="23"/>
        <v>67.41</v>
      </c>
      <c r="T112" s="1" t="str">
        <f t="shared" si="18"/>
        <v>caught</v>
      </c>
      <c r="U112" s="1" t="str">
        <f t="shared" si="19"/>
        <v>1</v>
      </c>
      <c r="V112" s="1" t="str">
        <f t="shared" si="20"/>
        <v xml:space="preserve"> West Indies</v>
      </c>
      <c r="W112" s="1" t="str">
        <f t="shared" si="21"/>
        <v>Kingston</v>
      </c>
      <c r="X112" s="1" t="str">
        <f t="shared" si="22"/>
        <v>Yes</v>
      </c>
      <c r="Y112" s="1"/>
    </row>
    <row r="113" spans="1:25" ht="14.25" customHeight="1">
      <c r="A113" s="1"/>
      <c r="B113" s="1">
        <v>95</v>
      </c>
      <c r="C113" s="1" t="s">
        <v>202</v>
      </c>
      <c r="D113" s="1" t="s">
        <v>325</v>
      </c>
      <c r="E113" s="1" t="s">
        <v>131</v>
      </c>
      <c r="F113" s="1" t="s">
        <v>131</v>
      </c>
      <c r="G113" s="1" t="s">
        <v>830</v>
      </c>
      <c r="H113" s="1" t="s">
        <v>24</v>
      </c>
      <c r="I113" s="1" t="s">
        <v>151</v>
      </c>
      <c r="J113" s="1" t="s">
        <v>133</v>
      </c>
      <c r="K113" s="1" t="s">
        <v>78</v>
      </c>
      <c r="L113" s="1"/>
      <c r="M113" s="1"/>
      <c r="N113" s="1" t="str">
        <f t="shared" si="15"/>
        <v>No</v>
      </c>
      <c r="O113" s="1">
        <f t="shared" si="16"/>
        <v>48</v>
      </c>
      <c r="P113" s="1">
        <f t="shared" si="17"/>
        <v>13</v>
      </c>
      <c r="Q113" s="1">
        <f t="shared" si="23"/>
        <v>0</v>
      </c>
      <c r="R113" s="1">
        <f t="shared" si="23"/>
        <v>0</v>
      </c>
      <c r="S113" s="29">
        <f t="shared" si="23"/>
        <v>38.46</v>
      </c>
      <c r="T113" s="1" t="str">
        <f t="shared" si="18"/>
        <v>caught</v>
      </c>
      <c r="U113" s="1" t="str">
        <f t="shared" si="19"/>
        <v>2</v>
      </c>
      <c r="V113" s="1" t="str">
        <f t="shared" si="20"/>
        <v xml:space="preserve"> Sri Lanka</v>
      </c>
      <c r="W113" s="1" t="str">
        <f t="shared" si="21"/>
        <v>Kingston</v>
      </c>
      <c r="X113" s="1" t="str">
        <f t="shared" si="22"/>
        <v>Yes</v>
      </c>
      <c r="Y113" s="1"/>
    </row>
    <row r="114" spans="1:25" ht="14.25" customHeight="1">
      <c r="A114" s="1"/>
      <c r="B114" s="1">
        <v>96</v>
      </c>
      <c r="C114" s="1" t="s">
        <v>147</v>
      </c>
      <c r="D114" s="1" t="s">
        <v>348</v>
      </c>
      <c r="E114" s="1" t="s">
        <v>202</v>
      </c>
      <c r="F114" s="1" t="s">
        <v>131</v>
      </c>
      <c r="G114" s="1" t="s">
        <v>831</v>
      </c>
      <c r="H114" s="1" t="s">
        <v>24</v>
      </c>
      <c r="I114" s="1" t="s">
        <v>130</v>
      </c>
      <c r="J114" s="1" t="s">
        <v>163</v>
      </c>
      <c r="K114" s="1" t="s">
        <v>76</v>
      </c>
      <c r="L114" s="1"/>
      <c r="M114" s="1"/>
      <c r="N114" s="1" t="str">
        <f t="shared" si="15"/>
        <v>No</v>
      </c>
      <c r="O114" s="1">
        <f t="shared" si="16"/>
        <v>58</v>
      </c>
      <c r="P114" s="1">
        <f t="shared" si="17"/>
        <v>78</v>
      </c>
      <c r="Q114" s="1">
        <f t="shared" si="23"/>
        <v>5</v>
      </c>
      <c r="R114" s="1">
        <f t="shared" si="23"/>
        <v>0</v>
      </c>
      <c r="S114" s="29">
        <f t="shared" si="23"/>
        <v>58.97</v>
      </c>
      <c r="T114" s="1" t="str">
        <f t="shared" si="18"/>
        <v>caught</v>
      </c>
      <c r="U114" s="1" t="str">
        <f t="shared" si="19"/>
        <v>1</v>
      </c>
      <c r="V114" s="1" t="str">
        <f t="shared" si="20"/>
        <v xml:space="preserve"> West Indies</v>
      </c>
      <c r="W114" s="1" t="str">
        <f t="shared" si="21"/>
        <v>Port of Spain</v>
      </c>
      <c r="X114" s="1" t="str">
        <f t="shared" si="22"/>
        <v>Yes</v>
      </c>
      <c r="Y114" s="1"/>
    </row>
    <row r="115" spans="1:25" ht="14.25" customHeight="1">
      <c r="A115" s="1"/>
      <c r="B115" s="1">
        <v>97</v>
      </c>
      <c r="C115" s="1" t="s">
        <v>783</v>
      </c>
      <c r="D115" s="1" t="s">
        <v>231</v>
      </c>
      <c r="E115" s="1" t="s">
        <v>151</v>
      </c>
      <c r="F115" s="1" t="s">
        <v>130</v>
      </c>
      <c r="G115" s="1" t="s">
        <v>832</v>
      </c>
      <c r="H115" s="1" t="s">
        <v>32</v>
      </c>
      <c r="I115" s="1" t="s">
        <v>130</v>
      </c>
      <c r="J115" s="1" t="s">
        <v>133</v>
      </c>
      <c r="K115" s="1" t="s">
        <v>76</v>
      </c>
      <c r="L115" s="1"/>
      <c r="M115" s="1"/>
      <c r="N115" s="1" t="str">
        <f t="shared" si="15"/>
        <v>No</v>
      </c>
      <c r="O115" s="1">
        <f t="shared" si="16"/>
        <v>20</v>
      </c>
      <c r="P115" s="1">
        <f t="shared" si="17"/>
        <v>83</v>
      </c>
      <c r="Q115" s="1">
        <f t="shared" si="23"/>
        <v>2</v>
      </c>
      <c r="R115" s="1">
        <f t="shared" si="23"/>
        <v>1</v>
      </c>
      <c r="S115" s="29">
        <f t="shared" si="23"/>
        <v>57.83</v>
      </c>
      <c r="T115" s="1" t="str">
        <f t="shared" si="18"/>
        <v>not out</v>
      </c>
      <c r="U115" s="1" t="str">
        <f t="shared" si="19"/>
        <v>1</v>
      </c>
      <c r="V115" s="1" t="str">
        <f t="shared" si="20"/>
        <v xml:space="preserve"> Sri Lanka</v>
      </c>
      <c r="W115" s="1" t="str">
        <f t="shared" si="21"/>
        <v>Port of Spain</v>
      </c>
      <c r="X115" s="1" t="str">
        <f t="shared" si="22"/>
        <v>No</v>
      </c>
      <c r="Y115" s="1"/>
    </row>
    <row r="116" spans="1:25" ht="14.25" customHeight="1">
      <c r="A116" s="1"/>
      <c r="B116" s="1">
        <v>98</v>
      </c>
      <c r="C116" s="1" t="s">
        <v>582</v>
      </c>
      <c r="D116" s="1" t="s">
        <v>486</v>
      </c>
      <c r="E116" s="1" t="s">
        <v>202</v>
      </c>
      <c r="F116" s="1" t="s">
        <v>130</v>
      </c>
      <c r="G116" s="1" t="s">
        <v>833</v>
      </c>
      <c r="H116" s="1" t="s">
        <v>29</v>
      </c>
      <c r="I116" s="1" t="s">
        <v>151</v>
      </c>
      <c r="J116" s="1" t="s">
        <v>133</v>
      </c>
      <c r="K116" s="1" t="s">
        <v>76</v>
      </c>
      <c r="L116" s="1"/>
      <c r="M116" s="1"/>
      <c r="N116" s="1" t="str">
        <f t="shared" si="15"/>
        <v>No</v>
      </c>
      <c r="O116" s="1">
        <f t="shared" si="16"/>
        <v>1</v>
      </c>
      <c r="P116" s="1">
        <f t="shared" si="17"/>
        <v>89</v>
      </c>
      <c r="Q116" s="1">
        <f t="shared" si="23"/>
        <v>5</v>
      </c>
      <c r="R116" s="1">
        <f t="shared" si="23"/>
        <v>1</v>
      </c>
      <c r="S116" s="29">
        <f t="shared" si="23"/>
        <v>65.16</v>
      </c>
      <c r="T116" s="1" t="str">
        <f t="shared" si="18"/>
        <v>bowled</v>
      </c>
      <c r="U116" s="1" t="str">
        <f t="shared" si="19"/>
        <v>2</v>
      </c>
      <c r="V116" s="1" t="str">
        <f t="shared" si="20"/>
        <v xml:space="preserve"> Sri Lanka</v>
      </c>
      <c r="W116" s="1" t="str">
        <f t="shared" si="21"/>
        <v>Port of Spain</v>
      </c>
      <c r="X116" s="1" t="str">
        <f t="shared" si="22"/>
        <v>Yes</v>
      </c>
      <c r="Y116" s="1"/>
    </row>
    <row r="117" spans="1:25" ht="14.25" customHeight="1">
      <c r="A117" s="1"/>
      <c r="B117" s="1">
        <v>99</v>
      </c>
      <c r="C117" s="1" t="s">
        <v>238</v>
      </c>
      <c r="D117" s="1" t="s">
        <v>359</v>
      </c>
      <c r="E117" s="1" t="s">
        <v>151</v>
      </c>
      <c r="F117" s="1" t="s">
        <v>131</v>
      </c>
      <c r="G117" s="1" t="s">
        <v>204</v>
      </c>
      <c r="H117" s="1" t="s">
        <v>24</v>
      </c>
      <c r="I117" s="1" t="s">
        <v>151</v>
      </c>
      <c r="J117" s="1" t="s">
        <v>195</v>
      </c>
      <c r="K117" s="1" t="s">
        <v>62</v>
      </c>
      <c r="L117" s="1"/>
      <c r="M117" s="1"/>
      <c r="N117" s="1" t="str">
        <f t="shared" si="15"/>
        <v>No</v>
      </c>
      <c r="O117" s="1">
        <f t="shared" si="16"/>
        <v>14</v>
      </c>
      <c r="P117" s="1">
        <f t="shared" si="17"/>
        <v>40</v>
      </c>
      <c r="Q117" s="1">
        <f t="shared" si="23"/>
        <v>2</v>
      </c>
      <c r="R117" s="1">
        <f t="shared" si="23"/>
        <v>0</v>
      </c>
      <c r="S117" s="29">
        <f t="shared" si="23"/>
        <v>50</v>
      </c>
      <c r="T117" s="1" t="str">
        <f t="shared" si="18"/>
        <v>caught</v>
      </c>
      <c r="U117" s="1" t="str">
        <f t="shared" si="19"/>
        <v>2</v>
      </c>
      <c r="V117" s="1" t="str">
        <f t="shared" si="20"/>
        <v xml:space="preserve"> Zimbabwe</v>
      </c>
      <c r="W117" s="1" t="str">
        <f t="shared" si="21"/>
        <v>Harare</v>
      </c>
      <c r="X117" s="1" t="str">
        <f t="shared" si="22"/>
        <v>Yes</v>
      </c>
      <c r="Y117" s="1"/>
    </row>
    <row r="118" spans="1:25" ht="14.25" customHeight="1">
      <c r="A118" s="1"/>
      <c r="B118" s="1">
        <v>100</v>
      </c>
      <c r="C118" s="1" t="s">
        <v>130</v>
      </c>
      <c r="D118" s="1" t="s">
        <v>144</v>
      </c>
      <c r="E118" s="1" t="s">
        <v>131</v>
      </c>
      <c r="F118" s="1" t="s">
        <v>131</v>
      </c>
      <c r="G118" s="1" t="s">
        <v>647</v>
      </c>
      <c r="H118" s="1" t="s">
        <v>24</v>
      </c>
      <c r="I118" s="1" t="s">
        <v>130</v>
      </c>
      <c r="J118" s="1" t="s">
        <v>195</v>
      </c>
      <c r="K118" s="1" t="s">
        <v>62</v>
      </c>
      <c r="L118" s="1"/>
      <c r="M118" s="1"/>
      <c r="N118" s="1" t="str">
        <f t="shared" si="15"/>
        <v>No</v>
      </c>
      <c r="O118" s="1">
        <f t="shared" si="16"/>
        <v>64</v>
      </c>
      <c r="P118" s="1">
        <f t="shared" si="17"/>
        <v>7</v>
      </c>
      <c r="Q118" s="1">
        <f t="shared" si="23"/>
        <v>0</v>
      </c>
      <c r="R118" s="1">
        <f t="shared" si="23"/>
        <v>0</v>
      </c>
      <c r="S118" s="29">
        <f t="shared" si="23"/>
        <v>14.28</v>
      </c>
      <c r="T118" s="1" t="str">
        <f t="shared" si="18"/>
        <v>caught</v>
      </c>
      <c r="U118" s="1" t="str">
        <f t="shared" si="19"/>
        <v>1</v>
      </c>
      <c r="V118" s="1" t="str">
        <f t="shared" si="20"/>
        <v xml:space="preserve"> Zimbabwe</v>
      </c>
      <c r="W118" s="1" t="str">
        <f t="shared" si="21"/>
        <v>Harare</v>
      </c>
      <c r="X118" s="1" t="str">
        <f t="shared" si="22"/>
        <v>Yes</v>
      </c>
      <c r="Y118" s="1"/>
    </row>
    <row r="119" spans="1:25" ht="14.25" customHeight="1">
      <c r="A119" s="1"/>
      <c r="B119" s="1">
        <v>101</v>
      </c>
      <c r="C119" s="1" t="s">
        <v>205</v>
      </c>
      <c r="D119" s="1" t="s">
        <v>246</v>
      </c>
      <c r="E119" s="1" t="s">
        <v>151</v>
      </c>
      <c r="F119" s="1" t="s">
        <v>131</v>
      </c>
      <c r="G119" s="1" t="s">
        <v>155</v>
      </c>
      <c r="H119" s="1" t="s">
        <v>24</v>
      </c>
      <c r="I119" s="1" t="s">
        <v>151</v>
      </c>
      <c r="J119" s="1" t="s">
        <v>195</v>
      </c>
      <c r="K119" s="1" t="s">
        <v>62</v>
      </c>
      <c r="L119" s="1"/>
      <c r="M119" s="1"/>
      <c r="N119" s="1" t="str">
        <f t="shared" si="15"/>
        <v>No</v>
      </c>
      <c r="O119" s="1">
        <f t="shared" si="16"/>
        <v>42</v>
      </c>
      <c r="P119" s="1">
        <f t="shared" si="17"/>
        <v>21</v>
      </c>
      <c r="Q119" s="1">
        <f t="shared" si="23"/>
        <v>2</v>
      </c>
      <c r="R119" s="1">
        <f t="shared" si="23"/>
        <v>0</v>
      </c>
      <c r="S119" s="29">
        <f t="shared" si="23"/>
        <v>66.66</v>
      </c>
      <c r="T119" s="1" t="str">
        <f t="shared" si="18"/>
        <v>caught</v>
      </c>
      <c r="U119" s="1" t="str">
        <f t="shared" si="19"/>
        <v>2</v>
      </c>
      <c r="V119" s="1" t="str">
        <f t="shared" si="20"/>
        <v xml:space="preserve"> Zimbabwe</v>
      </c>
      <c r="W119" s="1" t="str">
        <f t="shared" si="21"/>
        <v>Harare</v>
      </c>
      <c r="X119" s="1" t="str">
        <f t="shared" si="22"/>
        <v>Yes</v>
      </c>
      <c r="Y119" s="1"/>
    </row>
    <row r="120" spans="1:25" ht="14.25" customHeight="1">
      <c r="A120" s="1"/>
      <c r="B120" s="1">
        <v>102</v>
      </c>
      <c r="C120" s="1" t="s">
        <v>834</v>
      </c>
      <c r="D120" s="1" t="s">
        <v>835</v>
      </c>
      <c r="E120" s="1" t="s">
        <v>202</v>
      </c>
      <c r="F120" s="1" t="s">
        <v>130</v>
      </c>
      <c r="G120" s="1" t="s">
        <v>836</v>
      </c>
      <c r="H120" s="1" t="s">
        <v>32</v>
      </c>
      <c r="I120" s="1" t="s">
        <v>151</v>
      </c>
      <c r="J120" s="1" t="s">
        <v>195</v>
      </c>
      <c r="K120" s="1" t="s">
        <v>61</v>
      </c>
      <c r="L120" s="1"/>
      <c r="M120" s="1"/>
      <c r="N120" s="1" t="str">
        <f t="shared" si="15"/>
        <v>No</v>
      </c>
      <c r="O120" s="1">
        <f t="shared" si="16"/>
        <v>141</v>
      </c>
      <c r="P120" s="1">
        <f t="shared" si="17"/>
        <v>90</v>
      </c>
      <c r="Q120" s="1">
        <f t="shared" si="23"/>
        <v>5</v>
      </c>
      <c r="R120" s="1">
        <f t="shared" si="23"/>
        <v>1</v>
      </c>
      <c r="S120" s="29">
        <f t="shared" si="23"/>
        <v>71.11</v>
      </c>
      <c r="T120" s="1" t="str">
        <f t="shared" si="18"/>
        <v>not out</v>
      </c>
      <c r="U120" s="1" t="str">
        <f t="shared" si="19"/>
        <v>2</v>
      </c>
      <c r="V120" s="1" t="str">
        <f t="shared" si="20"/>
        <v xml:space="preserve"> Zimbabwe</v>
      </c>
      <c r="W120" s="1" t="str">
        <f t="shared" si="21"/>
        <v>Bulawayo</v>
      </c>
      <c r="X120" s="1" t="str">
        <f t="shared" si="22"/>
        <v>No</v>
      </c>
      <c r="Y120" s="1"/>
    </row>
    <row r="121" spans="1:25" ht="14.25" customHeight="1">
      <c r="A121" s="1"/>
      <c r="B121" s="1">
        <v>103</v>
      </c>
      <c r="C121" s="1" t="s">
        <v>386</v>
      </c>
      <c r="D121" s="1" t="s">
        <v>419</v>
      </c>
      <c r="E121" s="1" t="s">
        <v>136</v>
      </c>
      <c r="F121" s="1" t="s">
        <v>131</v>
      </c>
      <c r="G121" s="1" t="s">
        <v>837</v>
      </c>
      <c r="H121" s="1" t="s">
        <v>24</v>
      </c>
      <c r="I121" s="1" t="s">
        <v>151</v>
      </c>
      <c r="J121" s="1" t="s">
        <v>158</v>
      </c>
      <c r="K121" s="1" t="s">
        <v>100</v>
      </c>
      <c r="L121" s="1"/>
      <c r="M121" s="1"/>
      <c r="N121" s="1" t="str">
        <f t="shared" si="15"/>
        <v>No</v>
      </c>
      <c r="O121" s="1">
        <f t="shared" si="16"/>
        <v>11</v>
      </c>
      <c r="P121" s="1">
        <f t="shared" si="17"/>
        <v>47</v>
      </c>
      <c r="Q121" s="1">
        <f t="shared" si="23"/>
        <v>6</v>
      </c>
      <c r="R121" s="1">
        <f t="shared" si="23"/>
        <v>0</v>
      </c>
      <c r="S121" s="29">
        <f t="shared" si="23"/>
        <v>89.36</v>
      </c>
      <c r="T121" s="1" t="str">
        <f t="shared" si="18"/>
        <v>caught</v>
      </c>
      <c r="U121" s="1" t="str">
        <f t="shared" si="19"/>
        <v>2</v>
      </c>
      <c r="V121" s="1" t="str">
        <f t="shared" si="20"/>
        <v xml:space="preserve"> Australia</v>
      </c>
      <c r="W121" s="1" t="str">
        <f t="shared" si="21"/>
        <v>Pune</v>
      </c>
      <c r="X121" s="1" t="str">
        <f t="shared" si="22"/>
        <v>Yes</v>
      </c>
      <c r="Y121" s="1"/>
    </row>
    <row r="122" spans="1:25" ht="14.25" customHeight="1">
      <c r="A122" s="1"/>
      <c r="B122" s="1">
        <v>104</v>
      </c>
      <c r="C122" s="1" t="s">
        <v>838</v>
      </c>
      <c r="D122" s="1" t="s">
        <v>272</v>
      </c>
      <c r="E122" s="1" t="s">
        <v>306</v>
      </c>
      <c r="F122" s="1" t="s">
        <v>140</v>
      </c>
      <c r="G122" s="1" t="s">
        <v>839</v>
      </c>
      <c r="H122" s="1" t="s">
        <v>32</v>
      </c>
      <c r="I122" s="1" t="s">
        <v>151</v>
      </c>
      <c r="J122" s="1" t="s">
        <v>158</v>
      </c>
      <c r="K122" s="1" t="s">
        <v>56</v>
      </c>
      <c r="L122" s="1"/>
      <c r="M122" s="1"/>
      <c r="N122" s="1" t="str">
        <f t="shared" si="15"/>
        <v>No</v>
      </c>
      <c r="O122" s="1">
        <f t="shared" si="16"/>
        <v>9</v>
      </c>
      <c r="P122" s="1">
        <f t="shared" si="17"/>
        <v>123</v>
      </c>
      <c r="Q122" s="1">
        <f t="shared" si="23"/>
        <v>17</v>
      </c>
      <c r="R122" s="1">
        <f t="shared" si="23"/>
        <v>4</v>
      </c>
      <c r="S122" s="29">
        <f t="shared" si="23"/>
        <v>114.63</v>
      </c>
      <c r="T122" s="1" t="str">
        <f t="shared" si="18"/>
        <v>not out</v>
      </c>
      <c r="U122" s="1" t="str">
        <f t="shared" si="19"/>
        <v>2</v>
      </c>
      <c r="V122" s="1" t="str">
        <f t="shared" si="20"/>
        <v xml:space="preserve"> Australia</v>
      </c>
      <c r="W122" s="1" t="str">
        <f t="shared" si="21"/>
        <v>Jaipur</v>
      </c>
      <c r="X122" s="1" t="str">
        <f t="shared" si="22"/>
        <v>No</v>
      </c>
      <c r="Y122" s="1"/>
    </row>
    <row r="123" spans="1:25" ht="14.25" customHeight="1">
      <c r="A123" s="1"/>
      <c r="B123" s="1">
        <v>105</v>
      </c>
      <c r="C123" s="1" t="s">
        <v>176</v>
      </c>
      <c r="D123" s="1" t="s">
        <v>129</v>
      </c>
      <c r="E123" s="1" t="s">
        <v>151</v>
      </c>
      <c r="F123" s="1" t="s">
        <v>131</v>
      </c>
      <c r="G123" s="1" t="s">
        <v>204</v>
      </c>
      <c r="H123" s="1" t="s">
        <v>24</v>
      </c>
      <c r="I123" s="1" t="s">
        <v>130</v>
      </c>
      <c r="J123" s="1" t="s">
        <v>158</v>
      </c>
      <c r="K123" s="1" t="s">
        <v>46</v>
      </c>
      <c r="L123" s="1"/>
      <c r="M123" s="1"/>
      <c r="N123" s="1" t="str">
        <f t="shared" si="15"/>
        <v>No</v>
      </c>
      <c r="O123" s="1">
        <f t="shared" si="16"/>
        <v>79</v>
      </c>
      <c r="P123" s="1">
        <f t="shared" si="17"/>
        <v>22</v>
      </c>
      <c r="Q123" s="1">
        <f t="shared" si="23"/>
        <v>2</v>
      </c>
      <c r="R123" s="1">
        <f t="shared" si="23"/>
        <v>0</v>
      </c>
      <c r="S123" s="29">
        <f t="shared" si="23"/>
        <v>50</v>
      </c>
      <c r="T123" s="1" t="str">
        <f t="shared" si="18"/>
        <v>caught</v>
      </c>
      <c r="U123" s="1" t="str">
        <f t="shared" si="19"/>
        <v>1</v>
      </c>
      <c r="V123" s="1" t="str">
        <f t="shared" si="20"/>
        <v xml:space="preserve"> Australia</v>
      </c>
      <c r="W123" s="1" t="str">
        <f t="shared" si="21"/>
        <v>Mohali</v>
      </c>
      <c r="X123" s="1" t="str">
        <f t="shared" si="22"/>
        <v>Yes</v>
      </c>
      <c r="Y123" s="1"/>
    </row>
    <row r="124" spans="1:25" ht="14.25" customHeight="1">
      <c r="A124" s="1"/>
      <c r="B124" s="1">
        <v>106</v>
      </c>
      <c r="C124" s="1" t="s">
        <v>763</v>
      </c>
      <c r="D124" s="1" t="s">
        <v>325</v>
      </c>
      <c r="E124" s="1" t="s">
        <v>130</v>
      </c>
      <c r="F124" s="1" t="s">
        <v>131</v>
      </c>
      <c r="G124" s="1" t="s">
        <v>401</v>
      </c>
      <c r="H124" s="1" t="s">
        <v>32</v>
      </c>
      <c r="I124" s="1" t="s">
        <v>151</v>
      </c>
      <c r="J124" s="1" t="s">
        <v>158</v>
      </c>
      <c r="K124" s="1" t="s">
        <v>97</v>
      </c>
      <c r="L124" s="1"/>
      <c r="M124" s="1"/>
      <c r="N124" s="1" t="str">
        <f t="shared" si="15"/>
        <v>No</v>
      </c>
      <c r="O124" s="1">
        <f t="shared" si="16"/>
        <v>209</v>
      </c>
      <c r="P124" s="1">
        <f t="shared" si="17"/>
        <v>13</v>
      </c>
      <c r="Q124" s="1">
        <f t="shared" si="23"/>
        <v>1</v>
      </c>
      <c r="R124" s="1">
        <f t="shared" si="23"/>
        <v>0</v>
      </c>
      <c r="S124" s="29">
        <f t="shared" si="23"/>
        <v>69.23</v>
      </c>
      <c r="T124" s="1" t="str">
        <f t="shared" si="18"/>
        <v>not out</v>
      </c>
      <c r="U124" s="1" t="str">
        <f t="shared" si="19"/>
        <v>2</v>
      </c>
      <c r="V124" s="1" t="str">
        <f t="shared" si="20"/>
        <v xml:space="preserve"> Australia</v>
      </c>
      <c r="W124" s="1" t="str">
        <f t="shared" si="21"/>
        <v>Ranchi</v>
      </c>
      <c r="X124" s="1" t="str">
        <f t="shared" si="22"/>
        <v>No</v>
      </c>
      <c r="Y124" s="1"/>
    </row>
    <row r="125" spans="1:25" ht="14.25" customHeight="1">
      <c r="A125" s="1"/>
      <c r="B125" s="1">
        <v>107</v>
      </c>
      <c r="C125" s="1" t="s">
        <v>311</v>
      </c>
      <c r="D125" s="1" t="s">
        <v>486</v>
      </c>
      <c r="E125" s="1" t="s">
        <v>144</v>
      </c>
      <c r="F125" s="1" t="s">
        <v>148</v>
      </c>
      <c r="G125" s="1" t="s">
        <v>840</v>
      </c>
      <c r="H125" s="1" t="s">
        <v>24</v>
      </c>
      <c r="I125" s="1" t="s">
        <v>151</v>
      </c>
      <c r="J125" s="1" t="s">
        <v>158</v>
      </c>
      <c r="K125" s="1" t="s">
        <v>50</v>
      </c>
      <c r="L125" s="1"/>
      <c r="M125" s="1"/>
      <c r="N125" s="1" t="str">
        <f t="shared" si="15"/>
        <v>No</v>
      </c>
      <c r="O125" s="1">
        <f t="shared" si="16"/>
        <v>72</v>
      </c>
      <c r="P125" s="1">
        <f t="shared" si="17"/>
        <v>89</v>
      </c>
      <c r="Q125" s="1">
        <f t="shared" si="23"/>
        <v>7</v>
      </c>
      <c r="R125" s="1">
        <f t="shared" si="23"/>
        <v>3</v>
      </c>
      <c r="S125" s="29">
        <f t="shared" si="23"/>
        <v>88.76</v>
      </c>
      <c r="T125" s="1" t="str">
        <f t="shared" si="18"/>
        <v>caught</v>
      </c>
      <c r="U125" s="1" t="str">
        <f t="shared" si="19"/>
        <v>2</v>
      </c>
      <c r="V125" s="1" t="str">
        <f t="shared" si="20"/>
        <v xml:space="preserve"> Australia</v>
      </c>
      <c r="W125" s="1" t="str">
        <f t="shared" si="21"/>
        <v>Nagpur</v>
      </c>
      <c r="X125" s="1" t="str">
        <f t="shared" si="22"/>
        <v>Yes</v>
      </c>
      <c r="Y125" s="1"/>
    </row>
    <row r="126" spans="1:25" ht="14.25" customHeight="1">
      <c r="A126" s="1"/>
      <c r="B126" s="1">
        <v>108</v>
      </c>
      <c r="C126" s="1" t="s">
        <v>841</v>
      </c>
      <c r="D126" s="1" t="s">
        <v>842</v>
      </c>
      <c r="E126" s="1" t="s">
        <v>128</v>
      </c>
      <c r="F126" s="1" t="s">
        <v>153</v>
      </c>
      <c r="G126" s="1" t="s">
        <v>843</v>
      </c>
      <c r="H126" s="1" t="s">
        <v>24</v>
      </c>
      <c r="I126" s="1" t="s">
        <v>130</v>
      </c>
      <c r="J126" s="1" t="s">
        <v>158</v>
      </c>
      <c r="K126" s="1" t="s">
        <v>67</v>
      </c>
      <c r="L126" s="1"/>
      <c r="M126" s="1"/>
      <c r="N126" s="1" t="str">
        <f t="shared" si="15"/>
        <v>No</v>
      </c>
      <c r="O126" s="1">
        <f t="shared" si="16"/>
        <v>12</v>
      </c>
      <c r="P126" s="1">
        <f t="shared" si="17"/>
        <v>158</v>
      </c>
      <c r="Q126" s="1">
        <f t="shared" si="23"/>
        <v>12</v>
      </c>
      <c r="R126" s="1">
        <f t="shared" si="23"/>
        <v>16</v>
      </c>
      <c r="S126" s="29">
        <f t="shared" si="23"/>
        <v>132.27000000000001</v>
      </c>
      <c r="T126" s="1" t="str">
        <f t="shared" si="18"/>
        <v>caught</v>
      </c>
      <c r="U126" s="1" t="str">
        <f t="shared" si="19"/>
        <v>1</v>
      </c>
      <c r="V126" s="1" t="str">
        <f t="shared" si="20"/>
        <v xml:space="preserve"> Australia</v>
      </c>
      <c r="W126" s="1" t="str">
        <f t="shared" si="21"/>
        <v>Bengaluru</v>
      </c>
      <c r="X126" s="1" t="str">
        <f t="shared" si="22"/>
        <v>Yes</v>
      </c>
      <c r="Y126" s="1"/>
    </row>
    <row r="127" spans="1:25" ht="14.25" customHeight="1">
      <c r="A127" s="1"/>
      <c r="B127" s="1">
        <v>109</v>
      </c>
      <c r="C127" s="1" t="s">
        <v>454</v>
      </c>
      <c r="D127" s="1" t="s">
        <v>250</v>
      </c>
      <c r="E127" s="1" t="s">
        <v>189</v>
      </c>
      <c r="F127" s="1" t="s">
        <v>130</v>
      </c>
      <c r="G127" s="1" t="s">
        <v>511</v>
      </c>
      <c r="H127" s="1" t="s">
        <v>24</v>
      </c>
      <c r="I127" s="1" t="s">
        <v>151</v>
      </c>
      <c r="J127" s="1" t="s">
        <v>163</v>
      </c>
      <c r="K127" s="1" t="s">
        <v>96</v>
      </c>
      <c r="L127" s="1"/>
      <c r="M127" s="1"/>
      <c r="N127" s="1" t="str">
        <f t="shared" si="15"/>
        <v>No</v>
      </c>
      <c r="O127" s="1">
        <f t="shared" si="16"/>
        <v>4</v>
      </c>
      <c r="P127" s="1">
        <f t="shared" si="17"/>
        <v>81</v>
      </c>
      <c r="Q127" s="1">
        <f t="shared" si="23"/>
        <v>8</v>
      </c>
      <c r="R127" s="1">
        <f t="shared" si="23"/>
        <v>1</v>
      </c>
      <c r="S127" s="29">
        <f t="shared" si="23"/>
        <v>88.88</v>
      </c>
      <c r="T127" s="1" t="str">
        <f t="shared" si="18"/>
        <v>caught</v>
      </c>
      <c r="U127" s="1" t="str">
        <f t="shared" si="19"/>
        <v>2</v>
      </c>
      <c r="V127" s="1" t="str">
        <f t="shared" si="20"/>
        <v xml:space="preserve"> West Indies</v>
      </c>
      <c r="W127" s="1" t="str">
        <f t="shared" si="21"/>
        <v>Kochi</v>
      </c>
      <c r="X127" s="1" t="str">
        <f t="shared" si="22"/>
        <v>Yes</v>
      </c>
      <c r="Y127" s="1"/>
    </row>
    <row r="128" spans="1:25" ht="14.25" customHeight="1">
      <c r="A128" s="1"/>
      <c r="B128" s="1">
        <v>110</v>
      </c>
      <c r="C128" s="1" t="s">
        <v>128</v>
      </c>
      <c r="D128" s="1" t="s">
        <v>170</v>
      </c>
      <c r="E128" s="1" t="s">
        <v>148</v>
      </c>
      <c r="F128" s="1" t="s">
        <v>131</v>
      </c>
      <c r="G128" s="1" t="s">
        <v>538</v>
      </c>
      <c r="H128" s="1" t="s">
        <v>24</v>
      </c>
      <c r="I128" s="1" t="s">
        <v>130</v>
      </c>
      <c r="J128" s="1" t="s">
        <v>163</v>
      </c>
      <c r="K128" s="1" t="s">
        <v>65</v>
      </c>
      <c r="L128" s="1"/>
      <c r="M128" s="1"/>
      <c r="N128" s="1" t="str">
        <f t="shared" si="15"/>
        <v>No</v>
      </c>
      <c r="O128" s="1">
        <f t="shared" si="16"/>
        <v>18</v>
      </c>
      <c r="P128" s="1">
        <f t="shared" si="17"/>
        <v>19</v>
      </c>
      <c r="Q128" s="1">
        <f t="shared" si="23"/>
        <v>3</v>
      </c>
      <c r="R128" s="1">
        <f t="shared" si="23"/>
        <v>0</v>
      </c>
      <c r="S128" s="29">
        <f t="shared" si="23"/>
        <v>63.15</v>
      </c>
      <c r="T128" s="1" t="str">
        <f t="shared" si="18"/>
        <v>caught</v>
      </c>
      <c r="U128" s="1" t="str">
        <f t="shared" si="19"/>
        <v>1</v>
      </c>
      <c r="V128" s="1" t="str">
        <f t="shared" si="20"/>
        <v xml:space="preserve"> West Indies</v>
      </c>
      <c r="W128" s="1" t="str">
        <f t="shared" si="21"/>
        <v>Visakhapatnam</v>
      </c>
      <c r="X128" s="1" t="str">
        <f t="shared" si="22"/>
        <v>Yes</v>
      </c>
      <c r="Y128" s="1"/>
    </row>
    <row r="129" spans="1:25" ht="14.25" customHeight="1">
      <c r="A129" s="1"/>
      <c r="B129" s="1">
        <v>111</v>
      </c>
      <c r="C129" s="1" t="s">
        <v>140</v>
      </c>
      <c r="D129" s="1" t="s">
        <v>205</v>
      </c>
      <c r="E129" s="1" t="s">
        <v>131</v>
      </c>
      <c r="F129" s="1" t="s">
        <v>131</v>
      </c>
      <c r="G129" s="1" t="s">
        <v>539</v>
      </c>
      <c r="H129" s="1" t="s">
        <v>24</v>
      </c>
      <c r="I129" s="1" t="s">
        <v>151</v>
      </c>
      <c r="J129" s="1" t="s">
        <v>163</v>
      </c>
      <c r="K129" s="1" t="s">
        <v>101</v>
      </c>
      <c r="L129" s="1"/>
      <c r="M129" s="1"/>
      <c r="N129" s="1" t="str">
        <f t="shared" si="15"/>
        <v>No</v>
      </c>
      <c r="O129" s="1">
        <f t="shared" si="16"/>
        <v>19</v>
      </c>
      <c r="P129" s="1">
        <f t="shared" si="17"/>
        <v>14</v>
      </c>
      <c r="Q129" s="1">
        <f t="shared" si="23"/>
        <v>0</v>
      </c>
      <c r="R129" s="1">
        <f t="shared" si="23"/>
        <v>0</v>
      </c>
      <c r="S129" s="29">
        <f t="shared" si="23"/>
        <v>28.57</v>
      </c>
      <c r="T129" s="1" t="str">
        <f t="shared" si="18"/>
        <v>caught</v>
      </c>
      <c r="U129" s="1" t="str">
        <f t="shared" si="19"/>
        <v>2</v>
      </c>
      <c r="V129" s="1" t="str">
        <f t="shared" si="20"/>
        <v xml:space="preserve"> West Indies</v>
      </c>
      <c r="W129" s="1" t="str">
        <f t="shared" si="21"/>
        <v>Kanpur</v>
      </c>
      <c r="X129" s="1" t="str">
        <f t="shared" si="22"/>
        <v>Yes</v>
      </c>
      <c r="Y129" s="1"/>
    </row>
    <row r="130" spans="1:25" ht="14.25" customHeight="1">
      <c r="A130" s="1"/>
      <c r="B130" s="1">
        <v>112</v>
      </c>
      <c r="C130" s="1" t="s">
        <v>199</v>
      </c>
      <c r="D130" s="1" t="s">
        <v>321</v>
      </c>
      <c r="E130" s="1" t="s">
        <v>151</v>
      </c>
      <c r="F130" s="1" t="s">
        <v>131</v>
      </c>
      <c r="G130" s="1" t="s">
        <v>844</v>
      </c>
      <c r="H130" s="1" t="s">
        <v>26</v>
      </c>
      <c r="I130" s="1" t="s">
        <v>151</v>
      </c>
      <c r="J130" s="1" t="s">
        <v>191</v>
      </c>
      <c r="K130" s="1" t="s">
        <v>43</v>
      </c>
      <c r="L130" s="1"/>
      <c r="M130" s="1"/>
      <c r="N130" s="1" t="str">
        <f t="shared" si="15"/>
        <v>No</v>
      </c>
      <c r="O130" s="1" t="str">
        <f t="shared" si="16"/>
        <v>NA</v>
      </c>
      <c r="P130" s="1">
        <f t="shared" si="17"/>
        <v>43</v>
      </c>
      <c r="Q130" s="1">
        <f t="shared" si="23"/>
        <v>2</v>
      </c>
      <c r="R130" s="1">
        <f t="shared" si="23"/>
        <v>0</v>
      </c>
      <c r="S130" s="29">
        <f t="shared" si="23"/>
        <v>41.86</v>
      </c>
      <c r="T130" s="1" t="str">
        <f t="shared" si="18"/>
        <v>run out</v>
      </c>
      <c r="U130" s="1" t="str">
        <f t="shared" si="19"/>
        <v>2</v>
      </c>
      <c r="V130" s="1" t="str">
        <f t="shared" si="20"/>
        <v xml:space="preserve"> South Africa</v>
      </c>
      <c r="W130" s="1" t="str">
        <f t="shared" si="21"/>
        <v>Johannesburg</v>
      </c>
      <c r="X130" s="1" t="str">
        <f t="shared" si="22"/>
        <v>Yes</v>
      </c>
      <c r="Y130" s="1"/>
    </row>
    <row r="131" spans="1:25" ht="14.25" customHeight="1">
      <c r="A131" s="1"/>
      <c r="B131" s="1">
        <v>113</v>
      </c>
      <c r="C131" s="1" t="s">
        <v>170</v>
      </c>
      <c r="D131" s="1" t="s">
        <v>313</v>
      </c>
      <c r="E131" s="1" t="s">
        <v>151</v>
      </c>
      <c r="F131" s="1" t="s">
        <v>131</v>
      </c>
      <c r="G131" s="1" t="s">
        <v>664</v>
      </c>
      <c r="H131" s="1" t="s">
        <v>24</v>
      </c>
      <c r="I131" s="1" t="s">
        <v>151</v>
      </c>
      <c r="J131" s="1" t="s">
        <v>191</v>
      </c>
      <c r="K131" s="1" t="s">
        <v>69</v>
      </c>
      <c r="L131" s="1"/>
      <c r="M131" s="1"/>
      <c r="N131" s="1" t="str">
        <f t="shared" si="15"/>
        <v>No</v>
      </c>
      <c r="O131" s="1">
        <f t="shared" si="16"/>
        <v>3</v>
      </c>
      <c r="P131" s="1">
        <f t="shared" si="17"/>
        <v>26</v>
      </c>
      <c r="Q131" s="1">
        <f t="shared" si="23"/>
        <v>2</v>
      </c>
      <c r="R131" s="1">
        <f t="shared" si="23"/>
        <v>0</v>
      </c>
      <c r="S131" s="29">
        <f t="shared" si="23"/>
        <v>73.069999999999993</v>
      </c>
      <c r="T131" s="1" t="str">
        <f t="shared" si="18"/>
        <v>caught</v>
      </c>
      <c r="U131" s="1" t="str">
        <f t="shared" si="19"/>
        <v>2</v>
      </c>
      <c r="V131" s="1" t="str">
        <f t="shared" si="20"/>
        <v xml:space="preserve"> South Africa</v>
      </c>
      <c r="W131" s="1" t="str">
        <f t="shared" si="21"/>
        <v>Durban</v>
      </c>
      <c r="X131" s="1" t="str">
        <f t="shared" si="22"/>
        <v>Yes</v>
      </c>
      <c r="Y131" s="1"/>
    </row>
    <row r="132" spans="1:25" ht="14.25" customHeight="1">
      <c r="A132" s="1"/>
      <c r="B132" s="1">
        <v>114</v>
      </c>
      <c r="C132" s="1" t="s">
        <v>38</v>
      </c>
      <c r="D132" s="1" t="s">
        <v>157</v>
      </c>
      <c r="E132" s="1" t="s">
        <v>157</v>
      </c>
      <c r="F132" s="1" t="s">
        <v>157</v>
      </c>
      <c r="G132" s="1" t="s">
        <v>157</v>
      </c>
      <c r="H132" s="1" t="s">
        <v>157</v>
      </c>
      <c r="I132" s="1" t="s">
        <v>157</v>
      </c>
      <c r="J132" s="1" t="s">
        <v>191</v>
      </c>
      <c r="K132" s="1" t="s">
        <v>36</v>
      </c>
      <c r="L132" s="1"/>
      <c r="M132" s="1"/>
      <c r="N132" s="1" t="str">
        <f t="shared" si="15"/>
        <v>Yes</v>
      </c>
      <c r="O132" s="1">
        <f t="shared" si="16"/>
        <v>20</v>
      </c>
      <c r="P132" s="1" t="str">
        <f t="shared" si="17"/>
        <v>NA</v>
      </c>
      <c r="Q132" s="1" t="str">
        <f t="shared" si="23"/>
        <v>NA</v>
      </c>
      <c r="R132" s="1" t="str">
        <f t="shared" si="23"/>
        <v>NA</v>
      </c>
      <c r="S132" s="29" t="str">
        <f t="shared" si="23"/>
        <v>NA</v>
      </c>
      <c r="T132" s="1" t="str">
        <f t="shared" si="18"/>
        <v>NA</v>
      </c>
      <c r="U132" s="1" t="str">
        <f t="shared" si="19"/>
        <v>-</v>
      </c>
      <c r="V132" s="1" t="str">
        <f t="shared" si="20"/>
        <v xml:space="preserve"> South Africa</v>
      </c>
      <c r="W132" s="1" t="str">
        <f t="shared" si="21"/>
        <v>Centurion</v>
      </c>
      <c r="X132" s="1" t="str">
        <f t="shared" si="22"/>
        <v>No</v>
      </c>
      <c r="Y132" s="1"/>
    </row>
    <row r="133" spans="1:25" ht="14.25" customHeight="1">
      <c r="A133" s="1"/>
      <c r="B133" s="1">
        <v>115</v>
      </c>
      <c r="C133" s="1" t="s">
        <v>148</v>
      </c>
      <c r="D133" s="1" t="s">
        <v>304</v>
      </c>
      <c r="E133" s="1" t="s">
        <v>131</v>
      </c>
      <c r="F133" s="1" t="s">
        <v>131</v>
      </c>
      <c r="G133" s="1" t="s">
        <v>845</v>
      </c>
      <c r="H133" s="1" t="s">
        <v>24</v>
      </c>
      <c r="I133" s="1" t="s">
        <v>151</v>
      </c>
      <c r="J133" s="1" t="s">
        <v>211</v>
      </c>
      <c r="K133" s="1" t="s">
        <v>102</v>
      </c>
      <c r="L133" s="1"/>
      <c r="M133" s="1"/>
      <c r="N133" s="1" t="str">
        <f t="shared" si="15"/>
        <v>No</v>
      </c>
      <c r="O133" s="1">
        <f t="shared" si="16"/>
        <v>39</v>
      </c>
      <c r="P133" s="1">
        <f t="shared" si="17"/>
        <v>23</v>
      </c>
      <c r="Q133" s="1">
        <f t="shared" si="23"/>
        <v>0</v>
      </c>
      <c r="R133" s="1">
        <f t="shared" si="23"/>
        <v>0</v>
      </c>
      <c r="S133" s="29">
        <f t="shared" si="23"/>
        <v>13.04</v>
      </c>
      <c r="T133" s="1" t="str">
        <f t="shared" si="18"/>
        <v>caught</v>
      </c>
      <c r="U133" s="1" t="str">
        <f t="shared" si="19"/>
        <v>2</v>
      </c>
      <c r="V133" s="1" t="str">
        <f t="shared" si="20"/>
        <v xml:space="preserve"> New Zealand</v>
      </c>
      <c r="W133" s="1" t="str">
        <f t="shared" si="21"/>
        <v>Napier</v>
      </c>
      <c r="X133" s="1" t="str">
        <f t="shared" si="22"/>
        <v>Yes</v>
      </c>
      <c r="Y133" s="1"/>
    </row>
    <row r="134" spans="1:25" ht="14.25" customHeight="1">
      <c r="A134" s="1"/>
      <c r="B134" s="1">
        <v>116</v>
      </c>
      <c r="C134" s="1" t="s">
        <v>238</v>
      </c>
      <c r="D134" s="1" t="s">
        <v>208</v>
      </c>
      <c r="E134" s="1" t="s">
        <v>151</v>
      </c>
      <c r="F134" s="1" t="s">
        <v>130</v>
      </c>
      <c r="G134" s="1" t="s">
        <v>824</v>
      </c>
      <c r="H134" s="1" t="s">
        <v>24</v>
      </c>
      <c r="I134" s="1" t="s">
        <v>151</v>
      </c>
      <c r="J134" s="1" t="s">
        <v>211</v>
      </c>
      <c r="K134" s="1" t="s">
        <v>103</v>
      </c>
      <c r="L134" s="1"/>
      <c r="M134" s="1"/>
      <c r="N134" s="1" t="str">
        <f t="shared" si="15"/>
        <v>No</v>
      </c>
      <c r="O134" s="1">
        <f t="shared" si="16"/>
        <v>79</v>
      </c>
      <c r="P134" s="1">
        <f t="shared" si="17"/>
        <v>34</v>
      </c>
      <c r="Q134" s="1">
        <f t="shared" si="23"/>
        <v>2</v>
      </c>
      <c r="R134" s="1">
        <f t="shared" si="23"/>
        <v>1</v>
      </c>
      <c r="S134" s="29">
        <f t="shared" si="23"/>
        <v>58.82</v>
      </c>
      <c r="T134" s="1" t="str">
        <f t="shared" si="18"/>
        <v>caught</v>
      </c>
      <c r="U134" s="1" t="str">
        <f t="shared" si="19"/>
        <v>2</v>
      </c>
      <c r="V134" s="1" t="str">
        <f t="shared" si="20"/>
        <v xml:space="preserve"> New Zealand</v>
      </c>
      <c r="W134" s="1" t="str">
        <f t="shared" si="21"/>
        <v>Hamilton</v>
      </c>
      <c r="X134" s="1" t="str">
        <f t="shared" si="22"/>
        <v>Yes</v>
      </c>
      <c r="Y134" s="1"/>
    </row>
    <row r="135" spans="1:25" ht="14.25" customHeight="1">
      <c r="A135" s="1"/>
      <c r="B135" s="1">
        <v>117</v>
      </c>
      <c r="C135" s="1" t="s">
        <v>436</v>
      </c>
      <c r="D135" s="1" t="s">
        <v>139</v>
      </c>
      <c r="E135" s="1" t="s">
        <v>130</v>
      </c>
      <c r="F135" s="1" t="s">
        <v>140</v>
      </c>
      <c r="G135" s="1" t="s">
        <v>485</v>
      </c>
      <c r="H135" s="1" t="s">
        <v>24</v>
      </c>
      <c r="I135" s="1" t="s">
        <v>151</v>
      </c>
      <c r="J135" s="1" t="s">
        <v>211</v>
      </c>
      <c r="K135" s="1" t="s">
        <v>104</v>
      </c>
      <c r="L135" s="1"/>
      <c r="M135" s="1"/>
      <c r="N135" s="1" t="str">
        <f t="shared" si="15"/>
        <v>No</v>
      </c>
      <c r="O135" s="1">
        <f t="shared" si="16"/>
        <v>4</v>
      </c>
      <c r="P135" s="1">
        <f t="shared" si="17"/>
        <v>38</v>
      </c>
      <c r="Q135" s="1">
        <f t="shared" si="23"/>
        <v>1</v>
      </c>
      <c r="R135" s="1">
        <f t="shared" si="23"/>
        <v>4</v>
      </c>
      <c r="S135" s="29">
        <f t="shared" si="23"/>
        <v>102.63</v>
      </c>
      <c r="T135" s="1" t="str">
        <f t="shared" si="18"/>
        <v>caught</v>
      </c>
      <c r="U135" s="1" t="str">
        <f t="shared" si="19"/>
        <v>2</v>
      </c>
      <c r="V135" s="1" t="str">
        <f t="shared" si="20"/>
        <v xml:space="preserve"> New Zealand</v>
      </c>
      <c r="W135" s="1" t="str">
        <f t="shared" si="21"/>
        <v>Auckland</v>
      </c>
      <c r="X135" s="1" t="str">
        <f t="shared" si="22"/>
        <v>Yes</v>
      </c>
      <c r="Y135" s="1"/>
    </row>
    <row r="136" spans="1:25" ht="14.25" customHeight="1">
      <c r="A136" s="1"/>
      <c r="B136" s="1">
        <v>118</v>
      </c>
      <c r="C136" s="1" t="s">
        <v>311</v>
      </c>
      <c r="D136" s="1" t="s">
        <v>253</v>
      </c>
      <c r="E136" s="1" t="s">
        <v>136</v>
      </c>
      <c r="F136" s="1" t="s">
        <v>140</v>
      </c>
      <c r="G136" s="1" t="s">
        <v>846</v>
      </c>
      <c r="H136" s="1" t="s">
        <v>24</v>
      </c>
      <c r="I136" s="1" t="s">
        <v>130</v>
      </c>
      <c r="J136" s="1" t="s">
        <v>211</v>
      </c>
      <c r="K136" s="1" t="s">
        <v>103</v>
      </c>
      <c r="L136" s="1"/>
      <c r="M136" s="1"/>
      <c r="N136" s="1" t="str">
        <f t="shared" si="15"/>
        <v>No</v>
      </c>
      <c r="O136" s="1">
        <f t="shared" si="16"/>
        <v>21</v>
      </c>
      <c r="P136" s="1">
        <f t="shared" si="17"/>
        <v>94</v>
      </c>
      <c r="Q136" s="1">
        <f t="shared" si="23"/>
        <v>6</v>
      </c>
      <c r="R136" s="1">
        <f t="shared" si="23"/>
        <v>4</v>
      </c>
      <c r="S136" s="29">
        <f t="shared" si="23"/>
        <v>84.04</v>
      </c>
      <c r="T136" s="1" t="str">
        <f t="shared" si="18"/>
        <v>caught</v>
      </c>
      <c r="U136" s="1" t="str">
        <f t="shared" si="19"/>
        <v>1</v>
      </c>
      <c r="V136" s="1" t="str">
        <f t="shared" si="20"/>
        <v xml:space="preserve"> New Zealand</v>
      </c>
      <c r="W136" s="1" t="str">
        <f t="shared" si="21"/>
        <v>Hamilton</v>
      </c>
      <c r="X136" s="1" t="str">
        <f t="shared" si="22"/>
        <v>Yes</v>
      </c>
      <c r="Y136" s="1"/>
    </row>
    <row r="137" spans="1:25" ht="14.25" customHeight="1">
      <c r="A137" s="1"/>
      <c r="B137" s="1">
        <v>119</v>
      </c>
      <c r="C137" s="1" t="s">
        <v>140</v>
      </c>
      <c r="D137" s="1" t="s">
        <v>325</v>
      </c>
      <c r="E137" s="1" t="s">
        <v>131</v>
      </c>
      <c r="F137" s="1" t="s">
        <v>131</v>
      </c>
      <c r="G137" s="1" t="s">
        <v>847</v>
      </c>
      <c r="H137" s="1" t="s">
        <v>24</v>
      </c>
      <c r="I137" s="1" t="s">
        <v>151</v>
      </c>
      <c r="J137" s="1" t="s">
        <v>211</v>
      </c>
      <c r="K137" s="1" t="s">
        <v>105</v>
      </c>
      <c r="L137" s="1"/>
      <c r="M137" s="1"/>
      <c r="N137" s="1" t="str">
        <f t="shared" si="15"/>
        <v>No</v>
      </c>
      <c r="O137" s="1">
        <f t="shared" si="16"/>
        <v>13</v>
      </c>
      <c r="P137" s="1">
        <f t="shared" si="17"/>
        <v>13</v>
      </c>
      <c r="Q137" s="1">
        <f t="shared" si="23"/>
        <v>0</v>
      </c>
      <c r="R137" s="1">
        <f t="shared" si="23"/>
        <v>0</v>
      </c>
      <c r="S137" s="29">
        <f t="shared" si="23"/>
        <v>30.76</v>
      </c>
      <c r="T137" s="1" t="str">
        <f t="shared" si="18"/>
        <v>caught</v>
      </c>
      <c r="U137" s="1" t="str">
        <f t="shared" si="19"/>
        <v>2</v>
      </c>
      <c r="V137" s="1" t="str">
        <f t="shared" si="20"/>
        <v xml:space="preserve"> New Zealand</v>
      </c>
      <c r="W137" s="1" t="str">
        <f t="shared" si="21"/>
        <v>Wellington</v>
      </c>
      <c r="X137" s="1" t="str">
        <f t="shared" si="22"/>
        <v>Yes</v>
      </c>
      <c r="Y137" s="1"/>
    </row>
    <row r="138" spans="1:25" ht="14.25" customHeight="1">
      <c r="A138" s="1"/>
      <c r="B138" s="1">
        <v>120</v>
      </c>
      <c r="C138" s="1" t="s">
        <v>246</v>
      </c>
      <c r="D138" s="1" t="s">
        <v>200</v>
      </c>
      <c r="E138" s="1" t="s">
        <v>130</v>
      </c>
      <c r="F138" s="1" t="s">
        <v>130</v>
      </c>
      <c r="G138" s="1" t="s">
        <v>848</v>
      </c>
      <c r="H138" s="1" t="s">
        <v>29</v>
      </c>
      <c r="I138" s="1" t="s">
        <v>151</v>
      </c>
      <c r="J138" s="1" t="s">
        <v>182</v>
      </c>
      <c r="K138" s="1" t="s">
        <v>106</v>
      </c>
      <c r="L138" s="1"/>
      <c r="M138" s="1"/>
      <c r="N138" s="1" t="str">
        <f t="shared" si="15"/>
        <v>No</v>
      </c>
      <c r="O138" s="1">
        <f t="shared" si="16"/>
        <v>56</v>
      </c>
      <c r="P138" s="1">
        <f t="shared" si="17"/>
        <v>29</v>
      </c>
      <c r="Q138" s="1">
        <f t="shared" si="23"/>
        <v>1</v>
      </c>
      <c r="R138" s="1">
        <f t="shared" si="23"/>
        <v>1</v>
      </c>
      <c r="S138" s="29">
        <f t="shared" si="23"/>
        <v>72.41</v>
      </c>
      <c r="T138" s="1" t="str">
        <f t="shared" si="18"/>
        <v>bowled</v>
      </c>
      <c r="U138" s="1" t="str">
        <f t="shared" si="19"/>
        <v>2</v>
      </c>
      <c r="V138" s="1" t="str">
        <f t="shared" si="20"/>
        <v xml:space="preserve"> Bangladesh</v>
      </c>
      <c r="W138" s="1" t="str">
        <f t="shared" si="21"/>
        <v>Fatullah</v>
      </c>
      <c r="X138" s="1" t="str">
        <f t="shared" si="22"/>
        <v>Yes</v>
      </c>
      <c r="Y138" s="1"/>
    </row>
    <row r="139" spans="1:25" ht="14.25" customHeight="1">
      <c r="A139" s="1"/>
      <c r="B139" s="1">
        <v>121</v>
      </c>
      <c r="C139" s="1" t="s">
        <v>325</v>
      </c>
      <c r="D139" s="1" t="s">
        <v>207</v>
      </c>
      <c r="E139" s="1" t="s">
        <v>130</v>
      </c>
      <c r="F139" s="1" t="s">
        <v>131</v>
      </c>
      <c r="G139" s="1" t="s">
        <v>849</v>
      </c>
      <c r="H139" s="1" t="s">
        <v>19</v>
      </c>
      <c r="I139" s="1" t="s">
        <v>130</v>
      </c>
      <c r="J139" s="1" t="s">
        <v>133</v>
      </c>
      <c r="K139" s="1" t="s">
        <v>106</v>
      </c>
      <c r="L139" s="1"/>
      <c r="M139" s="1"/>
      <c r="N139" s="1" t="str">
        <f t="shared" si="15"/>
        <v>No</v>
      </c>
      <c r="O139" s="1">
        <f t="shared" si="16"/>
        <v>18</v>
      </c>
      <c r="P139" s="1">
        <f t="shared" si="17"/>
        <v>28</v>
      </c>
      <c r="Q139" s="1">
        <f t="shared" si="23"/>
        <v>1</v>
      </c>
      <c r="R139" s="1">
        <f t="shared" si="23"/>
        <v>0</v>
      </c>
      <c r="S139" s="29">
        <f t="shared" si="23"/>
        <v>46.42</v>
      </c>
      <c r="T139" s="1" t="str">
        <f t="shared" si="18"/>
        <v>lbw</v>
      </c>
      <c r="U139" s="1" t="str">
        <f t="shared" si="19"/>
        <v>1</v>
      </c>
      <c r="V139" s="1" t="str">
        <f t="shared" si="20"/>
        <v xml:space="preserve"> Sri Lanka</v>
      </c>
      <c r="W139" s="1" t="str">
        <f t="shared" si="21"/>
        <v>Fatullah</v>
      </c>
      <c r="X139" s="1" t="str">
        <f t="shared" si="22"/>
        <v>Yes</v>
      </c>
      <c r="Y139" s="1"/>
    </row>
    <row r="140" spans="1:25" ht="14.25" customHeight="1">
      <c r="A140" s="1"/>
      <c r="B140" s="1">
        <v>122</v>
      </c>
      <c r="C140" s="1" t="s">
        <v>452</v>
      </c>
      <c r="D140" s="1" t="s">
        <v>582</v>
      </c>
      <c r="E140" s="1" t="s">
        <v>144</v>
      </c>
      <c r="F140" s="1" t="s">
        <v>151</v>
      </c>
      <c r="G140" s="1" t="s">
        <v>850</v>
      </c>
      <c r="H140" s="1" t="s">
        <v>24</v>
      </c>
      <c r="I140" s="1" t="s">
        <v>130</v>
      </c>
      <c r="J140" s="1" t="s">
        <v>156</v>
      </c>
      <c r="K140" s="1" t="s">
        <v>53</v>
      </c>
      <c r="L140" s="1"/>
      <c r="M140" s="1"/>
      <c r="N140" s="1" t="str">
        <f t="shared" si="15"/>
        <v>No</v>
      </c>
      <c r="O140" s="1">
        <f t="shared" si="16"/>
        <v>52</v>
      </c>
      <c r="P140" s="1">
        <f t="shared" si="17"/>
        <v>58</v>
      </c>
      <c r="Q140" s="1">
        <f t="shared" si="23"/>
        <v>7</v>
      </c>
      <c r="R140" s="1">
        <f t="shared" si="23"/>
        <v>2</v>
      </c>
      <c r="S140" s="29">
        <f t="shared" si="23"/>
        <v>96.55</v>
      </c>
      <c r="T140" s="1" t="str">
        <f t="shared" si="18"/>
        <v>caught</v>
      </c>
      <c r="U140" s="1" t="str">
        <f t="shared" si="19"/>
        <v>1</v>
      </c>
      <c r="V140" s="1" t="str">
        <f t="shared" si="20"/>
        <v xml:space="preserve"> Pakistan</v>
      </c>
      <c r="W140" s="1" t="str">
        <f t="shared" si="21"/>
        <v>Mirpur</v>
      </c>
      <c r="X140" s="1" t="str">
        <f t="shared" si="22"/>
        <v>Yes</v>
      </c>
      <c r="Y140" s="1"/>
    </row>
    <row r="141" spans="1:25" ht="14.25" customHeight="1">
      <c r="A141" s="1"/>
      <c r="B141" s="1">
        <v>123</v>
      </c>
      <c r="C141" s="1" t="s">
        <v>771</v>
      </c>
      <c r="D141" s="1" t="s">
        <v>154</v>
      </c>
      <c r="E141" s="1" t="s">
        <v>130</v>
      </c>
      <c r="F141" s="1" t="s">
        <v>131</v>
      </c>
      <c r="G141" s="1" t="s">
        <v>178</v>
      </c>
      <c r="H141" s="1" t="s">
        <v>32</v>
      </c>
      <c r="I141" s="1" t="s">
        <v>151</v>
      </c>
      <c r="J141" s="1" t="s">
        <v>358</v>
      </c>
      <c r="K141" s="1" t="s">
        <v>53</v>
      </c>
      <c r="L141" s="1"/>
      <c r="M141" s="1"/>
      <c r="N141" s="1" t="str">
        <f t="shared" si="15"/>
        <v>No</v>
      </c>
      <c r="O141" s="1">
        <f t="shared" si="16"/>
        <v>264</v>
      </c>
      <c r="P141" s="1">
        <f t="shared" si="17"/>
        <v>24</v>
      </c>
      <c r="Q141" s="1">
        <f t="shared" si="23"/>
        <v>1</v>
      </c>
      <c r="R141" s="1">
        <f t="shared" si="23"/>
        <v>0</v>
      </c>
      <c r="S141" s="29">
        <f t="shared" si="23"/>
        <v>75</v>
      </c>
      <c r="T141" s="1" t="str">
        <f t="shared" si="18"/>
        <v>not out</v>
      </c>
      <c r="U141" s="1" t="str">
        <f t="shared" si="19"/>
        <v>2</v>
      </c>
      <c r="V141" s="1" t="str">
        <f t="shared" si="20"/>
        <v xml:space="preserve"> Afghanistan</v>
      </c>
      <c r="W141" s="1" t="str">
        <f t="shared" si="21"/>
        <v>Mirpur</v>
      </c>
      <c r="X141" s="1" t="str">
        <f t="shared" si="22"/>
        <v>No</v>
      </c>
      <c r="Y141" s="1"/>
    </row>
    <row r="142" spans="1:25" ht="14.25" customHeight="1">
      <c r="A142" s="1"/>
      <c r="B142" s="1">
        <v>124</v>
      </c>
      <c r="C142" s="1" t="s">
        <v>327</v>
      </c>
      <c r="D142" s="1" t="s">
        <v>421</v>
      </c>
      <c r="E142" s="1" t="s">
        <v>140</v>
      </c>
      <c r="F142" s="1" t="s">
        <v>130</v>
      </c>
      <c r="G142" s="1" t="s">
        <v>851</v>
      </c>
      <c r="H142" s="1" t="s">
        <v>24</v>
      </c>
      <c r="I142" s="1" t="s">
        <v>130</v>
      </c>
      <c r="J142" s="1" t="s">
        <v>234</v>
      </c>
      <c r="K142" s="1" t="s">
        <v>84</v>
      </c>
      <c r="L142" s="1"/>
      <c r="M142" s="1"/>
      <c r="N142" s="1" t="str">
        <f t="shared" si="15"/>
        <v>No</v>
      </c>
      <c r="O142" s="1">
        <f t="shared" si="16"/>
        <v>9</v>
      </c>
      <c r="P142" s="1">
        <f t="shared" si="17"/>
        <v>87</v>
      </c>
      <c r="Q142" s="1">
        <f t="shared" si="23"/>
        <v>4</v>
      </c>
      <c r="R142" s="1">
        <f t="shared" si="23"/>
        <v>1</v>
      </c>
      <c r="S142" s="29">
        <f t="shared" si="23"/>
        <v>59.77</v>
      </c>
      <c r="T142" s="1" t="str">
        <f t="shared" si="18"/>
        <v>caught</v>
      </c>
      <c r="U142" s="1" t="str">
        <f t="shared" si="19"/>
        <v>1</v>
      </c>
      <c r="V142" s="1" t="str">
        <f t="shared" si="20"/>
        <v xml:space="preserve"> England</v>
      </c>
      <c r="W142" s="1" t="str">
        <f t="shared" si="21"/>
        <v>Cardiff</v>
      </c>
      <c r="X142" s="1" t="str">
        <f t="shared" si="22"/>
        <v>Yes</v>
      </c>
      <c r="Y142" s="1"/>
    </row>
    <row r="143" spans="1:25" ht="14.25" customHeight="1">
      <c r="A143" s="1"/>
      <c r="B143" s="1">
        <v>125</v>
      </c>
      <c r="C143" s="1" t="s">
        <v>852</v>
      </c>
      <c r="D143" s="1" t="s">
        <v>853</v>
      </c>
      <c r="E143" s="1" t="s">
        <v>244</v>
      </c>
      <c r="F143" s="1" t="s">
        <v>161</v>
      </c>
      <c r="G143" s="1" t="s">
        <v>854</v>
      </c>
      <c r="H143" s="1" t="s">
        <v>24</v>
      </c>
      <c r="I143" s="1" t="s">
        <v>130</v>
      </c>
      <c r="J143" s="1" t="s">
        <v>133</v>
      </c>
      <c r="K143" s="1" t="s">
        <v>51</v>
      </c>
      <c r="L143" s="1"/>
      <c r="M143" s="1"/>
      <c r="N143" s="1" t="str">
        <f t="shared" si="15"/>
        <v>No</v>
      </c>
      <c r="O143" s="1">
        <f t="shared" si="16"/>
        <v>138</v>
      </c>
      <c r="P143" s="1">
        <f t="shared" si="17"/>
        <v>173</v>
      </c>
      <c r="Q143" s="1">
        <f t="shared" si="23"/>
        <v>33</v>
      </c>
      <c r="R143" s="1">
        <f t="shared" si="23"/>
        <v>9</v>
      </c>
      <c r="S143" s="29">
        <f t="shared" si="23"/>
        <v>152.6</v>
      </c>
      <c r="T143" s="1" t="str">
        <f t="shared" si="18"/>
        <v>caught</v>
      </c>
      <c r="U143" s="1" t="str">
        <f t="shared" si="19"/>
        <v>1</v>
      </c>
      <c r="V143" s="1" t="str">
        <f t="shared" si="20"/>
        <v xml:space="preserve"> Sri Lanka</v>
      </c>
      <c r="W143" s="1" t="str">
        <f t="shared" si="21"/>
        <v>Eden Gardens</v>
      </c>
      <c r="X143" s="1" t="str">
        <f t="shared" si="22"/>
        <v>Yes</v>
      </c>
      <c r="Y143" s="1"/>
    </row>
    <row r="144" spans="1:25" ht="14.25" customHeight="1">
      <c r="A144" s="1"/>
      <c r="B144" s="1">
        <v>126</v>
      </c>
      <c r="C144" s="1" t="s">
        <v>161</v>
      </c>
      <c r="D144" s="1" t="s">
        <v>128</v>
      </c>
      <c r="E144" s="1" t="s">
        <v>151</v>
      </c>
      <c r="F144" s="1" t="s">
        <v>131</v>
      </c>
      <c r="G144" s="1" t="s">
        <v>178</v>
      </c>
      <c r="H144" s="1" t="s">
        <v>29</v>
      </c>
      <c r="I144" s="1" t="s">
        <v>151</v>
      </c>
      <c r="J144" s="1" t="s">
        <v>133</v>
      </c>
      <c r="K144" s="1" t="s">
        <v>97</v>
      </c>
      <c r="L144" s="1"/>
      <c r="M144" s="1"/>
      <c r="N144" s="1" t="str">
        <f t="shared" si="15"/>
        <v>No</v>
      </c>
      <c r="O144" s="1">
        <f t="shared" si="16"/>
        <v>15</v>
      </c>
      <c r="P144" s="1">
        <f t="shared" si="17"/>
        <v>12</v>
      </c>
      <c r="Q144" s="1">
        <f t="shared" si="23"/>
        <v>2</v>
      </c>
      <c r="R144" s="1">
        <f t="shared" si="23"/>
        <v>0</v>
      </c>
      <c r="S144" s="29">
        <f t="shared" si="23"/>
        <v>75</v>
      </c>
      <c r="T144" s="1" t="str">
        <f t="shared" si="18"/>
        <v>bowled</v>
      </c>
      <c r="U144" s="1" t="str">
        <f t="shared" si="19"/>
        <v>2</v>
      </c>
      <c r="V144" s="1" t="str">
        <f t="shared" si="20"/>
        <v xml:space="preserve"> Sri Lanka</v>
      </c>
      <c r="W144" s="1" t="str">
        <f t="shared" si="21"/>
        <v>Ranchi</v>
      </c>
      <c r="X144" s="1" t="str">
        <f t="shared" si="22"/>
        <v>Yes</v>
      </c>
      <c r="Y144" s="1"/>
    </row>
    <row r="145" spans="1:25" ht="14.25" customHeight="1">
      <c r="A145" s="1"/>
      <c r="B145" s="1">
        <v>127</v>
      </c>
      <c r="C145" s="1" t="s">
        <v>392</v>
      </c>
      <c r="D145" s="1" t="s">
        <v>855</v>
      </c>
      <c r="E145" s="1" t="s">
        <v>161</v>
      </c>
      <c r="F145" s="1" t="s">
        <v>140</v>
      </c>
      <c r="G145" s="1" t="s">
        <v>856</v>
      </c>
      <c r="H145" s="1" t="s">
        <v>24</v>
      </c>
      <c r="I145" s="1" t="s">
        <v>130</v>
      </c>
      <c r="J145" s="1" t="s">
        <v>158</v>
      </c>
      <c r="K145" s="1" t="s">
        <v>88</v>
      </c>
      <c r="L145" s="1"/>
      <c r="M145" s="1"/>
      <c r="N145" s="1" t="str">
        <f t="shared" si="15"/>
        <v>No</v>
      </c>
      <c r="O145" s="1">
        <f t="shared" si="16"/>
        <v>0</v>
      </c>
      <c r="P145" s="1">
        <f t="shared" si="17"/>
        <v>139</v>
      </c>
      <c r="Q145" s="1">
        <f t="shared" si="23"/>
        <v>9</v>
      </c>
      <c r="R145" s="1">
        <f t="shared" si="23"/>
        <v>4</v>
      </c>
      <c r="S145" s="29">
        <f t="shared" si="23"/>
        <v>99.28</v>
      </c>
      <c r="T145" s="1" t="str">
        <f t="shared" si="18"/>
        <v>caught</v>
      </c>
      <c r="U145" s="1" t="str">
        <f t="shared" si="19"/>
        <v>1</v>
      </c>
      <c r="V145" s="1" t="str">
        <f t="shared" si="20"/>
        <v xml:space="preserve"> Australia</v>
      </c>
      <c r="W145" s="1" t="str">
        <f t="shared" si="21"/>
        <v>Melbourne</v>
      </c>
      <c r="X145" s="1" t="str">
        <f t="shared" si="22"/>
        <v>Yes</v>
      </c>
      <c r="Y145" s="1"/>
    </row>
    <row r="146" spans="1:25" ht="14.25" customHeight="1">
      <c r="A146" s="1"/>
      <c r="B146" s="1">
        <v>128</v>
      </c>
      <c r="C146" s="1" t="s">
        <v>283</v>
      </c>
      <c r="D146" s="1" t="s">
        <v>238</v>
      </c>
      <c r="E146" s="1" t="s">
        <v>151</v>
      </c>
      <c r="F146" s="1" t="s">
        <v>131</v>
      </c>
      <c r="G146" s="1" t="s">
        <v>178</v>
      </c>
      <c r="H146" s="1" t="s">
        <v>24</v>
      </c>
      <c r="I146" s="1" t="s">
        <v>130</v>
      </c>
      <c r="J146" s="1" t="s">
        <v>156</v>
      </c>
      <c r="K146" s="1" t="s">
        <v>90</v>
      </c>
      <c r="L146" s="1"/>
      <c r="M146" s="1"/>
      <c r="N146" s="1" t="str">
        <f t="shared" si="15"/>
        <v>No</v>
      </c>
      <c r="O146" s="1">
        <f t="shared" si="16"/>
        <v>57</v>
      </c>
      <c r="P146" s="1">
        <f t="shared" si="17"/>
        <v>20</v>
      </c>
      <c r="Q146" s="1">
        <f t="shared" si="23"/>
        <v>2</v>
      </c>
      <c r="R146" s="1">
        <f t="shared" si="23"/>
        <v>0</v>
      </c>
      <c r="S146" s="29">
        <f t="shared" si="23"/>
        <v>75</v>
      </c>
      <c r="T146" s="1" t="str">
        <f t="shared" si="18"/>
        <v>caught</v>
      </c>
      <c r="U146" s="1" t="str">
        <f t="shared" si="19"/>
        <v>1</v>
      </c>
      <c r="V146" s="1" t="str">
        <f t="shared" si="20"/>
        <v xml:space="preserve"> Pakistan</v>
      </c>
      <c r="W146" s="1" t="str">
        <f t="shared" si="21"/>
        <v>Adelaide</v>
      </c>
      <c r="X146" s="1" t="str">
        <f t="shared" si="22"/>
        <v>Yes</v>
      </c>
      <c r="Y146" s="1"/>
    </row>
    <row r="147" spans="1:25" ht="14.25" customHeight="1">
      <c r="A147" s="1"/>
      <c r="B147" s="1">
        <v>129</v>
      </c>
      <c r="C147" s="1" t="s">
        <v>131</v>
      </c>
      <c r="D147" s="1" t="s">
        <v>136</v>
      </c>
      <c r="E147" s="1" t="s">
        <v>131</v>
      </c>
      <c r="F147" s="1" t="s">
        <v>131</v>
      </c>
      <c r="G147" s="1" t="s">
        <v>210</v>
      </c>
      <c r="H147" s="1" t="s">
        <v>26</v>
      </c>
      <c r="I147" s="1" t="s">
        <v>130</v>
      </c>
      <c r="J147" s="1" t="s">
        <v>191</v>
      </c>
      <c r="K147" s="1" t="s">
        <v>88</v>
      </c>
      <c r="L147" s="1"/>
      <c r="M147" s="1"/>
      <c r="N147" s="1" t="str">
        <f t="shared" ref="N147:N210" si="24">IF(OR(C147="DNB",C147="TDNB"),"Yes","No")</f>
        <v>No</v>
      </c>
      <c r="O147" s="1">
        <f t="shared" ref="O147:O210" si="25">IF(N149="Yes", "NA",SUBSTITUTE(C149,"*","")*1)</f>
        <v>7</v>
      </c>
      <c r="P147" s="1">
        <f t="shared" si="17"/>
        <v>6</v>
      </c>
      <c r="Q147" s="1">
        <f t="shared" si="23"/>
        <v>0</v>
      </c>
      <c r="R147" s="1">
        <f t="shared" si="23"/>
        <v>0</v>
      </c>
      <c r="S147" s="29">
        <f t="shared" si="23"/>
        <v>0</v>
      </c>
      <c r="T147" s="1" t="str">
        <f t="shared" si="18"/>
        <v>run out</v>
      </c>
      <c r="U147" s="1" t="str">
        <f t="shared" si="19"/>
        <v>1</v>
      </c>
      <c r="V147" s="1" t="str">
        <f t="shared" si="20"/>
        <v xml:space="preserve"> South Africa</v>
      </c>
      <c r="W147" s="1" t="str">
        <f t="shared" si="21"/>
        <v>Melbourne</v>
      </c>
      <c r="X147" s="1" t="str">
        <f t="shared" si="22"/>
        <v>Yes</v>
      </c>
      <c r="Y147" s="1"/>
    </row>
    <row r="148" spans="1:25" ht="14.25" customHeight="1">
      <c r="A148" s="1"/>
      <c r="B148" s="1">
        <v>130</v>
      </c>
      <c r="C148" s="1" t="s">
        <v>857</v>
      </c>
      <c r="D148" s="1" t="s">
        <v>255</v>
      </c>
      <c r="E148" s="1" t="s">
        <v>167</v>
      </c>
      <c r="F148" s="1" t="s">
        <v>130</v>
      </c>
      <c r="G148" s="1" t="s">
        <v>858</v>
      </c>
      <c r="H148" s="1" t="s">
        <v>32</v>
      </c>
      <c r="I148" s="1" t="s">
        <v>151</v>
      </c>
      <c r="J148" s="1" t="s">
        <v>383</v>
      </c>
      <c r="K148" s="1" t="s">
        <v>89</v>
      </c>
      <c r="L148" s="1"/>
      <c r="M148" s="1"/>
      <c r="N148" s="1" t="str">
        <f t="shared" si="24"/>
        <v>No</v>
      </c>
      <c r="O148" s="1">
        <f t="shared" si="25"/>
        <v>64</v>
      </c>
      <c r="P148" s="1">
        <f t="shared" ref="P148:P211" si="26">IF(D148="-","NA",D148*1)</f>
        <v>55</v>
      </c>
      <c r="Q148" s="1">
        <f t="shared" si="23"/>
        <v>10</v>
      </c>
      <c r="R148" s="1">
        <f t="shared" si="23"/>
        <v>1</v>
      </c>
      <c r="S148" s="29">
        <f t="shared" si="23"/>
        <v>103.63</v>
      </c>
      <c r="T148" s="1" t="str">
        <f t="shared" ref="T148:T211" si="27">IF(H148="-","NA",H148)</f>
        <v>not out</v>
      </c>
      <c r="U148" s="1" t="str">
        <f t="shared" ref="U148:U211" si="28">I148</f>
        <v>2</v>
      </c>
      <c r="V148" s="1" t="str">
        <f t="shared" ref="V148:V211" si="29">SUBSTITUTE(J148,"v","")</f>
        <v xml:space="preserve"> U.A.E.</v>
      </c>
      <c r="W148" s="1" t="str">
        <f t="shared" ref="W148:W211" si="30">K148</f>
        <v>W.A.C.A</v>
      </c>
      <c r="X148" s="1" t="str">
        <f t="shared" ref="X148:X211" si="31">IF(N148="Yes","No",IF(T148="not out","No","Yes"))</f>
        <v>No</v>
      </c>
      <c r="Y148" s="1"/>
    </row>
    <row r="149" spans="1:25" ht="14.25" customHeight="1">
      <c r="A149" s="1"/>
      <c r="B149" s="1">
        <v>131</v>
      </c>
      <c r="C149" s="1" t="s">
        <v>144</v>
      </c>
      <c r="D149" s="1" t="s">
        <v>199</v>
      </c>
      <c r="E149" s="1" t="s">
        <v>130</v>
      </c>
      <c r="F149" s="1" t="s">
        <v>131</v>
      </c>
      <c r="G149" s="1" t="s">
        <v>257</v>
      </c>
      <c r="H149" s="1" t="s">
        <v>24</v>
      </c>
      <c r="I149" s="1" t="s">
        <v>151</v>
      </c>
      <c r="J149" s="1" t="s">
        <v>163</v>
      </c>
      <c r="K149" s="1" t="s">
        <v>89</v>
      </c>
      <c r="L149" s="1"/>
      <c r="M149" s="1"/>
      <c r="N149" s="1" t="str">
        <f t="shared" si="24"/>
        <v>No</v>
      </c>
      <c r="O149" s="1">
        <f t="shared" si="25"/>
        <v>16</v>
      </c>
      <c r="P149" s="1">
        <f t="shared" si="26"/>
        <v>18</v>
      </c>
      <c r="Q149" s="1">
        <f t="shared" si="23"/>
        <v>1</v>
      </c>
      <c r="R149" s="1">
        <f t="shared" si="23"/>
        <v>0</v>
      </c>
      <c r="S149" s="29">
        <f t="shared" si="23"/>
        <v>38.880000000000003</v>
      </c>
      <c r="T149" s="1" t="str">
        <f t="shared" si="27"/>
        <v>caught</v>
      </c>
      <c r="U149" s="1" t="str">
        <f t="shared" si="28"/>
        <v>2</v>
      </c>
      <c r="V149" s="1" t="str">
        <f t="shared" si="29"/>
        <v xml:space="preserve"> West Indies</v>
      </c>
      <c r="W149" s="1" t="str">
        <f t="shared" si="30"/>
        <v>W.A.C.A</v>
      </c>
      <c r="X149" s="1" t="str">
        <f t="shared" si="31"/>
        <v>Yes</v>
      </c>
      <c r="Y149" s="1"/>
    </row>
    <row r="150" spans="1:25" ht="14.25" customHeight="1">
      <c r="A150" s="1"/>
      <c r="B150" s="1">
        <v>132</v>
      </c>
      <c r="C150" s="1" t="s">
        <v>218</v>
      </c>
      <c r="D150" s="1" t="s">
        <v>143</v>
      </c>
      <c r="E150" s="1" t="s">
        <v>148</v>
      </c>
      <c r="F150" s="1" t="s">
        <v>148</v>
      </c>
      <c r="G150" s="1" t="s">
        <v>859</v>
      </c>
      <c r="H150" s="1" t="s">
        <v>29</v>
      </c>
      <c r="I150" s="1" t="s">
        <v>151</v>
      </c>
      <c r="J150" s="1" t="s">
        <v>237</v>
      </c>
      <c r="K150" s="1" t="s">
        <v>103</v>
      </c>
      <c r="L150" s="1"/>
      <c r="M150" s="1"/>
      <c r="N150" s="1" t="str">
        <f t="shared" si="24"/>
        <v>No</v>
      </c>
      <c r="O150" s="1">
        <f t="shared" si="25"/>
        <v>137</v>
      </c>
      <c r="P150" s="1">
        <f t="shared" si="26"/>
        <v>66</v>
      </c>
      <c r="Q150" s="1">
        <f t="shared" si="23"/>
        <v>3</v>
      </c>
      <c r="R150" s="1">
        <f t="shared" si="23"/>
        <v>3</v>
      </c>
      <c r="S150" s="29">
        <f t="shared" si="23"/>
        <v>96.96</v>
      </c>
      <c r="T150" s="1" t="str">
        <f t="shared" si="27"/>
        <v>bowled</v>
      </c>
      <c r="U150" s="1" t="str">
        <f t="shared" si="28"/>
        <v>2</v>
      </c>
      <c r="V150" s="1" t="str">
        <f t="shared" si="29"/>
        <v xml:space="preserve"> Ireland</v>
      </c>
      <c r="W150" s="1" t="str">
        <f t="shared" si="30"/>
        <v>Hamilton</v>
      </c>
      <c r="X150" s="1" t="str">
        <f t="shared" si="31"/>
        <v>Yes</v>
      </c>
      <c r="Y150" s="1"/>
    </row>
    <row r="151" spans="1:25" ht="14.25" customHeight="1">
      <c r="A151" s="1"/>
      <c r="B151" s="1">
        <v>133</v>
      </c>
      <c r="C151" s="1" t="s">
        <v>153</v>
      </c>
      <c r="D151" s="1" t="s">
        <v>246</v>
      </c>
      <c r="E151" s="1" t="s">
        <v>151</v>
      </c>
      <c r="F151" s="1" t="s">
        <v>131</v>
      </c>
      <c r="G151" s="1" t="s">
        <v>860</v>
      </c>
      <c r="H151" s="1" t="s">
        <v>24</v>
      </c>
      <c r="I151" s="1" t="s">
        <v>151</v>
      </c>
      <c r="J151" s="1" t="s">
        <v>195</v>
      </c>
      <c r="K151" s="1" t="s">
        <v>104</v>
      </c>
      <c r="L151" s="1"/>
      <c r="M151" s="1"/>
      <c r="N151" s="1" t="str">
        <f t="shared" si="24"/>
        <v>No</v>
      </c>
      <c r="O151" s="1">
        <f t="shared" si="25"/>
        <v>34</v>
      </c>
      <c r="P151" s="1">
        <f t="shared" si="26"/>
        <v>21</v>
      </c>
      <c r="Q151" s="1">
        <f t="shared" si="23"/>
        <v>2</v>
      </c>
      <c r="R151" s="1">
        <f t="shared" si="23"/>
        <v>0</v>
      </c>
      <c r="S151" s="29">
        <f t="shared" si="23"/>
        <v>76.19</v>
      </c>
      <c r="T151" s="1" t="str">
        <f t="shared" si="27"/>
        <v>caught</v>
      </c>
      <c r="U151" s="1" t="str">
        <f t="shared" si="28"/>
        <v>2</v>
      </c>
      <c r="V151" s="1" t="str">
        <f t="shared" si="29"/>
        <v xml:space="preserve"> Zimbabwe</v>
      </c>
      <c r="W151" s="1" t="str">
        <f t="shared" si="30"/>
        <v>Auckland</v>
      </c>
      <c r="X151" s="1" t="str">
        <f t="shared" si="31"/>
        <v>Yes</v>
      </c>
      <c r="Y151" s="1"/>
    </row>
    <row r="152" spans="1:25" ht="14.25" customHeight="1">
      <c r="A152" s="1"/>
      <c r="B152" s="1">
        <v>134</v>
      </c>
      <c r="C152" s="1" t="s">
        <v>861</v>
      </c>
      <c r="D152" s="1" t="s">
        <v>374</v>
      </c>
      <c r="E152" s="1" t="s">
        <v>205</v>
      </c>
      <c r="F152" s="1" t="s">
        <v>148</v>
      </c>
      <c r="G152" s="1" t="s">
        <v>862</v>
      </c>
      <c r="H152" s="1" t="s">
        <v>29</v>
      </c>
      <c r="I152" s="1" t="s">
        <v>130</v>
      </c>
      <c r="J152" s="1" t="s">
        <v>182</v>
      </c>
      <c r="K152" s="1" t="s">
        <v>88</v>
      </c>
      <c r="L152" s="1"/>
      <c r="M152" s="1"/>
      <c r="N152" s="1" t="str">
        <f t="shared" si="24"/>
        <v>No</v>
      </c>
      <c r="O152" s="1">
        <f t="shared" si="25"/>
        <v>63</v>
      </c>
      <c r="P152" s="1">
        <f t="shared" si="26"/>
        <v>126</v>
      </c>
      <c r="Q152" s="1">
        <f t="shared" si="23"/>
        <v>14</v>
      </c>
      <c r="R152" s="1">
        <f t="shared" si="23"/>
        <v>3</v>
      </c>
      <c r="S152" s="29">
        <f t="shared" si="23"/>
        <v>108.73</v>
      </c>
      <c r="T152" s="1" t="str">
        <f t="shared" si="27"/>
        <v>bowled</v>
      </c>
      <c r="U152" s="1" t="str">
        <f t="shared" si="28"/>
        <v>1</v>
      </c>
      <c r="V152" s="1" t="str">
        <f t="shared" si="29"/>
        <v xml:space="preserve"> Bangladesh</v>
      </c>
      <c r="W152" s="1" t="str">
        <f t="shared" si="30"/>
        <v>Melbourne</v>
      </c>
      <c r="X152" s="1" t="str">
        <f t="shared" si="31"/>
        <v>Yes</v>
      </c>
      <c r="Y152" s="1"/>
    </row>
    <row r="153" spans="1:25" ht="14.25" customHeight="1">
      <c r="A153" s="1"/>
      <c r="B153" s="1">
        <v>135</v>
      </c>
      <c r="C153" s="1" t="s">
        <v>208</v>
      </c>
      <c r="D153" s="1" t="s">
        <v>355</v>
      </c>
      <c r="E153" s="1" t="s">
        <v>130</v>
      </c>
      <c r="F153" s="1" t="s">
        <v>151</v>
      </c>
      <c r="G153" s="1" t="s">
        <v>863</v>
      </c>
      <c r="H153" s="1" t="s">
        <v>29</v>
      </c>
      <c r="I153" s="1" t="s">
        <v>151</v>
      </c>
      <c r="J153" s="1" t="s">
        <v>158</v>
      </c>
      <c r="K153" s="1" t="s">
        <v>92</v>
      </c>
      <c r="L153" s="1"/>
      <c r="M153" s="1"/>
      <c r="N153" s="1" t="str">
        <f t="shared" si="24"/>
        <v>No</v>
      </c>
      <c r="O153" s="1">
        <f t="shared" si="25"/>
        <v>0</v>
      </c>
      <c r="P153" s="1">
        <f t="shared" si="26"/>
        <v>48</v>
      </c>
      <c r="Q153" s="1">
        <f t="shared" si="23"/>
        <v>1</v>
      </c>
      <c r="R153" s="1">
        <f t="shared" si="23"/>
        <v>2</v>
      </c>
      <c r="S153" s="29">
        <f t="shared" si="23"/>
        <v>70.83</v>
      </c>
      <c r="T153" s="1" t="str">
        <f t="shared" si="27"/>
        <v>bowled</v>
      </c>
      <c r="U153" s="1" t="str">
        <f t="shared" si="28"/>
        <v>2</v>
      </c>
      <c r="V153" s="1" t="str">
        <f t="shared" si="29"/>
        <v xml:space="preserve"> Australia</v>
      </c>
      <c r="W153" s="1" t="str">
        <f t="shared" si="30"/>
        <v>Sydney</v>
      </c>
      <c r="X153" s="1" t="str">
        <f t="shared" si="31"/>
        <v>Yes</v>
      </c>
      <c r="Y153" s="1"/>
    </row>
    <row r="154" spans="1:25" ht="14.25" customHeight="1">
      <c r="A154" s="1"/>
      <c r="B154" s="1">
        <v>136</v>
      </c>
      <c r="C154" s="1" t="s">
        <v>262</v>
      </c>
      <c r="D154" s="1" t="s">
        <v>184</v>
      </c>
      <c r="E154" s="1" t="s">
        <v>140</v>
      </c>
      <c r="F154" s="1" t="s">
        <v>130</v>
      </c>
      <c r="G154" s="1" t="s">
        <v>864</v>
      </c>
      <c r="H154" s="1" t="s">
        <v>24</v>
      </c>
      <c r="I154" s="1" t="s">
        <v>151</v>
      </c>
      <c r="J154" s="1" t="s">
        <v>182</v>
      </c>
      <c r="K154" s="1" t="s">
        <v>53</v>
      </c>
      <c r="L154" s="1"/>
      <c r="M154" s="1"/>
      <c r="N154" s="1" t="str">
        <f t="shared" si="24"/>
        <v>No</v>
      </c>
      <c r="O154" s="1">
        <f t="shared" si="25"/>
        <v>29</v>
      </c>
      <c r="P154" s="1">
        <f t="shared" si="26"/>
        <v>68</v>
      </c>
      <c r="Q154" s="1">
        <f t="shared" si="23"/>
        <v>4</v>
      </c>
      <c r="R154" s="1">
        <f t="shared" si="23"/>
        <v>1</v>
      </c>
      <c r="S154" s="29">
        <f t="shared" si="23"/>
        <v>92.64</v>
      </c>
      <c r="T154" s="1" t="str">
        <f t="shared" si="27"/>
        <v>caught</v>
      </c>
      <c r="U154" s="1" t="str">
        <f t="shared" si="28"/>
        <v>2</v>
      </c>
      <c r="V154" s="1" t="str">
        <f t="shared" si="29"/>
        <v xml:space="preserve"> Bangladesh</v>
      </c>
      <c r="W154" s="1" t="str">
        <f t="shared" si="30"/>
        <v>Mirpur</v>
      </c>
      <c r="X154" s="1" t="str">
        <f t="shared" si="31"/>
        <v>Yes</v>
      </c>
      <c r="Y154" s="1"/>
    </row>
    <row r="155" spans="1:25" ht="14.25" customHeight="1">
      <c r="A155" s="1"/>
      <c r="B155" s="1">
        <v>137</v>
      </c>
      <c r="C155" s="1" t="s">
        <v>131</v>
      </c>
      <c r="D155" s="1" t="s">
        <v>151</v>
      </c>
      <c r="E155" s="1" t="s">
        <v>131</v>
      </c>
      <c r="F155" s="1" t="s">
        <v>131</v>
      </c>
      <c r="G155" s="1" t="s">
        <v>210</v>
      </c>
      <c r="H155" s="1" t="s">
        <v>24</v>
      </c>
      <c r="I155" s="1" t="s">
        <v>130</v>
      </c>
      <c r="J155" s="1" t="s">
        <v>182</v>
      </c>
      <c r="K155" s="1" t="s">
        <v>53</v>
      </c>
      <c r="L155" s="1"/>
      <c r="M155" s="1"/>
      <c r="N155" s="1" t="str">
        <f t="shared" si="24"/>
        <v>No</v>
      </c>
      <c r="O155" s="1">
        <f t="shared" si="25"/>
        <v>150</v>
      </c>
      <c r="P155" s="1">
        <f t="shared" si="26"/>
        <v>2</v>
      </c>
      <c r="Q155" s="1">
        <f t="shared" si="23"/>
        <v>0</v>
      </c>
      <c r="R155" s="1">
        <f t="shared" si="23"/>
        <v>0</v>
      </c>
      <c r="S155" s="29">
        <f t="shared" si="23"/>
        <v>0</v>
      </c>
      <c r="T155" s="1" t="str">
        <f t="shared" si="27"/>
        <v>caught</v>
      </c>
      <c r="U155" s="1" t="str">
        <f t="shared" si="28"/>
        <v>1</v>
      </c>
      <c r="V155" s="1" t="str">
        <f t="shared" si="29"/>
        <v xml:space="preserve"> Bangladesh</v>
      </c>
      <c r="W155" s="1" t="str">
        <f t="shared" si="30"/>
        <v>Mirpur</v>
      </c>
      <c r="X155" s="1" t="str">
        <f t="shared" si="31"/>
        <v>Yes</v>
      </c>
      <c r="Y155" s="1"/>
    </row>
    <row r="156" spans="1:25" ht="14.25" customHeight="1">
      <c r="A156" s="1"/>
      <c r="B156" s="1">
        <v>138</v>
      </c>
      <c r="C156" s="1" t="s">
        <v>200</v>
      </c>
      <c r="D156" s="1" t="s">
        <v>200</v>
      </c>
      <c r="E156" s="1" t="s">
        <v>151</v>
      </c>
      <c r="F156" s="1" t="s">
        <v>130</v>
      </c>
      <c r="G156" s="1" t="s">
        <v>152</v>
      </c>
      <c r="H156" s="1" t="s">
        <v>24</v>
      </c>
      <c r="I156" s="1" t="s">
        <v>130</v>
      </c>
      <c r="J156" s="1" t="s">
        <v>182</v>
      </c>
      <c r="K156" s="1" t="s">
        <v>53</v>
      </c>
      <c r="L156" s="1"/>
      <c r="M156" s="1"/>
      <c r="N156" s="1" t="str">
        <f t="shared" si="24"/>
        <v>No</v>
      </c>
      <c r="O156" s="1">
        <f t="shared" si="25"/>
        <v>3</v>
      </c>
      <c r="P156" s="1">
        <f t="shared" si="26"/>
        <v>29</v>
      </c>
      <c r="Q156" s="1">
        <f t="shared" si="23"/>
        <v>2</v>
      </c>
      <c r="R156" s="1">
        <f t="shared" si="23"/>
        <v>1</v>
      </c>
      <c r="S156" s="29">
        <f t="shared" si="23"/>
        <v>100</v>
      </c>
      <c r="T156" s="1" t="str">
        <f t="shared" si="27"/>
        <v>caught</v>
      </c>
      <c r="U156" s="1" t="str">
        <f t="shared" si="28"/>
        <v>1</v>
      </c>
      <c r="V156" s="1" t="str">
        <f t="shared" si="29"/>
        <v xml:space="preserve"> Bangladesh</v>
      </c>
      <c r="W156" s="1" t="str">
        <f t="shared" si="30"/>
        <v>Mirpur</v>
      </c>
      <c r="X156" s="1" t="str">
        <f t="shared" si="31"/>
        <v>Yes</v>
      </c>
      <c r="Y156" s="1"/>
    </row>
    <row r="157" spans="1:25" ht="14.25" customHeight="1">
      <c r="A157" s="1"/>
      <c r="B157" s="1">
        <v>139</v>
      </c>
      <c r="C157" s="1" t="s">
        <v>865</v>
      </c>
      <c r="D157" s="1" t="s">
        <v>866</v>
      </c>
      <c r="E157" s="1" t="s">
        <v>325</v>
      </c>
      <c r="F157" s="1" t="s">
        <v>136</v>
      </c>
      <c r="G157" s="1" t="s">
        <v>867</v>
      </c>
      <c r="H157" s="1" t="s">
        <v>24</v>
      </c>
      <c r="I157" s="1" t="s">
        <v>151</v>
      </c>
      <c r="J157" s="1" t="s">
        <v>191</v>
      </c>
      <c r="K157" s="1" t="s">
        <v>101</v>
      </c>
      <c r="L157" s="1"/>
      <c r="M157" s="1"/>
      <c r="N157" s="1" t="str">
        <f t="shared" si="24"/>
        <v>No</v>
      </c>
      <c r="O157" s="1">
        <f t="shared" si="25"/>
        <v>65</v>
      </c>
      <c r="P157" s="1">
        <f t="shared" si="26"/>
        <v>133</v>
      </c>
      <c r="Q157" s="1">
        <f t="shared" si="23"/>
        <v>13</v>
      </c>
      <c r="R157" s="1">
        <f t="shared" si="23"/>
        <v>6</v>
      </c>
      <c r="S157" s="29">
        <f t="shared" si="23"/>
        <v>112.78</v>
      </c>
      <c r="T157" s="1" t="str">
        <f t="shared" si="27"/>
        <v>caught</v>
      </c>
      <c r="U157" s="1" t="str">
        <f t="shared" si="28"/>
        <v>2</v>
      </c>
      <c r="V157" s="1" t="str">
        <f t="shared" si="29"/>
        <v xml:space="preserve"> South Africa</v>
      </c>
      <c r="W157" s="1" t="str">
        <f t="shared" si="30"/>
        <v>Kanpur</v>
      </c>
      <c r="X157" s="1" t="str">
        <f t="shared" si="31"/>
        <v>Yes</v>
      </c>
      <c r="Y157" s="1"/>
    </row>
    <row r="158" spans="1:25" ht="14.25" customHeight="1">
      <c r="A158" s="1"/>
      <c r="B158" s="1">
        <v>140</v>
      </c>
      <c r="C158" s="1" t="s">
        <v>148</v>
      </c>
      <c r="D158" s="1" t="s">
        <v>167</v>
      </c>
      <c r="E158" s="1" t="s">
        <v>131</v>
      </c>
      <c r="F158" s="1" t="s">
        <v>131</v>
      </c>
      <c r="G158" s="1" t="s">
        <v>350</v>
      </c>
      <c r="H158" s="1" t="s">
        <v>29</v>
      </c>
      <c r="I158" s="1" t="s">
        <v>130</v>
      </c>
      <c r="J158" s="1" t="s">
        <v>191</v>
      </c>
      <c r="K158" s="1" t="s">
        <v>87</v>
      </c>
      <c r="L158" s="1"/>
      <c r="M158" s="1"/>
      <c r="N158" s="1" t="str">
        <f t="shared" si="24"/>
        <v>No</v>
      </c>
      <c r="O158" s="1">
        <f t="shared" si="25"/>
        <v>21</v>
      </c>
      <c r="P158" s="1">
        <f t="shared" si="26"/>
        <v>10</v>
      </c>
      <c r="Q158" s="1">
        <f t="shared" si="23"/>
        <v>0</v>
      </c>
      <c r="R158" s="1">
        <f t="shared" si="23"/>
        <v>0</v>
      </c>
      <c r="S158" s="29">
        <f t="shared" si="23"/>
        <v>30</v>
      </c>
      <c r="T158" s="1" t="str">
        <f t="shared" si="27"/>
        <v>bowled</v>
      </c>
      <c r="U158" s="1" t="str">
        <f t="shared" si="28"/>
        <v>1</v>
      </c>
      <c r="V158" s="1" t="str">
        <f t="shared" si="29"/>
        <v xml:space="preserve"> South Africa</v>
      </c>
      <c r="W158" s="1" t="str">
        <f t="shared" si="30"/>
        <v>Indore</v>
      </c>
      <c r="X158" s="1" t="str">
        <f t="shared" si="31"/>
        <v>Yes</v>
      </c>
      <c r="Y158" s="1"/>
    </row>
    <row r="159" spans="1:25" ht="14.25" customHeight="1">
      <c r="A159" s="1"/>
      <c r="B159" s="1">
        <v>141</v>
      </c>
      <c r="C159" s="1" t="s">
        <v>172</v>
      </c>
      <c r="D159" s="1" t="s">
        <v>466</v>
      </c>
      <c r="E159" s="1" t="s">
        <v>144</v>
      </c>
      <c r="F159" s="1" t="s">
        <v>151</v>
      </c>
      <c r="G159" s="1" t="s">
        <v>868</v>
      </c>
      <c r="H159" s="1" t="s">
        <v>24</v>
      </c>
      <c r="I159" s="1" t="s">
        <v>151</v>
      </c>
      <c r="J159" s="1" t="s">
        <v>191</v>
      </c>
      <c r="K159" s="1" t="s">
        <v>48</v>
      </c>
      <c r="L159" s="1"/>
      <c r="M159" s="1"/>
      <c r="N159" s="1" t="str">
        <f t="shared" si="24"/>
        <v>No</v>
      </c>
      <c r="O159" s="1">
        <f t="shared" si="25"/>
        <v>16</v>
      </c>
      <c r="P159" s="1">
        <f t="shared" si="26"/>
        <v>74</v>
      </c>
      <c r="Q159" s="1">
        <f t="shared" si="23"/>
        <v>7</v>
      </c>
      <c r="R159" s="1">
        <f t="shared" si="23"/>
        <v>2</v>
      </c>
      <c r="S159" s="29">
        <f t="shared" si="23"/>
        <v>87.83</v>
      </c>
      <c r="T159" s="1" t="str">
        <f t="shared" si="27"/>
        <v>caught</v>
      </c>
      <c r="U159" s="1" t="str">
        <f t="shared" si="28"/>
        <v>2</v>
      </c>
      <c r="V159" s="1" t="str">
        <f t="shared" si="29"/>
        <v xml:space="preserve"> South Africa</v>
      </c>
      <c r="W159" s="1" t="str">
        <f t="shared" si="30"/>
        <v>Rajkot</v>
      </c>
      <c r="X159" s="1" t="str">
        <f t="shared" si="31"/>
        <v>Yes</v>
      </c>
      <c r="Y159" s="1"/>
    </row>
    <row r="160" spans="1:25" ht="14.25" customHeight="1">
      <c r="A160" s="1"/>
      <c r="B160" s="1">
        <v>142</v>
      </c>
      <c r="C160" s="1" t="s">
        <v>246</v>
      </c>
      <c r="D160" s="1" t="s">
        <v>170</v>
      </c>
      <c r="E160" s="1" t="s">
        <v>140</v>
      </c>
      <c r="F160" s="1" t="s">
        <v>131</v>
      </c>
      <c r="G160" s="1" t="s">
        <v>869</v>
      </c>
      <c r="H160" s="1" t="s">
        <v>24</v>
      </c>
      <c r="I160" s="1" t="s">
        <v>130</v>
      </c>
      <c r="J160" s="1" t="s">
        <v>191</v>
      </c>
      <c r="K160" s="1" t="s">
        <v>68</v>
      </c>
      <c r="L160" s="1"/>
      <c r="M160" s="1"/>
      <c r="N160" s="1" t="str">
        <f t="shared" si="24"/>
        <v>No</v>
      </c>
      <c r="O160" s="1">
        <f t="shared" si="25"/>
        <v>171</v>
      </c>
      <c r="P160" s="1">
        <f t="shared" si="26"/>
        <v>19</v>
      </c>
      <c r="Q160" s="1">
        <f t="shared" si="23"/>
        <v>4</v>
      </c>
      <c r="R160" s="1">
        <f t="shared" si="23"/>
        <v>0</v>
      </c>
      <c r="S160" s="29">
        <f t="shared" si="23"/>
        <v>110.52</v>
      </c>
      <c r="T160" s="1" t="str">
        <f t="shared" si="27"/>
        <v>caught</v>
      </c>
      <c r="U160" s="1" t="str">
        <f t="shared" si="28"/>
        <v>1</v>
      </c>
      <c r="V160" s="1" t="str">
        <f t="shared" si="29"/>
        <v xml:space="preserve"> South Africa</v>
      </c>
      <c r="W160" s="1" t="str">
        <f t="shared" si="30"/>
        <v>Chennai</v>
      </c>
      <c r="X160" s="1" t="str">
        <f t="shared" si="31"/>
        <v>Yes</v>
      </c>
      <c r="Y160" s="1"/>
    </row>
    <row r="161" spans="1:25" ht="14.25" customHeight="1">
      <c r="A161" s="1"/>
      <c r="B161" s="1">
        <v>143</v>
      </c>
      <c r="C161" s="1" t="s">
        <v>153</v>
      </c>
      <c r="D161" s="1" t="s">
        <v>238</v>
      </c>
      <c r="E161" s="1" t="s">
        <v>148</v>
      </c>
      <c r="F161" s="1" t="s">
        <v>131</v>
      </c>
      <c r="G161" s="1" t="s">
        <v>361</v>
      </c>
      <c r="H161" s="1" t="s">
        <v>24</v>
      </c>
      <c r="I161" s="1" t="s">
        <v>151</v>
      </c>
      <c r="J161" s="1" t="s">
        <v>191</v>
      </c>
      <c r="K161" s="1" t="s">
        <v>75</v>
      </c>
      <c r="L161" s="1"/>
      <c r="M161" s="1"/>
      <c r="N161" s="1" t="str">
        <f t="shared" si="24"/>
        <v>No</v>
      </c>
      <c r="O161" s="1">
        <f t="shared" si="25"/>
        <v>124</v>
      </c>
      <c r="P161" s="1">
        <f t="shared" si="26"/>
        <v>20</v>
      </c>
      <c r="Q161" s="1">
        <f t="shared" si="23"/>
        <v>3</v>
      </c>
      <c r="R161" s="1">
        <f t="shared" si="23"/>
        <v>0</v>
      </c>
      <c r="S161" s="29">
        <f t="shared" si="23"/>
        <v>80</v>
      </c>
      <c r="T161" s="1" t="str">
        <f t="shared" si="27"/>
        <v>caught</v>
      </c>
      <c r="U161" s="1" t="str">
        <f t="shared" si="28"/>
        <v>2</v>
      </c>
      <c r="V161" s="1" t="str">
        <f t="shared" si="29"/>
        <v xml:space="preserve"> South Africa</v>
      </c>
      <c r="W161" s="1" t="str">
        <f t="shared" si="30"/>
        <v>Wankhede</v>
      </c>
      <c r="X161" s="1" t="str">
        <f t="shared" si="31"/>
        <v>Yes</v>
      </c>
      <c r="Y161" s="1"/>
    </row>
    <row r="162" spans="1:25" ht="14.25" customHeight="1">
      <c r="A162" s="1"/>
      <c r="B162" s="1">
        <v>144</v>
      </c>
      <c r="C162" s="1" t="s">
        <v>870</v>
      </c>
      <c r="D162" s="1" t="s">
        <v>871</v>
      </c>
      <c r="E162" s="1" t="s">
        <v>325</v>
      </c>
      <c r="F162" s="1" t="s">
        <v>144</v>
      </c>
      <c r="G162" s="1" t="s">
        <v>872</v>
      </c>
      <c r="H162" s="1" t="s">
        <v>32</v>
      </c>
      <c r="I162" s="1" t="s">
        <v>130</v>
      </c>
      <c r="J162" s="1" t="s">
        <v>158</v>
      </c>
      <c r="K162" s="1" t="s">
        <v>89</v>
      </c>
      <c r="L162" s="1"/>
      <c r="M162" s="1"/>
      <c r="N162" s="1" t="str">
        <f t="shared" si="24"/>
        <v>No</v>
      </c>
      <c r="O162" s="1">
        <f t="shared" si="25"/>
        <v>6</v>
      </c>
      <c r="P162" s="1">
        <f t="shared" si="26"/>
        <v>163</v>
      </c>
      <c r="Q162" s="1">
        <f t="shared" si="23"/>
        <v>13</v>
      </c>
      <c r="R162" s="1">
        <f t="shared" si="23"/>
        <v>7</v>
      </c>
      <c r="S162" s="29">
        <f t="shared" si="23"/>
        <v>104.9</v>
      </c>
      <c r="T162" s="1" t="str">
        <f t="shared" si="27"/>
        <v>not out</v>
      </c>
      <c r="U162" s="1" t="str">
        <f t="shared" si="28"/>
        <v>1</v>
      </c>
      <c r="V162" s="1" t="str">
        <f t="shared" si="29"/>
        <v xml:space="preserve"> Australia</v>
      </c>
      <c r="W162" s="1" t="str">
        <f t="shared" si="30"/>
        <v>W.A.C.A</v>
      </c>
      <c r="X162" s="1" t="str">
        <f t="shared" si="31"/>
        <v>No</v>
      </c>
      <c r="Y162" s="1"/>
    </row>
    <row r="163" spans="1:25" ht="14.25" customHeight="1">
      <c r="A163" s="1"/>
      <c r="B163" s="1">
        <v>145</v>
      </c>
      <c r="C163" s="1" t="s">
        <v>669</v>
      </c>
      <c r="D163" s="1" t="s">
        <v>366</v>
      </c>
      <c r="E163" s="1" t="s">
        <v>176</v>
      </c>
      <c r="F163" s="1" t="s">
        <v>148</v>
      </c>
      <c r="G163" s="1" t="s">
        <v>873</v>
      </c>
      <c r="H163" s="1" t="s">
        <v>26</v>
      </c>
      <c r="I163" s="1" t="s">
        <v>130</v>
      </c>
      <c r="J163" s="1" t="s">
        <v>158</v>
      </c>
      <c r="K163" s="1" t="s">
        <v>91</v>
      </c>
      <c r="L163" s="1"/>
      <c r="M163" s="1"/>
      <c r="N163" s="1" t="str">
        <f t="shared" si="24"/>
        <v>No</v>
      </c>
      <c r="O163" s="1">
        <f t="shared" si="25"/>
        <v>41</v>
      </c>
      <c r="P163" s="1">
        <f t="shared" si="26"/>
        <v>127</v>
      </c>
      <c r="Q163" s="1">
        <f t="shared" ref="Q163:S226" si="32">IF(E163="-","NA",E163*1)</f>
        <v>11</v>
      </c>
      <c r="R163" s="1">
        <f t="shared" si="32"/>
        <v>3</v>
      </c>
      <c r="S163" s="29">
        <f t="shared" si="32"/>
        <v>97.63</v>
      </c>
      <c r="T163" s="1" t="str">
        <f t="shared" si="27"/>
        <v>run out</v>
      </c>
      <c r="U163" s="1" t="str">
        <f t="shared" si="28"/>
        <v>1</v>
      </c>
      <c r="V163" s="1" t="str">
        <f t="shared" si="29"/>
        <v xml:space="preserve"> Australia</v>
      </c>
      <c r="W163" s="1" t="str">
        <f t="shared" si="30"/>
        <v>Brisbane</v>
      </c>
      <c r="X163" s="1" t="str">
        <f t="shared" si="31"/>
        <v>Yes</v>
      </c>
      <c r="Y163" s="1"/>
    </row>
    <row r="164" spans="1:25" ht="14.25" customHeight="1">
      <c r="A164" s="1"/>
      <c r="B164" s="1">
        <v>146</v>
      </c>
      <c r="C164" s="1" t="s">
        <v>136</v>
      </c>
      <c r="D164" s="1" t="s">
        <v>176</v>
      </c>
      <c r="E164" s="1" t="s">
        <v>131</v>
      </c>
      <c r="F164" s="1" t="s">
        <v>131</v>
      </c>
      <c r="G164" s="1" t="s">
        <v>132</v>
      </c>
      <c r="H164" s="1" t="s">
        <v>24</v>
      </c>
      <c r="I164" s="1" t="s">
        <v>130</v>
      </c>
      <c r="J164" s="1" t="s">
        <v>158</v>
      </c>
      <c r="K164" s="1" t="s">
        <v>88</v>
      </c>
      <c r="L164" s="1"/>
      <c r="M164" s="1"/>
      <c r="N164" s="1" t="str">
        <f t="shared" si="24"/>
        <v>No</v>
      </c>
      <c r="O164" s="1">
        <f t="shared" si="25"/>
        <v>99</v>
      </c>
      <c r="P164" s="1">
        <f t="shared" si="26"/>
        <v>11</v>
      </c>
      <c r="Q164" s="1">
        <f t="shared" si="32"/>
        <v>0</v>
      </c>
      <c r="R164" s="1">
        <f t="shared" si="32"/>
        <v>0</v>
      </c>
      <c r="S164" s="29">
        <f t="shared" si="32"/>
        <v>54.54</v>
      </c>
      <c r="T164" s="1" t="str">
        <f t="shared" si="27"/>
        <v>caught</v>
      </c>
      <c r="U164" s="1" t="str">
        <f t="shared" si="28"/>
        <v>1</v>
      </c>
      <c r="V164" s="1" t="str">
        <f t="shared" si="29"/>
        <v xml:space="preserve"> Australia</v>
      </c>
      <c r="W164" s="1" t="str">
        <f t="shared" si="30"/>
        <v>Melbourne</v>
      </c>
      <c r="X164" s="1" t="str">
        <f t="shared" si="31"/>
        <v>Yes</v>
      </c>
      <c r="Y164" s="1"/>
    </row>
    <row r="165" spans="1:25" ht="14.25" customHeight="1">
      <c r="A165" s="1"/>
      <c r="B165" s="1">
        <v>147</v>
      </c>
      <c r="C165" s="1" t="s">
        <v>165</v>
      </c>
      <c r="D165" s="1" t="s">
        <v>138</v>
      </c>
      <c r="E165" s="1" t="s">
        <v>151</v>
      </c>
      <c r="F165" s="1" t="s">
        <v>148</v>
      </c>
      <c r="G165" s="1" t="s">
        <v>874</v>
      </c>
      <c r="H165" s="1" t="s">
        <v>24</v>
      </c>
      <c r="I165" s="1" t="s">
        <v>151</v>
      </c>
      <c r="J165" s="1" t="s">
        <v>158</v>
      </c>
      <c r="K165" s="1" t="s">
        <v>111</v>
      </c>
      <c r="L165" s="1"/>
      <c r="M165" s="1"/>
      <c r="N165" s="1" t="str">
        <f t="shared" si="24"/>
        <v>No</v>
      </c>
      <c r="O165" s="1">
        <f t="shared" si="25"/>
        <v>14</v>
      </c>
      <c r="P165" s="1">
        <f t="shared" si="26"/>
        <v>25</v>
      </c>
      <c r="Q165" s="1">
        <f t="shared" si="32"/>
        <v>2</v>
      </c>
      <c r="R165" s="1">
        <f t="shared" si="32"/>
        <v>3</v>
      </c>
      <c r="S165" s="29">
        <f t="shared" si="32"/>
        <v>164</v>
      </c>
      <c r="T165" s="1" t="str">
        <f t="shared" si="27"/>
        <v>caught</v>
      </c>
      <c r="U165" s="1" t="str">
        <f t="shared" si="28"/>
        <v>2</v>
      </c>
      <c r="V165" s="1" t="str">
        <f t="shared" si="29"/>
        <v xml:space="preserve"> Australia</v>
      </c>
      <c r="W165" s="1" t="str">
        <f t="shared" si="30"/>
        <v>Canberra</v>
      </c>
      <c r="X165" s="1" t="str">
        <f t="shared" si="31"/>
        <v>Yes</v>
      </c>
      <c r="Y165" s="1"/>
    </row>
    <row r="166" spans="1:25" ht="14.25" customHeight="1">
      <c r="A166" s="1"/>
      <c r="B166" s="1">
        <v>148</v>
      </c>
      <c r="C166" s="1" t="s">
        <v>269</v>
      </c>
      <c r="D166" s="1" t="s">
        <v>290</v>
      </c>
      <c r="E166" s="1" t="s">
        <v>161</v>
      </c>
      <c r="F166" s="1" t="s">
        <v>130</v>
      </c>
      <c r="G166" s="1" t="s">
        <v>384</v>
      </c>
      <c r="H166" s="1" t="s">
        <v>24</v>
      </c>
      <c r="I166" s="1" t="s">
        <v>151</v>
      </c>
      <c r="J166" s="1" t="s">
        <v>158</v>
      </c>
      <c r="K166" s="1" t="s">
        <v>92</v>
      </c>
      <c r="L166" s="1"/>
      <c r="M166" s="1"/>
      <c r="N166" s="1" t="str">
        <f t="shared" si="24"/>
        <v>No</v>
      </c>
      <c r="O166" s="1">
        <f t="shared" si="25"/>
        <v>15</v>
      </c>
      <c r="P166" s="1">
        <f t="shared" si="26"/>
        <v>108</v>
      </c>
      <c r="Q166" s="1">
        <f t="shared" si="32"/>
        <v>9</v>
      </c>
      <c r="R166" s="1">
        <f t="shared" si="32"/>
        <v>1</v>
      </c>
      <c r="S166" s="29">
        <f t="shared" si="32"/>
        <v>91.66</v>
      </c>
      <c r="T166" s="1" t="str">
        <f t="shared" si="27"/>
        <v>caught</v>
      </c>
      <c r="U166" s="1" t="str">
        <f t="shared" si="28"/>
        <v>2</v>
      </c>
      <c r="V166" s="1" t="str">
        <f t="shared" si="29"/>
        <v xml:space="preserve"> Australia</v>
      </c>
      <c r="W166" s="1" t="str">
        <f t="shared" si="30"/>
        <v>Sydney</v>
      </c>
      <c r="X166" s="1" t="str">
        <f t="shared" si="31"/>
        <v>Yes</v>
      </c>
      <c r="Y166" s="1"/>
    </row>
    <row r="167" spans="1:25" ht="14.25" customHeight="1">
      <c r="A167" s="1"/>
      <c r="B167" s="1">
        <v>149</v>
      </c>
      <c r="C167" s="1" t="s">
        <v>205</v>
      </c>
      <c r="D167" s="1" t="s">
        <v>313</v>
      </c>
      <c r="E167" s="1" t="s">
        <v>130</v>
      </c>
      <c r="F167" s="1" t="s">
        <v>130</v>
      </c>
      <c r="G167" s="1" t="s">
        <v>558</v>
      </c>
      <c r="H167" s="1" t="s">
        <v>19</v>
      </c>
      <c r="I167" s="1" t="s">
        <v>151</v>
      </c>
      <c r="J167" s="1" t="s">
        <v>211</v>
      </c>
      <c r="K167" s="1" t="s">
        <v>98</v>
      </c>
      <c r="L167" s="1"/>
      <c r="M167" s="1"/>
      <c r="N167" s="1" t="str">
        <f t="shared" si="24"/>
        <v>No</v>
      </c>
      <c r="O167" s="1">
        <f t="shared" si="25"/>
        <v>13</v>
      </c>
      <c r="P167" s="1">
        <f t="shared" si="26"/>
        <v>26</v>
      </c>
      <c r="Q167" s="1">
        <f t="shared" si="32"/>
        <v>1</v>
      </c>
      <c r="R167" s="1">
        <f t="shared" si="32"/>
        <v>1</v>
      </c>
      <c r="S167" s="29">
        <f t="shared" si="32"/>
        <v>53.84</v>
      </c>
      <c r="T167" s="1" t="str">
        <f t="shared" si="27"/>
        <v>lbw</v>
      </c>
      <c r="U167" s="1" t="str">
        <f t="shared" si="28"/>
        <v>2</v>
      </c>
      <c r="V167" s="1" t="str">
        <f t="shared" si="29"/>
        <v xml:space="preserve"> New Zealand</v>
      </c>
      <c r="W167" s="1" t="str">
        <f t="shared" si="30"/>
        <v>Dharamsala</v>
      </c>
      <c r="X167" s="1" t="str">
        <f t="shared" si="31"/>
        <v>Yes</v>
      </c>
      <c r="Y167" s="1"/>
    </row>
    <row r="168" spans="1:25" ht="14.25" customHeight="1">
      <c r="A168" s="1"/>
      <c r="B168" s="1">
        <v>150</v>
      </c>
      <c r="C168" s="1" t="s">
        <v>283</v>
      </c>
      <c r="D168" s="1" t="s">
        <v>169</v>
      </c>
      <c r="E168" s="1" t="s">
        <v>130</v>
      </c>
      <c r="F168" s="1" t="s">
        <v>130</v>
      </c>
      <c r="G168" s="1" t="s">
        <v>417</v>
      </c>
      <c r="H168" s="1" t="s">
        <v>24</v>
      </c>
      <c r="I168" s="1" t="s">
        <v>151</v>
      </c>
      <c r="J168" s="1" t="s">
        <v>211</v>
      </c>
      <c r="K168" s="1" t="s">
        <v>52</v>
      </c>
      <c r="L168" s="1"/>
      <c r="M168" s="1"/>
      <c r="N168" s="1" t="str">
        <f t="shared" si="24"/>
        <v>No</v>
      </c>
      <c r="O168" s="1">
        <f t="shared" si="25"/>
        <v>11</v>
      </c>
      <c r="P168" s="1">
        <f t="shared" si="26"/>
        <v>27</v>
      </c>
      <c r="Q168" s="1">
        <f t="shared" si="32"/>
        <v>1</v>
      </c>
      <c r="R168" s="1">
        <f t="shared" si="32"/>
        <v>1</v>
      </c>
      <c r="S168" s="29">
        <f t="shared" si="32"/>
        <v>55.55</v>
      </c>
      <c r="T168" s="1" t="str">
        <f t="shared" si="27"/>
        <v>caught</v>
      </c>
      <c r="U168" s="1" t="str">
        <f t="shared" si="28"/>
        <v>2</v>
      </c>
      <c r="V168" s="1" t="str">
        <f t="shared" si="29"/>
        <v xml:space="preserve"> New Zealand</v>
      </c>
      <c r="W168" s="1" t="str">
        <f t="shared" si="30"/>
        <v>Delhi</v>
      </c>
      <c r="X168" s="1" t="str">
        <f t="shared" si="31"/>
        <v>Yes</v>
      </c>
      <c r="Y168" s="1"/>
    </row>
    <row r="169" spans="1:25" ht="14.25" customHeight="1">
      <c r="A169" s="1"/>
      <c r="B169" s="1">
        <v>151</v>
      </c>
      <c r="C169" s="1" t="s">
        <v>325</v>
      </c>
      <c r="D169" s="1" t="s">
        <v>246</v>
      </c>
      <c r="E169" s="1" t="s">
        <v>151</v>
      </c>
      <c r="F169" s="1" t="s">
        <v>131</v>
      </c>
      <c r="G169" s="1" t="s">
        <v>363</v>
      </c>
      <c r="H169" s="1" t="s">
        <v>19</v>
      </c>
      <c r="I169" s="1" t="s">
        <v>151</v>
      </c>
      <c r="J169" s="1" t="s">
        <v>211</v>
      </c>
      <c r="K169" s="1" t="s">
        <v>46</v>
      </c>
      <c r="L169" s="1"/>
      <c r="M169" s="1"/>
      <c r="N169" s="1" t="str">
        <f t="shared" si="24"/>
        <v>No</v>
      </c>
      <c r="O169" s="1">
        <f t="shared" si="25"/>
        <v>70</v>
      </c>
      <c r="P169" s="1">
        <f t="shared" si="26"/>
        <v>21</v>
      </c>
      <c r="Q169" s="1">
        <f t="shared" si="32"/>
        <v>2</v>
      </c>
      <c r="R169" s="1">
        <f t="shared" si="32"/>
        <v>0</v>
      </c>
      <c r="S169" s="29">
        <f t="shared" si="32"/>
        <v>61.9</v>
      </c>
      <c r="T169" s="1" t="str">
        <f t="shared" si="27"/>
        <v>lbw</v>
      </c>
      <c r="U169" s="1" t="str">
        <f t="shared" si="28"/>
        <v>2</v>
      </c>
      <c r="V169" s="1" t="str">
        <f t="shared" si="29"/>
        <v xml:space="preserve"> New Zealand</v>
      </c>
      <c r="W169" s="1" t="str">
        <f t="shared" si="30"/>
        <v>Mohali</v>
      </c>
      <c r="X169" s="1" t="str">
        <f t="shared" si="31"/>
        <v>Yes</v>
      </c>
      <c r="Y169" s="1"/>
    </row>
    <row r="170" spans="1:25" ht="14.25" customHeight="1">
      <c r="A170" s="1"/>
      <c r="B170" s="1">
        <v>152</v>
      </c>
      <c r="C170" s="1" t="s">
        <v>176</v>
      </c>
      <c r="D170" s="1" t="s">
        <v>170</v>
      </c>
      <c r="E170" s="1" t="s">
        <v>151</v>
      </c>
      <c r="F170" s="1" t="s">
        <v>131</v>
      </c>
      <c r="G170" s="1" t="s">
        <v>525</v>
      </c>
      <c r="H170" s="1" t="s">
        <v>24</v>
      </c>
      <c r="I170" s="1" t="s">
        <v>151</v>
      </c>
      <c r="J170" s="1" t="s">
        <v>211</v>
      </c>
      <c r="K170" s="1" t="s">
        <v>97</v>
      </c>
      <c r="L170" s="1"/>
      <c r="M170" s="1"/>
      <c r="N170" s="1" t="str">
        <f t="shared" si="24"/>
        <v>No</v>
      </c>
      <c r="O170" s="1">
        <f t="shared" si="25"/>
        <v>91</v>
      </c>
      <c r="P170" s="1">
        <f t="shared" si="26"/>
        <v>19</v>
      </c>
      <c r="Q170" s="1">
        <f t="shared" si="32"/>
        <v>2</v>
      </c>
      <c r="R170" s="1">
        <f t="shared" si="32"/>
        <v>0</v>
      </c>
      <c r="S170" s="29">
        <f t="shared" si="32"/>
        <v>57.89</v>
      </c>
      <c r="T170" s="1" t="str">
        <f t="shared" si="27"/>
        <v>caught</v>
      </c>
      <c r="U170" s="1" t="str">
        <f t="shared" si="28"/>
        <v>2</v>
      </c>
      <c r="V170" s="1" t="str">
        <f t="shared" si="29"/>
        <v xml:space="preserve"> New Zealand</v>
      </c>
      <c r="W170" s="1" t="str">
        <f t="shared" si="30"/>
        <v>Ranchi</v>
      </c>
      <c r="X170" s="1" t="str">
        <f t="shared" si="31"/>
        <v>Yes</v>
      </c>
      <c r="Y170" s="1"/>
    </row>
    <row r="171" spans="1:25" ht="14.25" customHeight="1">
      <c r="A171" s="1"/>
      <c r="B171" s="1">
        <v>153</v>
      </c>
      <c r="C171" s="1" t="s">
        <v>222</v>
      </c>
      <c r="D171" s="1" t="s">
        <v>172</v>
      </c>
      <c r="E171" s="1" t="s">
        <v>202</v>
      </c>
      <c r="F171" s="1" t="s">
        <v>148</v>
      </c>
      <c r="G171" s="1" t="s">
        <v>875</v>
      </c>
      <c r="H171" s="1" t="s">
        <v>24</v>
      </c>
      <c r="I171" s="1" t="s">
        <v>130</v>
      </c>
      <c r="J171" s="1" t="s">
        <v>211</v>
      </c>
      <c r="K171" s="1" t="s">
        <v>65</v>
      </c>
      <c r="L171" s="1"/>
      <c r="M171" s="1"/>
      <c r="N171" s="1" t="str">
        <f t="shared" si="24"/>
        <v>No</v>
      </c>
      <c r="O171" s="1">
        <f t="shared" si="25"/>
        <v>78</v>
      </c>
      <c r="P171" s="1">
        <f t="shared" si="26"/>
        <v>65</v>
      </c>
      <c r="Q171" s="1">
        <f t="shared" si="32"/>
        <v>5</v>
      </c>
      <c r="R171" s="1">
        <f t="shared" si="32"/>
        <v>3</v>
      </c>
      <c r="S171" s="29">
        <f t="shared" si="32"/>
        <v>107.69</v>
      </c>
      <c r="T171" s="1" t="str">
        <f t="shared" si="27"/>
        <v>caught</v>
      </c>
      <c r="U171" s="1" t="str">
        <f t="shared" si="28"/>
        <v>1</v>
      </c>
      <c r="V171" s="1" t="str">
        <f t="shared" si="29"/>
        <v xml:space="preserve"> New Zealand</v>
      </c>
      <c r="W171" s="1" t="str">
        <f t="shared" si="30"/>
        <v>Visakhapatnam</v>
      </c>
      <c r="X171" s="1" t="str">
        <f t="shared" si="31"/>
        <v>Yes</v>
      </c>
      <c r="Y171" s="1"/>
    </row>
    <row r="172" spans="1:25" ht="14.25" customHeight="1">
      <c r="A172" s="1"/>
      <c r="B172" s="1">
        <v>154</v>
      </c>
      <c r="C172" s="1" t="s">
        <v>179</v>
      </c>
      <c r="D172" s="1" t="s">
        <v>302</v>
      </c>
      <c r="E172" s="1" t="s">
        <v>144</v>
      </c>
      <c r="F172" s="1" t="s">
        <v>151</v>
      </c>
      <c r="G172" s="1" t="s">
        <v>777</v>
      </c>
      <c r="H172" s="1" t="s">
        <v>26</v>
      </c>
      <c r="I172" s="1" t="s">
        <v>130</v>
      </c>
      <c r="J172" s="1" t="s">
        <v>156</v>
      </c>
      <c r="K172" s="1" t="s">
        <v>99</v>
      </c>
      <c r="L172" s="1"/>
      <c r="M172" s="1"/>
      <c r="N172" s="1" t="str">
        <f t="shared" si="24"/>
        <v>No</v>
      </c>
      <c r="O172" s="1">
        <f t="shared" si="25"/>
        <v>12</v>
      </c>
      <c r="P172" s="1">
        <f t="shared" si="26"/>
        <v>119</v>
      </c>
      <c r="Q172" s="1">
        <f t="shared" si="32"/>
        <v>7</v>
      </c>
      <c r="R172" s="1">
        <f t="shared" si="32"/>
        <v>2</v>
      </c>
      <c r="S172" s="29">
        <f t="shared" si="32"/>
        <v>76.47</v>
      </c>
      <c r="T172" s="1" t="str">
        <f t="shared" si="27"/>
        <v>run out</v>
      </c>
      <c r="U172" s="1" t="str">
        <f t="shared" si="28"/>
        <v>1</v>
      </c>
      <c r="V172" s="1" t="str">
        <f t="shared" si="29"/>
        <v xml:space="preserve"> Pakistan</v>
      </c>
      <c r="W172" s="1" t="str">
        <f t="shared" si="30"/>
        <v>Birmingham</v>
      </c>
      <c r="X172" s="1" t="str">
        <f t="shared" si="31"/>
        <v>Yes</v>
      </c>
      <c r="Y172" s="1"/>
    </row>
    <row r="173" spans="1:25" ht="14.25" customHeight="1">
      <c r="A173" s="1"/>
      <c r="B173" s="1">
        <v>155</v>
      </c>
      <c r="C173" s="1" t="s">
        <v>348</v>
      </c>
      <c r="D173" s="1" t="s">
        <v>311</v>
      </c>
      <c r="E173" s="1" t="s">
        <v>136</v>
      </c>
      <c r="F173" s="1" t="s">
        <v>148</v>
      </c>
      <c r="G173" s="1" t="s">
        <v>764</v>
      </c>
      <c r="H173" s="1" t="s">
        <v>24</v>
      </c>
      <c r="I173" s="1" t="s">
        <v>130</v>
      </c>
      <c r="J173" s="1" t="s">
        <v>133</v>
      </c>
      <c r="K173" s="1" t="s">
        <v>81</v>
      </c>
      <c r="L173" s="1"/>
      <c r="M173" s="1"/>
      <c r="N173" s="1" t="str">
        <f t="shared" si="24"/>
        <v>No</v>
      </c>
      <c r="O173" s="1">
        <f t="shared" si="25"/>
        <v>123</v>
      </c>
      <c r="P173" s="1">
        <f t="shared" si="26"/>
        <v>79</v>
      </c>
      <c r="Q173" s="1">
        <f t="shared" si="32"/>
        <v>6</v>
      </c>
      <c r="R173" s="1">
        <f t="shared" si="32"/>
        <v>3</v>
      </c>
      <c r="S173" s="29">
        <f t="shared" si="32"/>
        <v>98.73</v>
      </c>
      <c r="T173" s="1" t="str">
        <f t="shared" si="27"/>
        <v>caught</v>
      </c>
      <c r="U173" s="1" t="str">
        <f t="shared" si="28"/>
        <v>1</v>
      </c>
      <c r="V173" s="1" t="str">
        <f t="shared" si="29"/>
        <v xml:space="preserve"> Sri Lanka</v>
      </c>
      <c r="W173" s="1" t="str">
        <f t="shared" si="30"/>
        <v>The Oval</v>
      </c>
      <c r="X173" s="1" t="str">
        <f t="shared" si="31"/>
        <v>Yes</v>
      </c>
      <c r="Y173" s="1"/>
    </row>
    <row r="174" spans="1:25" ht="14.25" customHeight="1">
      <c r="A174" s="1"/>
      <c r="B174" s="1">
        <v>156</v>
      </c>
      <c r="C174" s="1" t="s">
        <v>128</v>
      </c>
      <c r="D174" s="1" t="s">
        <v>238</v>
      </c>
      <c r="E174" s="1" t="s">
        <v>130</v>
      </c>
      <c r="F174" s="1" t="s">
        <v>130</v>
      </c>
      <c r="G174" s="1" t="s">
        <v>239</v>
      </c>
      <c r="H174" s="1" t="s">
        <v>24</v>
      </c>
      <c r="I174" s="1" t="s">
        <v>151</v>
      </c>
      <c r="J174" s="1" t="s">
        <v>191</v>
      </c>
      <c r="K174" s="1" t="s">
        <v>81</v>
      </c>
      <c r="L174" s="1"/>
      <c r="M174" s="1"/>
      <c r="N174" s="1" t="str">
        <f t="shared" si="24"/>
        <v>No</v>
      </c>
      <c r="O174" s="1">
        <f t="shared" si="25"/>
        <v>0</v>
      </c>
      <c r="P174" s="1">
        <f t="shared" si="26"/>
        <v>20</v>
      </c>
      <c r="Q174" s="1">
        <f t="shared" si="32"/>
        <v>1</v>
      </c>
      <c r="R174" s="1">
        <f t="shared" si="32"/>
        <v>1</v>
      </c>
      <c r="S174" s="29">
        <f t="shared" si="32"/>
        <v>60</v>
      </c>
      <c r="T174" s="1" t="str">
        <f t="shared" si="27"/>
        <v>caught</v>
      </c>
      <c r="U174" s="1" t="str">
        <f t="shared" si="28"/>
        <v>2</v>
      </c>
      <c r="V174" s="1" t="str">
        <f t="shared" si="29"/>
        <v xml:space="preserve"> South Africa</v>
      </c>
      <c r="W174" s="1" t="str">
        <f t="shared" si="30"/>
        <v>The Oval</v>
      </c>
      <c r="X174" s="1" t="str">
        <f t="shared" si="31"/>
        <v>Yes</v>
      </c>
      <c r="Y174" s="1"/>
    </row>
    <row r="175" spans="1:25" ht="14.25" customHeight="1">
      <c r="A175" s="1"/>
      <c r="B175" s="1">
        <v>157</v>
      </c>
      <c r="C175" s="1" t="s">
        <v>876</v>
      </c>
      <c r="D175" s="1" t="s">
        <v>458</v>
      </c>
      <c r="E175" s="1" t="s">
        <v>283</v>
      </c>
      <c r="F175" s="1" t="s">
        <v>130</v>
      </c>
      <c r="G175" s="1" t="s">
        <v>877</v>
      </c>
      <c r="H175" s="1" t="s">
        <v>32</v>
      </c>
      <c r="I175" s="1" t="s">
        <v>151</v>
      </c>
      <c r="J175" s="1" t="s">
        <v>182</v>
      </c>
      <c r="K175" s="1" t="s">
        <v>99</v>
      </c>
      <c r="L175" s="1"/>
      <c r="M175" s="1"/>
      <c r="N175" s="1" t="str">
        <f t="shared" si="24"/>
        <v>No</v>
      </c>
      <c r="O175" s="1">
        <f t="shared" si="25"/>
        <v>4</v>
      </c>
      <c r="P175" s="1">
        <f t="shared" si="26"/>
        <v>129</v>
      </c>
      <c r="Q175" s="1">
        <f t="shared" si="32"/>
        <v>15</v>
      </c>
      <c r="R175" s="1">
        <f t="shared" si="32"/>
        <v>1</v>
      </c>
      <c r="S175" s="29">
        <f t="shared" si="32"/>
        <v>95.34</v>
      </c>
      <c r="T175" s="1" t="str">
        <f t="shared" si="27"/>
        <v>not out</v>
      </c>
      <c r="U175" s="1" t="str">
        <f t="shared" si="28"/>
        <v>2</v>
      </c>
      <c r="V175" s="1" t="str">
        <f t="shared" si="29"/>
        <v xml:space="preserve"> Bangladesh</v>
      </c>
      <c r="W175" s="1" t="str">
        <f t="shared" si="30"/>
        <v>Birmingham</v>
      </c>
      <c r="X175" s="1" t="str">
        <f t="shared" si="31"/>
        <v>No</v>
      </c>
      <c r="Y175" s="1"/>
    </row>
    <row r="176" spans="1:25" ht="14.25" customHeight="1">
      <c r="A176" s="1"/>
      <c r="B176" s="1">
        <v>158</v>
      </c>
      <c r="C176" s="1" t="s">
        <v>131</v>
      </c>
      <c r="D176" s="1" t="s">
        <v>148</v>
      </c>
      <c r="E176" s="1" t="s">
        <v>131</v>
      </c>
      <c r="F176" s="1" t="s">
        <v>131</v>
      </c>
      <c r="G176" s="1" t="s">
        <v>210</v>
      </c>
      <c r="H176" s="1" t="s">
        <v>19</v>
      </c>
      <c r="I176" s="1" t="s">
        <v>151</v>
      </c>
      <c r="J176" s="1" t="s">
        <v>156</v>
      </c>
      <c r="K176" s="1" t="s">
        <v>81</v>
      </c>
      <c r="L176" s="1"/>
      <c r="M176" s="1"/>
      <c r="N176" s="1" t="str">
        <f t="shared" si="24"/>
        <v>No</v>
      </c>
      <c r="O176" s="1">
        <f t="shared" si="25"/>
        <v>54</v>
      </c>
      <c r="P176" s="1">
        <f t="shared" si="26"/>
        <v>3</v>
      </c>
      <c r="Q176" s="1">
        <f t="shared" si="32"/>
        <v>0</v>
      </c>
      <c r="R176" s="1">
        <f t="shared" si="32"/>
        <v>0</v>
      </c>
      <c r="S176" s="29">
        <f t="shared" si="32"/>
        <v>0</v>
      </c>
      <c r="T176" s="1" t="str">
        <f t="shared" si="27"/>
        <v>lbw</v>
      </c>
      <c r="U176" s="1" t="str">
        <f t="shared" si="28"/>
        <v>2</v>
      </c>
      <c r="V176" s="1" t="str">
        <f t="shared" si="29"/>
        <v xml:space="preserve"> Pakistan</v>
      </c>
      <c r="W176" s="1" t="str">
        <f t="shared" si="30"/>
        <v>The Oval</v>
      </c>
      <c r="X176" s="1" t="str">
        <f t="shared" si="31"/>
        <v>Yes</v>
      </c>
      <c r="Y176" s="1"/>
    </row>
    <row r="177" spans="1:25" ht="14.25" customHeight="1">
      <c r="A177" s="1"/>
      <c r="B177" s="1">
        <v>159</v>
      </c>
      <c r="C177" s="1" t="s">
        <v>140</v>
      </c>
      <c r="D177" s="1" t="s">
        <v>325</v>
      </c>
      <c r="E177" s="1" t="s">
        <v>131</v>
      </c>
      <c r="F177" s="1" t="s">
        <v>131</v>
      </c>
      <c r="G177" s="1" t="s">
        <v>847</v>
      </c>
      <c r="H177" s="1" t="s">
        <v>26</v>
      </c>
      <c r="I177" s="1" t="s">
        <v>151</v>
      </c>
      <c r="J177" s="1" t="s">
        <v>133</v>
      </c>
      <c r="K177" s="1" t="s">
        <v>21</v>
      </c>
      <c r="L177" s="1"/>
      <c r="M177" s="1"/>
      <c r="N177" s="1" t="str">
        <f t="shared" si="24"/>
        <v>No</v>
      </c>
      <c r="O177" s="1">
        <f t="shared" si="25"/>
        <v>124</v>
      </c>
      <c r="P177" s="1">
        <f t="shared" si="26"/>
        <v>13</v>
      </c>
      <c r="Q177" s="1">
        <f t="shared" si="32"/>
        <v>0</v>
      </c>
      <c r="R177" s="1">
        <f t="shared" si="32"/>
        <v>0</v>
      </c>
      <c r="S177" s="29">
        <f t="shared" si="32"/>
        <v>30.76</v>
      </c>
      <c r="T177" s="1" t="str">
        <f t="shared" si="27"/>
        <v>run out</v>
      </c>
      <c r="U177" s="1" t="str">
        <f t="shared" si="28"/>
        <v>2</v>
      </c>
      <c r="V177" s="1" t="str">
        <f t="shared" si="29"/>
        <v xml:space="preserve"> Sri Lanka</v>
      </c>
      <c r="W177" s="1" t="str">
        <f t="shared" si="30"/>
        <v>Dambulla</v>
      </c>
      <c r="X177" s="1" t="str">
        <f t="shared" si="31"/>
        <v>Yes</v>
      </c>
      <c r="Y177" s="1"/>
    </row>
    <row r="178" spans="1:25" ht="14.25" customHeight="1">
      <c r="A178" s="1"/>
      <c r="B178" s="1">
        <v>160</v>
      </c>
      <c r="C178" s="1" t="s">
        <v>142</v>
      </c>
      <c r="D178" s="1" t="s">
        <v>405</v>
      </c>
      <c r="E178" s="1" t="s">
        <v>202</v>
      </c>
      <c r="F178" s="1" t="s">
        <v>148</v>
      </c>
      <c r="G178" s="1" t="s">
        <v>349</v>
      </c>
      <c r="H178" s="1" t="s">
        <v>19</v>
      </c>
      <c r="I178" s="1" t="s">
        <v>151</v>
      </c>
      <c r="J178" s="1" t="s">
        <v>133</v>
      </c>
      <c r="K178" s="1" t="s">
        <v>95</v>
      </c>
      <c r="L178" s="1"/>
      <c r="M178" s="1"/>
      <c r="N178" s="1" t="str">
        <f t="shared" si="24"/>
        <v>No</v>
      </c>
      <c r="O178" s="1">
        <f t="shared" si="25"/>
        <v>104</v>
      </c>
      <c r="P178" s="1">
        <f t="shared" si="26"/>
        <v>45</v>
      </c>
      <c r="Q178" s="1">
        <f t="shared" si="32"/>
        <v>5</v>
      </c>
      <c r="R178" s="1">
        <f t="shared" si="32"/>
        <v>3</v>
      </c>
      <c r="S178" s="29">
        <f t="shared" si="32"/>
        <v>120</v>
      </c>
      <c r="T178" s="1" t="str">
        <f t="shared" si="27"/>
        <v>lbw</v>
      </c>
      <c r="U178" s="1" t="str">
        <f t="shared" si="28"/>
        <v>2</v>
      </c>
      <c r="V178" s="1" t="str">
        <f t="shared" si="29"/>
        <v xml:space="preserve"> Sri Lanka</v>
      </c>
      <c r="W178" s="1" t="str">
        <f t="shared" si="30"/>
        <v>Pallekele</v>
      </c>
      <c r="X178" s="1" t="str">
        <f t="shared" si="31"/>
        <v>Yes</v>
      </c>
      <c r="Y178" s="1"/>
    </row>
    <row r="179" spans="1:25" ht="14.25" customHeight="1">
      <c r="A179" s="1"/>
      <c r="B179" s="1">
        <v>161</v>
      </c>
      <c r="C179" s="1" t="s">
        <v>878</v>
      </c>
      <c r="D179" s="1" t="s">
        <v>552</v>
      </c>
      <c r="E179" s="1" t="s">
        <v>153</v>
      </c>
      <c r="F179" s="1" t="s">
        <v>151</v>
      </c>
      <c r="G179" s="1" t="s">
        <v>879</v>
      </c>
      <c r="H179" s="1" t="s">
        <v>32</v>
      </c>
      <c r="I179" s="1" t="s">
        <v>151</v>
      </c>
      <c r="J179" s="1" t="s">
        <v>133</v>
      </c>
      <c r="K179" s="1" t="s">
        <v>95</v>
      </c>
      <c r="L179" s="1"/>
      <c r="M179" s="1"/>
      <c r="N179" s="1" t="str">
        <f t="shared" si="24"/>
        <v>No</v>
      </c>
      <c r="O179" s="1">
        <f t="shared" si="25"/>
        <v>16</v>
      </c>
      <c r="P179" s="1">
        <f t="shared" si="26"/>
        <v>145</v>
      </c>
      <c r="Q179" s="1">
        <f t="shared" si="32"/>
        <v>16</v>
      </c>
      <c r="R179" s="1">
        <f t="shared" si="32"/>
        <v>2</v>
      </c>
      <c r="S179" s="29">
        <f t="shared" si="32"/>
        <v>85.51</v>
      </c>
      <c r="T179" s="1" t="str">
        <f t="shared" si="27"/>
        <v>not out</v>
      </c>
      <c r="U179" s="1" t="str">
        <f t="shared" si="28"/>
        <v>2</v>
      </c>
      <c r="V179" s="1" t="str">
        <f t="shared" si="29"/>
        <v xml:space="preserve"> Sri Lanka</v>
      </c>
      <c r="W179" s="1" t="str">
        <f t="shared" si="30"/>
        <v>Pallekele</v>
      </c>
      <c r="X179" s="1" t="str">
        <f t="shared" si="31"/>
        <v>No</v>
      </c>
      <c r="Y179" s="1"/>
    </row>
    <row r="180" spans="1:25" ht="14.25" customHeight="1">
      <c r="A180" s="1"/>
      <c r="B180" s="1">
        <v>162</v>
      </c>
      <c r="C180" s="1" t="s">
        <v>160</v>
      </c>
      <c r="D180" s="1" t="s">
        <v>332</v>
      </c>
      <c r="E180" s="1" t="s">
        <v>176</v>
      </c>
      <c r="F180" s="1" t="s">
        <v>148</v>
      </c>
      <c r="G180" s="1" t="s">
        <v>880</v>
      </c>
      <c r="H180" s="1" t="s">
        <v>24</v>
      </c>
      <c r="I180" s="1" t="s">
        <v>130</v>
      </c>
      <c r="J180" s="1" t="s">
        <v>133</v>
      </c>
      <c r="K180" s="1" t="s">
        <v>27</v>
      </c>
      <c r="L180" s="1"/>
      <c r="M180" s="1"/>
      <c r="N180" s="1" t="str">
        <f t="shared" si="24"/>
        <v>No</v>
      </c>
      <c r="O180" s="1">
        <f t="shared" si="25"/>
        <v>28</v>
      </c>
      <c r="P180" s="1">
        <f t="shared" si="26"/>
        <v>88</v>
      </c>
      <c r="Q180" s="1">
        <f t="shared" si="32"/>
        <v>11</v>
      </c>
      <c r="R180" s="1">
        <f t="shared" si="32"/>
        <v>3</v>
      </c>
      <c r="S180" s="29">
        <f t="shared" si="32"/>
        <v>118.18</v>
      </c>
      <c r="T180" s="1" t="str">
        <f t="shared" si="27"/>
        <v>caught</v>
      </c>
      <c r="U180" s="1" t="str">
        <f t="shared" si="28"/>
        <v>1</v>
      </c>
      <c r="V180" s="1" t="str">
        <f t="shared" si="29"/>
        <v xml:space="preserve"> Sri Lanka</v>
      </c>
      <c r="W180" s="1" t="str">
        <f t="shared" si="30"/>
        <v>Colombo (RPS)</v>
      </c>
      <c r="X180" s="1" t="str">
        <f t="shared" si="31"/>
        <v>Yes</v>
      </c>
      <c r="Y180" s="1"/>
    </row>
    <row r="181" spans="1:25" ht="14.25" customHeight="1">
      <c r="A181" s="1"/>
      <c r="B181" s="1">
        <v>163</v>
      </c>
      <c r="C181" s="1" t="s">
        <v>153</v>
      </c>
      <c r="D181" s="1" t="s">
        <v>238</v>
      </c>
      <c r="E181" s="1" t="s">
        <v>130</v>
      </c>
      <c r="F181" s="1" t="s">
        <v>131</v>
      </c>
      <c r="G181" s="1" t="s">
        <v>361</v>
      </c>
      <c r="H181" s="1" t="s">
        <v>24</v>
      </c>
      <c r="I181" s="1" t="s">
        <v>151</v>
      </c>
      <c r="J181" s="1" t="s">
        <v>133</v>
      </c>
      <c r="K181" s="1" t="s">
        <v>27</v>
      </c>
      <c r="L181" s="1"/>
      <c r="M181" s="1"/>
      <c r="N181" s="1" t="str">
        <f t="shared" si="24"/>
        <v>No</v>
      </c>
      <c r="O181" s="1">
        <f t="shared" si="25"/>
        <v>7</v>
      </c>
      <c r="P181" s="1">
        <f t="shared" si="26"/>
        <v>20</v>
      </c>
      <c r="Q181" s="1">
        <f t="shared" si="32"/>
        <v>1</v>
      </c>
      <c r="R181" s="1">
        <f t="shared" si="32"/>
        <v>0</v>
      </c>
      <c r="S181" s="29">
        <f t="shared" si="32"/>
        <v>80</v>
      </c>
      <c r="T181" s="1" t="str">
        <f t="shared" si="27"/>
        <v>caught</v>
      </c>
      <c r="U181" s="1" t="str">
        <f t="shared" si="28"/>
        <v>2</v>
      </c>
      <c r="V181" s="1" t="str">
        <f t="shared" si="29"/>
        <v xml:space="preserve"> Sri Lanka</v>
      </c>
      <c r="W181" s="1" t="str">
        <f t="shared" si="30"/>
        <v>Colombo (RPS)</v>
      </c>
      <c r="X181" s="1" t="str">
        <f t="shared" si="31"/>
        <v>Yes</v>
      </c>
      <c r="Y181" s="1"/>
    </row>
    <row r="182" spans="1:25" ht="14.25" customHeight="1">
      <c r="A182" s="1"/>
      <c r="B182" s="1">
        <v>164</v>
      </c>
      <c r="C182" s="1" t="s">
        <v>207</v>
      </c>
      <c r="D182" s="1" t="s">
        <v>369</v>
      </c>
      <c r="E182" s="1" t="s">
        <v>148</v>
      </c>
      <c r="F182" s="1" t="s">
        <v>131</v>
      </c>
      <c r="G182" s="1" t="s">
        <v>545</v>
      </c>
      <c r="H182" s="1" t="s">
        <v>24</v>
      </c>
      <c r="I182" s="1" t="s">
        <v>130</v>
      </c>
      <c r="J182" s="1" t="s">
        <v>158</v>
      </c>
      <c r="K182" s="1" t="s">
        <v>68</v>
      </c>
      <c r="L182" s="1"/>
      <c r="M182" s="1"/>
      <c r="N182" s="1" t="str">
        <f t="shared" si="24"/>
        <v>No</v>
      </c>
      <c r="O182" s="1">
        <f t="shared" si="25"/>
        <v>71</v>
      </c>
      <c r="P182" s="1">
        <f t="shared" si="26"/>
        <v>44</v>
      </c>
      <c r="Q182" s="1">
        <f t="shared" si="32"/>
        <v>3</v>
      </c>
      <c r="R182" s="1">
        <f t="shared" si="32"/>
        <v>0</v>
      </c>
      <c r="S182" s="29">
        <f t="shared" si="32"/>
        <v>63.63</v>
      </c>
      <c r="T182" s="1" t="str">
        <f t="shared" si="27"/>
        <v>caught</v>
      </c>
      <c r="U182" s="1" t="str">
        <f t="shared" si="28"/>
        <v>1</v>
      </c>
      <c r="V182" s="1" t="str">
        <f t="shared" si="29"/>
        <v xml:space="preserve"> Australia</v>
      </c>
      <c r="W182" s="1" t="str">
        <f t="shared" si="30"/>
        <v>Chennai</v>
      </c>
      <c r="X182" s="1" t="str">
        <f t="shared" si="31"/>
        <v>Yes</v>
      </c>
      <c r="Y182" s="1"/>
    </row>
    <row r="183" spans="1:25" ht="14.25" customHeight="1">
      <c r="A183" s="1"/>
      <c r="B183" s="1">
        <v>165</v>
      </c>
      <c r="C183" s="1" t="s">
        <v>144</v>
      </c>
      <c r="D183" s="1" t="s">
        <v>205</v>
      </c>
      <c r="E183" s="1" t="s">
        <v>130</v>
      </c>
      <c r="F183" s="1" t="s">
        <v>131</v>
      </c>
      <c r="G183" s="1" t="s">
        <v>204</v>
      </c>
      <c r="H183" s="1" t="s">
        <v>24</v>
      </c>
      <c r="I183" s="1" t="s">
        <v>130</v>
      </c>
      <c r="J183" s="1" t="s">
        <v>158</v>
      </c>
      <c r="K183" s="1" t="s">
        <v>51</v>
      </c>
      <c r="L183" s="1"/>
      <c r="M183" s="1"/>
      <c r="N183" s="1" t="str">
        <f t="shared" si="24"/>
        <v>No</v>
      </c>
      <c r="O183" s="1">
        <f t="shared" si="25"/>
        <v>65</v>
      </c>
      <c r="P183" s="1">
        <f t="shared" si="26"/>
        <v>14</v>
      </c>
      <c r="Q183" s="1">
        <f t="shared" si="32"/>
        <v>1</v>
      </c>
      <c r="R183" s="1">
        <f t="shared" si="32"/>
        <v>0</v>
      </c>
      <c r="S183" s="29">
        <f t="shared" si="32"/>
        <v>50</v>
      </c>
      <c r="T183" s="1" t="str">
        <f t="shared" si="27"/>
        <v>caught</v>
      </c>
      <c r="U183" s="1" t="str">
        <f t="shared" si="28"/>
        <v>1</v>
      </c>
      <c r="V183" s="1" t="str">
        <f t="shared" si="29"/>
        <v xml:space="preserve"> Australia</v>
      </c>
      <c r="W183" s="1" t="str">
        <f t="shared" si="30"/>
        <v>Eden Gardens</v>
      </c>
      <c r="X183" s="1" t="str">
        <f t="shared" si="31"/>
        <v>Yes</v>
      </c>
      <c r="Y183" s="1"/>
    </row>
    <row r="184" spans="1:25" ht="14.25" customHeight="1">
      <c r="A184" s="1"/>
      <c r="B184" s="1">
        <v>166</v>
      </c>
      <c r="C184" s="1" t="s">
        <v>193</v>
      </c>
      <c r="D184" s="1" t="s">
        <v>364</v>
      </c>
      <c r="E184" s="1" t="s">
        <v>136</v>
      </c>
      <c r="F184" s="1" t="s">
        <v>140</v>
      </c>
      <c r="G184" s="1" t="s">
        <v>881</v>
      </c>
      <c r="H184" s="1" t="s">
        <v>24</v>
      </c>
      <c r="I184" s="1" t="s">
        <v>151</v>
      </c>
      <c r="J184" s="1" t="s">
        <v>158</v>
      </c>
      <c r="K184" s="1" t="s">
        <v>87</v>
      </c>
      <c r="L184" s="1"/>
      <c r="M184" s="1"/>
      <c r="N184" s="1" t="str">
        <f t="shared" si="24"/>
        <v>No</v>
      </c>
      <c r="O184" s="1">
        <f t="shared" si="25"/>
        <v>125</v>
      </c>
      <c r="P184" s="1">
        <f t="shared" si="26"/>
        <v>62</v>
      </c>
      <c r="Q184" s="1">
        <f t="shared" si="32"/>
        <v>6</v>
      </c>
      <c r="R184" s="1">
        <f t="shared" si="32"/>
        <v>4</v>
      </c>
      <c r="S184" s="29">
        <f t="shared" si="32"/>
        <v>114.51</v>
      </c>
      <c r="T184" s="1" t="str">
        <f t="shared" si="27"/>
        <v>caught</v>
      </c>
      <c r="U184" s="1" t="str">
        <f t="shared" si="28"/>
        <v>2</v>
      </c>
      <c r="V184" s="1" t="str">
        <f t="shared" si="29"/>
        <v xml:space="preserve"> Australia</v>
      </c>
      <c r="W184" s="1" t="str">
        <f t="shared" si="30"/>
        <v>Indore</v>
      </c>
      <c r="X184" s="1" t="str">
        <f t="shared" si="31"/>
        <v>Yes</v>
      </c>
      <c r="Y184" s="1"/>
    </row>
    <row r="185" spans="1:25" ht="14.25" customHeight="1">
      <c r="A185" s="1"/>
      <c r="B185" s="1">
        <v>167</v>
      </c>
      <c r="C185" s="1" t="s">
        <v>172</v>
      </c>
      <c r="D185" s="1" t="s">
        <v>255</v>
      </c>
      <c r="E185" s="1" t="s">
        <v>130</v>
      </c>
      <c r="F185" s="1" t="s">
        <v>202</v>
      </c>
      <c r="G185" s="1" t="s">
        <v>880</v>
      </c>
      <c r="H185" s="1" t="s">
        <v>26</v>
      </c>
      <c r="I185" s="1" t="s">
        <v>151</v>
      </c>
      <c r="J185" s="1" t="s">
        <v>158</v>
      </c>
      <c r="K185" s="1" t="s">
        <v>67</v>
      </c>
      <c r="L185" s="1"/>
      <c r="M185" s="1"/>
      <c r="N185" s="1" t="str">
        <f t="shared" si="24"/>
        <v>No</v>
      </c>
      <c r="O185" s="1">
        <f t="shared" si="25"/>
        <v>20</v>
      </c>
      <c r="P185" s="1">
        <f t="shared" si="26"/>
        <v>55</v>
      </c>
      <c r="Q185" s="1">
        <f t="shared" si="32"/>
        <v>1</v>
      </c>
      <c r="R185" s="1">
        <f t="shared" si="32"/>
        <v>5</v>
      </c>
      <c r="S185" s="29">
        <f t="shared" si="32"/>
        <v>118.18</v>
      </c>
      <c r="T185" s="1" t="str">
        <f t="shared" si="27"/>
        <v>run out</v>
      </c>
      <c r="U185" s="1" t="str">
        <f t="shared" si="28"/>
        <v>2</v>
      </c>
      <c r="V185" s="1" t="str">
        <f t="shared" si="29"/>
        <v xml:space="preserve"> Australia</v>
      </c>
      <c r="W185" s="1" t="str">
        <f t="shared" si="30"/>
        <v>Bengaluru</v>
      </c>
      <c r="X185" s="1" t="str">
        <f t="shared" si="31"/>
        <v>Yes</v>
      </c>
      <c r="Y185" s="1"/>
    </row>
    <row r="186" spans="1:25" ht="14.25" customHeight="1">
      <c r="A186" s="1"/>
      <c r="B186" s="1">
        <v>168</v>
      </c>
      <c r="C186" s="1" t="s">
        <v>438</v>
      </c>
      <c r="D186" s="1" t="s">
        <v>882</v>
      </c>
      <c r="E186" s="1" t="s">
        <v>176</v>
      </c>
      <c r="F186" s="1" t="s">
        <v>202</v>
      </c>
      <c r="G186" s="1" t="s">
        <v>883</v>
      </c>
      <c r="H186" s="1" t="s">
        <v>24</v>
      </c>
      <c r="I186" s="1" t="s">
        <v>151</v>
      </c>
      <c r="J186" s="1" t="s">
        <v>158</v>
      </c>
      <c r="K186" s="1" t="s">
        <v>50</v>
      </c>
      <c r="L186" s="1"/>
      <c r="M186" s="1"/>
      <c r="N186" s="1" t="str">
        <f t="shared" si="24"/>
        <v>No</v>
      </c>
      <c r="O186" s="1">
        <f t="shared" si="25"/>
        <v>7</v>
      </c>
      <c r="P186" s="1">
        <f t="shared" si="26"/>
        <v>109</v>
      </c>
      <c r="Q186" s="1">
        <f t="shared" si="32"/>
        <v>11</v>
      </c>
      <c r="R186" s="1">
        <f t="shared" si="32"/>
        <v>5</v>
      </c>
      <c r="S186" s="29">
        <f t="shared" si="32"/>
        <v>114.67</v>
      </c>
      <c r="T186" s="1" t="str">
        <f t="shared" si="27"/>
        <v>caught</v>
      </c>
      <c r="U186" s="1" t="str">
        <f t="shared" si="28"/>
        <v>2</v>
      </c>
      <c r="V186" s="1" t="str">
        <f t="shared" si="29"/>
        <v xml:space="preserve"> Australia</v>
      </c>
      <c r="W186" s="1" t="str">
        <f t="shared" si="30"/>
        <v>Nagpur</v>
      </c>
      <c r="X186" s="1" t="str">
        <f t="shared" si="31"/>
        <v>Yes</v>
      </c>
      <c r="Y186" s="1"/>
    </row>
    <row r="187" spans="1:25" ht="14.25" customHeight="1">
      <c r="A187" s="1"/>
      <c r="B187" s="1">
        <v>169</v>
      </c>
      <c r="C187" s="1" t="s">
        <v>238</v>
      </c>
      <c r="D187" s="1" t="s">
        <v>199</v>
      </c>
      <c r="E187" s="1" t="s">
        <v>131</v>
      </c>
      <c r="F187" s="1" t="s">
        <v>151</v>
      </c>
      <c r="G187" s="1" t="s">
        <v>523</v>
      </c>
      <c r="H187" s="1" t="s">
        <v>29</v>
      </c>
      <c r="I187" s="1" t="s">
        <v>130</v>
      </c>
      <c r="J187" s="1" t="s">
        <v>211</v>
      </c>
      <c r="K187" s="1" t="s">
        <v>75</v>
      </c>
      <c r="L187" s="1"/>
      <c r="M187" s="1"/>
      <c r="N187" s="1" t="str">
        <f t="shared" si="24"/>
        <v>No</v>
      </c>
      <c r="O187" s="1">
        <f t="shared" si="25"/>
        <v>147</v>
      </c>
      <c r="P187" s="1">
        <f t="shared" si="26"/>
        <v>18</v>
      </c>
      <c r="Q187" s="1">
        <f t="shared" si="32"/>
        <v>0</v>
      </c>
      <c r="R187" s="1">
        <f t="shared" si="32"/>
        <v>2</v>
      </c>
      <c r="S187" s="29">
        <f t="shared" si="32"/>
        <v>111.11</v>
      </c>
      <c r="T187" s="1" t="str">
        <f t="shared" si="27"/>
        <v>bowled</v>
      </c>
      <c r="U187" s="1" t="str">
        <f t="shared" si="28"/>
        <v>1</v>
      </c>
      <c r="V187" s="1" t="str">
        <f t="shared" si="29"/>
        <v xml:space="preserve"> New Zealand</v>
      </c>
      <c r="W187" s="1" t="str">
        <f t="shared" si="30"/>
        <v>Wankhede</v>
      </c>
      <c r="X187" s="1" t="str">
        <f t="shared" si="31"/>
        <v>Yes</v>
      </c>
      <c r="Y187" s="1"/>
    </row>
    <row r="188" spans="1:25" ht="14.25" customHeight="1">
      <c r="A188" s="1"/>
      <c r="B188" s="1">
        <v>170</v>
      </c>
      <c r="C188" s="1" t="s">
        <v>144</v>
      </c>
      <c r="D188" s="1" t="s">
        <v>170</v>
      </c>
      <c r="E188" s="1" t="s">
        <v>130</v>
      </c>
      <c r="F188" s="1" t="s">
        <v>131</v>
      </c>
      <c r="G188" s="1" t="s">
        <v>884</v>
      </c>
      <c r="H188" s="1" t="s">
        <v>24</v>
      </c>
      <c r="I188" s="1" t="s">
        <v>151</v>
      </c>
      <c r="J188" s="1" t="s">
        <v>211</v>
      </c>
      <c r="K188" s="1" t="s">
        <v>100</v>
      </c>
      <c r="L188" s="1"/>
      <c r="M188" s="1"/>
      <c r="N188" s="1" t="str">
        <f t="shared" si="24"/>
        <v>No</v>
      </c>
      <c r="O188" s="1">
        <f t="shared" si="25"/>
        <v>2</v>
      </c>
      <c r="P188" s="1">
        <f t="shared" si="26"/>
        <v>19</v>
      </c>
      <c r="Q188" s="1">
        <f t="shared" si="32"/>
        <v>1</v>
      </c>
      <c r="R188" s="1">
        <f t="shared" si="32"/>
        <v>0</v>
      </c>
      <c r="S188" s="29">
        <f t="shared" si="32"/>
        <v>36.840000000000003</v>
      </c>
      <c r="T188" s="1" t="str">
        <f t="shared" si="27"/>
        <v>caught</v>
      </c>
      <c r="U188" s="1" t="str">
        <f t="shared" si="28"/>
        <v>2</v>
      </c>
      <c r="V188" s="1" t="str">
        <f t="shared" si="29"/>
        <v xml:space="preserve"> New Zealand</v>
      </c>
      <c r="W188" s="1" t="str">
        <f t="shared" si="30"/>
        <v>Pune</v>
      </c>
      <c r="X188" s="1" t="str">
        <f t="shared" si="31"/>
        <v>Yes</v>
      </c>
      <c r="Y188" s="1"/>
    </row>
    <row r="189" spans="1:25" ht="14.25" customHeight="1">
      <c r="A189" s="1"/>
      <c r="B189" s="1">
        <v>171</v>
      </c>
      <c r="C189" s="1" t="s">
        <v>885</v>
      </c>
      <c r="D189" s="1" t="s">
        <v>392</v>
      </c>
      <c r="E189" s="1" t="s">
        <v>199</v>
      </c>
      <c r="F189" s="1" t="s">
        <v>151</v>
      </c>
      <c r="G189" s="1" t="s">
        <v>886</v>
      </c>
      <c r="H189" s="1" t="s">
        <v>24</v>
      </c>
      <c r="I189" s="1" t="s">
        <v>130</v>
      </c>
      <c r="J189" s="1" t="s">
        <v>211</v>
      </c>
      <c r="K189" s="1" t="s">
        <v>101</v>
      </c>
      <c r="L189" s="1"/>
      <c r="M189" s="1"/>
      <c r="N189" s="1" t="str">
        <f t="shared" si="24"/>
        <v>No</v>
      </c>
      <c r="O189" s="1">
        <f t="shared" si="25"/>
        <v>208</v>
      </c>
      <c r="P189" s="1">
        <f t="shared" si="26"/>
        <v>138</v>
      </c>
      <c r="Q189" s="1">
        <f t="shared" si="32"/>
        <v>18</v>
      </c>
      <c r="R189" s="1">
        <f t="shared" si="32"/>
        <v>2</v>
      </c>
      <c r="S189" s="29">
        <f t="shared" si="32"/>
        <v>106.52</v>
      </c>
      <c r="T189" s="1" t="str">
        <f t="shared" si="27"/>
        <v>caught</v>
      </c>
      <c r="U189" s="1" t="str">
        <f t="shared" si="28"/>
        <v>1</v>
      </c>
      <c r="V189" s="1" t="str">
        <f t="shared" si="29"/>
        <v xml:space="preserve"> New Zealand</v>
      </c>
      <c r="W189" s="1" t="str">
        <f t="shared" si="30"/>
        <v>Kanpur</v>
      </c>
      <c r="X189" s="1" t="str">
        <f t="shared" si="31"/>
        <v>Yes</v>
      </c>
      <c r="Y189" s="1"/>
    </row>
    <row r="190" spans="1:25" ht="14.25" customHeight="1">
      <c r="A190" s="1"/>
      <c r="B190" s="1">
        <v>172</v>
      </c>
      <c r="C190" s="1" t="s">
        <v>151</v>
      </c>
      <c r="D190" s="1" t="s">
        <v>325</v>
      </c>
      <c r="E190" s="1" t="s">
        <v>131</v>
      </c>
      <c r="F190" s="1" t="s">
        <v>131</v>
      </c>
      <c r="G190" s="1" t="s">
        <v>887</v>
      </c>
      <c r="H190" s="1" t="s">
        <v>24</v>
      </c>
      <c r="I190" s="1" t="s">
        <v>130</v>
      </c>
      <c r="J190" s="1" t="s">
        <v>133</v>
      </c>
      <c r="K190" s="1" t="s">
        <v>98</v>
      </c>
      <c r="L190" s="1"/>
      <c r="M190" s="1"/>
      <c r="N190" s="1" t="str">
        <f t="shared" si="24"/>
        <v>No</v>
      </c>
      <c r="O190" s="1">
        <f t="shared" si="25"/>
        <v>7</v>
      </c>
      <c r="P190" s="1">
        <f t="shared" si="26"/>
        <v>13</v>
      </c>
      <c r="Q190" s="1">
        <f t="shared" si="32"/>
        <v>0</v>
      </c>
      <c r="R190" s="1">
        <f t="shared" si="32"/>
        <v>0</v>
      </c>
      <c r="S190" s="29">
        <f t="shared" si="32"/>
        <v>15.38</v>
      </c>
      <c r="T190" s="1" t="str">
        <f t="shared" si="27"/>
        <v>caught</v>
      </c>
      <c r="U190" s="1" t="str">
        <f t="shared" si="28"/>
        <v>1</v>
      </c>
      <c r="V190" s="1" t="str">
        <f t="shared" si="29"/>
        <v xml:space="preserve"> Sri Lanka</v>
      </c>
      <c r="W190" s="1" t="str">
        <f t="shared" si="30"/>
        <v>Dharamsala</v>
      </c>
      <c r="X190" s="1" t="str">
        <f t="shared" si="31"/>
        <v>Yes</v>
      </c>
      <c r="Y190" s="1"/>
    </row>
    <row r="191" spans="1:25" ht="14.25" customHeight="1">
      <c r="A191" s="1"/>
      <c r="B191" s="1">
        <v>173</v>
      </c>
      <c r="C191" s="1" t="s">
        <v>888</v>
      </c>
      <c r="D191" s="1" t="s">
        <v>889</v>
      </c>
      <c r="E191" s="1" t="s">
        <v>325</v>
      </c>
      <c r="F191" s="1" t="s">
        <v>128</v>
      </c>
      <c r="G191" s="1" t="s">
        <v>890</v>
      </c>
      <c r="H191" s="1" t="s">
        <v>32</v>
      </c>
      <c r="I191" s="1" t="s">
        <v>130</v>
      </c>
      <c r="J191" s="1" t="s">
        <v>133</v>
      </c>
      <c r="K191" s="1" t="s">
        <v>46</v>
      </c>
      <c r="L191" s="1"/>
      <c r="M191" s="1"/>
      <c r="N191" s="1" t="str">
        <f t="shared" si="24"/>
        <v>No</v>
      </c>
      <c r="O191" s="1">
        <f t="shared" si="25"/>
        <v>20</v>
      </c>
      <c r="P191" s="1">
        <f t="shared" si="26"/>
        <v>153</v>
      </c>
      <c r="Q191" s="1">
        <f t="shared" si="32"/>
        <v>13</v>
      </c>
      <c r="R191" s="1">
        <f t="shared" si="32"/>
        <v>12</v>
      </c>
      <c r="S191" s="29">
        <f t="shared" si="32"/>
        <v>135.94</v>
      </c>
      <c r="T191" s="1" t="str">
        <f t="shared" si="27"/>
        <v>not out</v>
      </c>
      <c r="U191" s="1" t="str">
        <f t="shared" si="28"/>
        <v>1</v>
      </c>
      <c r="V191" s="1" t="str">
        <f t="shared" si="29"/>
        <v xml:space="preserve"> Sri Lanka</v>
      </c>
      <c r="W191" s="1" t="str">
        <f t="shared" si="30"/>
        <v>Mohali</v>
      </c>
      <c r="X191" s="1" t="str">
        <f t="shared" si="31"/>
        <v>No</v>
      </c>
      <c r="Y191" s="1"/>
    </row>
    <row r="192" spans="1:25" ht="14.25" customHeight="1">
      <c r="A192" s="1"/>
      <c r="B192" s="1">
        <v>174</v>
      </c>
      <c r="C192" s="1" t="s">
        <v>144</v>
      </c>
      <c r="D192" s="1" t="s">
        <v>205</v>
      </c>
      <c r="E192" s="1" t="s">
        <v>131</v>
      </c>
      <c r="F192" s="1" t="s">
        <v>130</v>
      </c>
      <c r="G192" s="1" t="s">
        <v>204</v>
      </c>
      <c r="H192" s="1" t="s">
        <v>29</v>
      </c>
      <c r="I192" s="1" t="s">
        <v>151</v>
      </c>
      <c r="J192" s="1" t="s">
        <v>133</v>
      </c>
      <c r="K192" s="1" t="s">
        <v>65</v>
      </c>
      <c r="L192" s="1"/>
      <c r="M192" s="1"/>
      <c r="N192" s="1" t="str">
        <f t="shared" si="24"/>
        <v>No</v>
      </c>
      <c r="O192" s="1">
        <f t="shared" si="25"/>
        <v>15</v>
      </c>
      <c r="P192" s="1">
        <f t="shared" si="26"/>
        <v>14</v>
      </c>
      <c r="Q192" s="1">
        <f t="shared" si="32"/>
        <v>0</v>
      </c>
      <c r="R192" s="1">
        <f t="shared" si="32"/>
        <v>1</v>
      </c>
      <c r="S192" s="29">
        <f t="shared" si="32"/>
        <v>50</v>
      </c>
      <c r="T192" s="1" t="str">
        <f t="shared" si="27"/>
        <v>bowled</v>
      </c>
      <c r="U192" s="1" t="str">
        <f t="shared" si="28"/>
        <v>2</v>
      </c>
      <c r="V192" s="1" t="str">
        <f t="shared" si="29"/>
        <v xml:space="preserve"> Sri Lanka</v>
      </c>
      <c r="W192" s="1" t="str">
        <f t="shared" si="30"/>
        <v>Visakhapatnam</v>
      </c>
      <c r="X192" s="1" t="str">
        <f t="shared" si="31"/>
        <v>Yes</v>
      </c>
      <c r="Y192" s="1"/>
    </row>
    <row r="193" spans="1:25" ht="14.25" customHeight="1">
      <c r="A193" s="1"/>
      <c r="B193" s="1">
        <v>175</v>
      </c>
      <c r="C193" s="1" t="s">
        <v>238</v>
      </c>
      <c r="D193" s="1" t="s">
        <v>164</v>
      </c>
      <c r="E193" s="1" t="s">
        <v>151</v>
      </c>
      <c r="F193" s="1" t="s">
        <v>130</v>
      </c>
      <c r="G193" s="1" t="s">
        <v>155</v>
      </c>
      <c r="H193" s="1" t="s">
        <v>24</v>
      </c>
      <c r="I193" s="1" t="s">
        <v>151</v>
      </c>
      <c r="J193" s="1" t="s">
        <v>191</v>
      </c>
      <c r="K193" s="1" t="s">
        <v>69</v>
      </c>
      <c r="L193" s="1"/>
      <c r="M193" s="1"/>
      <c r="N193" s="1" t="str">
        <f t="shared" si="24"/>
        <v>No</v>
      </c>
      <c r="O193" s="1">
        <f t="shared" si="25"/>
        <v>0</v>
      </c>
      <c r="P193" s="1">
        <f t="shared" si="26"/>
        <v>30</v>
      </c>
      <c r="Q193" s="1">
        <f t="shared" si="32"/>
        <v>2</v>
      </c>
      <c r="R193" s="1">
        <f t="shared" si="32"/>
        <v>1</v>
      </c>
      <c r="S193" s="29">
        <f t="shared" si="32"/>
        <v>66.66</v>
      </c>
      <c r="T193" s="1" t="str">
        <f t="shared" si="27"/>
        <v>caught</v>
      </c>
      <c r="U193" s="1" t="str">
        <f t="shared" si="28"/>
        <v>2</v>
      </c>
      <c r="V193" s="1" t="str">
        <f t="shared" si="29"/>
        <v xml:space="preserve"> South Africa</v>
      </c>
      <c r="W193" s="1" t="str">
        <f t="shared" si="30"/>
        <v>Durban</v>
      </c>
      <c r="X193" s="1" t="str">
        <f t="shared" si="31"/>
        <v>Yes</v>
      </c>
      <c r="Y193" s="1"/>
    </row>
    <row r="194" spans="1:25" ht="14.25" customHeight="1">
      <c r="A194" s="1"/>
      <c r="B194" s="1">
        <v>176</v>
      </c>
      <c r="C194" s="1" t="s">
        <v>283</v>
      </c>
      <c r="D194" s="1" t="s">
        <v>306</v>
      </c>
      <c r="E194" s="1" t="s">
        <v>151</v>
      </c>
      <c r="F194" s="1" t="s">
        <v>130</v>
      </c>
      <c r="G194" s="1" t="s">
        <v>406</v>
      </c>
      <c r="H194" s="1" t="s">
        <v>24</v>
      </c>
      <c r="I194" s="1" t="s">
        <v>151</v>
      </c>
      <c r="J194" s="1" t="s">
        <v>191</v>
      </c>
      <c r="K194" s="1" t="s">
        <v>36</v>
      </c>
      <c r="L194" s="1"/>
      <c r="M194" s="1"/>
      <c r="N194" s="1" t="str">
        <f t="shared" si="24"/>
        <v>No</v>
      </c>
      <c r="O194" s="1">
        <f t="shared" si="25"/>
        <v>5</v>
      </c>
      <c r="P194" s="1">
        <f t="shared" si="26"/>
        <v>17</v>
      </c>
      <c r="Q194" s="1">
        <f t="shared" si="32"/>
        <v>2</v>
      </c>
      <c r="R194" s="1">
        <f t="shared" si="32"/>
        <v>1</v>
      </c>
      <c r="S194" s="29">
        <f t="shared" si="32"/>
        <v>88.23</v>
      </c>
      <c r="T194" s="1" t="str">
        <f t="shared" si="27"/>
        <v>caught</v>
      </c>
      <c r="U194" s="1" t="str">
        <f t="shared" si="28"/>
        <v>2</v>
      </c>
      <c r="V194" s="1" t="str">
        <f t="shared" si="29"/>
        <v xml:space="preserve"> South Africa</v>
      </c>
      <c r="W194" s="1" t="str">
        <f t="shared" si="30"/>
        <v>Centurion</v>
      </c>
      <c r="X194" s="1" t="str">
        <f t="shared" si="31"/>
        <v>Yes</v>
      </c>
      <c r="Y194" s="1"/>
    </row>
    <row r="195" spans="1:25" ht="14.25" customHeight="1">
      <c r="A195" s="1"/>
      <c r="B195" s="1">
        <v>177</v>
      </c>
      <c r="C195" s="1" t="s">
        <v>131</v>
      </c>
      <c r="D195" s="1" t="s">
        <v>136</v>
      </c>
      <c r="E195" s="1" t="s">
        <v>131</v>
      </c>
      <c r="F195" s="1" t="s">
        <v>131</v>
      </c>
      <c r="G195" s="1" t="s">
        <v>210</v>
      </c>
      <c r="H195" s="1" t="s">
        <v>24</v>
      </c>
      <c r="I195" s="1" t="s">
        <v>130</v>
      </c>
      <c r="J195" s="1" t="s">
        <v>191</v>
      </c>
      <c r="K195" s="1" t="s">
        <v>70</v>
      </c>
      <c r="L195" s="1"/>
      <c r="M195" s="1"/>
      <c r="N195" s="1" t="str">
        <f t="shared" si="24"/>
        <v>No</v>
      </c>
      <c r="O195" s="1">
        <f t="shared" si="25"/>
        <v>115</v>
      </c>
      <c r="P195" s="1">
        <f t="shared" si="26"/>
        <v>6</v>
      </c>
      <c r="Q195" s="1">
        <f t="shared" si="32"/>
        <v>0</v>
      </c>
      <c r="R195" s="1">
        <f t="shared" si="32"/>
        <v>0</v>
      </c>
      <c r="S195" s="29">
        <f t="shared" si="32"/>
        <v>0</v>
      </c>
      <c r="T195" s="1" t="str">
        <f t="shared" si="27"/>
        <v>caught</v>
      </c>
      <c r="U195" s="1" t="str">
        <f t="shared" si="28"/>
        <v>1</v>
      </c>
      <c r="V195" s="1" t="str">
        <f t="shared" si="29"/>
        <v xml:space="preserve"> South Africa</v>
      </c>
      <c r="W195" s="1" t="str">
        <f t="shared" si="30"/>
        <v>Cape Town</v>
      </c>
      <c r="X195" s="1" t="str">
        <f t="shared" si="31"/>
        <v>Yes</v>
      </c>
      <c r="Y195" s="1"/>
    </row>
    <row r="196" spans="1:25" ht="14.25" customHeight="1">
      <c r="A196" s="1"/>
      <c r="B196" s="1">
        <v>178</v>
      </c>
      <c r="C196" s="1" t="s">
        <v>202</v>
      </c>
      <c r="D196" s="1" t="s">
        <v>325</v>
      </c>
      <c r="E196" s="1" t="s">
        <v>130</v>
      </c>
      <c r="F196" s="1" t="s">
        <v>131</v>
      </c>
      <c r="G196" s="1" t="s">
        <v>830</v>
      </c>
      <c r="H196" s="1" t="s">
        <v>24</v>
      </c>
      <c r="I196" s="1" t="s">
        <v>130</v>
      </c>
      <c r="J196" s="1" t="s">
        <v>191</v>
      </c>
      <c r="K196" s="1" t="s">
        <v>43</v>
      </c>
      <c r="L196" s="1"/>
      <c r="M196" s="1"/>
      <c r="N196" s="1" t="str">
        <f t="shared" si="24"/>
        <v>No</v>
      </c>
      <c r="O196" s="1">
        <f t="shared" si="25"/>
        <v>15</v>
      </c>
      <c r="P196" s="1">
        <f t="shared" si="26"/>
        <v>13</v>
      </c>
      <c r="Q196" s="1">
        <f t="shared" si="32"/>
        <v>1</v>
      </c>
      <c r="R196" s="1">
        <f t="shared" si="32"/>
        <v>0</v>
      </c>
      <c r="S196" s="29">
        <f t="shared" si="32"/>
        <v>38.46</v>
      </c>
      <c r="T196" s="1" t="str">
        <f t="shared" si="27"/>
        <v>caught</v>
      </c>
      <c r="U196" s="1" t="str">
        <f t="shared" si="28"/>
        <v>1</v>
      </c>
      <c r="V196" s="1" t="str">
        <f t="shared" si="29"/>
        <v xml:space="preserve"> South Africa</v>
      </c>
      <c r="W196" s="1" t="str">
        <f t="shared" si="30"/>
        <v>Johannesburg</v>
      </c>
      <c r="X196" s="1" t="str">
        <f t="shared" si="31"/>
        <v>Yes</v>
      </c>
      <c r="Y196" s="1"/>
    </row>
    <row r="197" spans="1:25" ht="14.25" customHeight="1">
      <c r="A197" s="1"/>
      <c r="B197" s="1">
        <v>179</v>
      </c>
      <c r="C197" s="1" t="s">
        <v>329</v>
      </c>
      <c r="D197" s="1" t="s">
        <v>374</v>
      </c>
      <c r="E197" s="1" t="s">
        <v>176</v>
      </c>
      <c r="F197" s="1" t="s">
        <v>140</v>
      </c>
      <c r="G197" s="1" t="s">
        <v>891</v>
      </c>
      <c r="H197" s="1" t="s">
        <v>24</v>
      </c>
      <c r="I197" s="1" t="s">
        <v>130</v>
      </c>
      <c r="J197" s="1" t="s">
        <v>191</v>
      </c>
      <c r="K197" s="1" t="s">
        <v>71</v>
      </c>
      <c r="L197" s="1"/>
      <c r="M197" s="1"/>
      <c r="N197" s="1" t="str">
        <f t="shared" si="24"/>
        <v>No</v>
      </c>
      <c r="O197" s="1">
        <f t="shared" si="25"/>
        <v>137</v>
      </c>
      <c r="P197" s="1">
        <f t="shared" si="26"/>
        <v>126</v>
      </c>
      <c r="Q197" s="1">
        <f t="shared" si="32"/>
        <v>11</v>
      </c>
      <c r="R197" s="1">
        <f t="shared" si="32"/>
        <v>4</v>
      </c>
      <c r="S197" s="29">
        <f t="shared" si="32"/>
        <v>91.26</v>
      </c>
      <c r="T197" s="1" t="str">
        <f t="shared" si="27"/>
        <v>caught</v>
      </c>
      <c r="U197" s="1" t="str">
        <f t="shared" si="28"/>
        <v>1</v>
      </c>
      <c r="V197" s="1" t="str">
        <f t="shared" si="29"/>
        <v xml:space="preserve"> South Africa</v>
      </c>
      <c r="W197" s="1" t="str">
        <f t="shared" si="30"/>
        <v>Gqeberha</v>
      </c>
      <c r="X197" s="1" t="str">
        <f t="shared" si="31"/>
        <v>Yes</v>
      </c>
      <c r="Y197" s="1"/>
    </row>
    <row r="198" spans="1:25" ht="14.25" customHeight="1">
      <c r="A198" s="1"/>
      <c r="B198" s="1">
        <v>180</v>
      </c>
      <c r="C198" s="1" t="s">
        <v>283</v>
      </c>
      <c r="D198" s="1" t="s">
        <v>325</v>
      </c>
      <c r="E198" s="1" t="s">
        <v>148</v>
      </c>
      <c r="F198" s="1" t="s">
        <v>131</v>
      </c>
      <c r="G198" s="1" t="s">
        <v>892</v>
      </c>
      <c r="H198" s="1" t="s">
        <v>24</v>
      </c>
      <c r="I198" s="1" t="s">
        <v>151</v>
      </c>
      <c r="J198" s="1" t="s">
        <v>191</v>
      </c>
      <c r="K198" s="1" t="s">
        <v>36</v>
      </c>
      <c r="L198" s="1"/>
      <c r="M198" s="1"/>
      <c r="N198" s="1" t="str">
        <f t="shared" si="24"/>
        <v>No</v>
      </c>
      <c r="O198" s="1">
        <f t="shared" si="25"/>
        <v>15</v>
      </c>
      <c r="P198" s="1">
        <f t="shared" si="26"/>
        <v>13</v>
      </c>
      <c r="Q198" s="1">
        <f t="shared" si="32"/>
        <v>3</v>
      </c>
      <c r="R198" s="1">
        <f t="shared" si="32"/>
        <v>0</v>
      </c>
      <c r="S198" s="29">
        <f t="shared" si="32"/>
        <v>115.38</v>
      </c>
      <c r="T198" s="1" t="str">
        <f t="shared" si="27"/>
        <v>caught</v>
      </c>
      <c r="U198" s="1" t="str">
        <f t="shared" si="28"/>
        <v>2</v>
      </c>
      <c r="V198" s="1" t="str">
        <f t="shared" si="29"/>
        <v xml:space="preserve"> South Africa</v>
      </c>
      <c r="W198" s="1" t="str">
        <f t="shared" si="30"/>
        <v>Centurion</v>
      </c>
      <c r="X198" s="1" t="str">
        <f t="shared" si="31"/>
        <v>Yes</v>
      </c>
      <c r="Y198" s="1"/>
    </row>
    <row r="199" spans="1:25" ht="14.25" customHeight="1">
      <c r="A199" s="1"/>
      <c r="B199" s="1">
        <v>181</v>
      </c>
      <c r="C199" s="1" t="s">
        <v>893</v>
      </c>
      <c r="D199" s="1" t="s">
        <v>175</v>
      </c>
      <c r="E199" s="1" t="s">
        <v>283</v>
      </c>
      <c r="F199" s="1" t="s">
        <v>140</v>
      </c>
      <c r="G199" s="1" t="s">
        <v>894</v>
      </c>
      <c r="H199" s="1" t="s">
        <v>32</v>
      </c>
      <c r="I199" s="1" t="s">
        <v>151</v>
      </c>
      <c r="J199" s="1" t="s">
        <v>234</v>
      </c>
      <c r="K199" s="1" t="s">
        <v>108</v>
      </c>
      <c r="L199" s="1"/>
      <c r="M199" s="1"/>
      <c r="N199" s="1" t="str">
        <f t="shared" si="24"/>
        <v>No</v>
      </c>
      <c r="O199" s="1">
        <f t="shared" si="25"/>
        <v>2</v>
      </c>
      <c r="P199" s="1">
        <f t="shared" si="26"/>
        <v>114</v>
      </c>
      <c r="Q199" s="1">
        <f t="shared" si="32"/>
        <v>15</v>
      </c>
      <c r="R199" s="1">
        <f t="shared" si="32"/>
        <v>4</v>
      </c>
      <c r="S199" s="29">
        <f t="shared" si="32"/>
        <v>120.17</v>
      </c>
      <c r="T199" s="1" t="str">
        <f t="shared" si="27"/>
        <v>not out</v>
      </c>
      <c r="U199" s="1" t="str">
        <f t="shared" si="28"/>
        <v>2</v>
      </c>
      <c r="V199" s="1" t="str">
        <f t="shared" si="29"/>
        <v xml:space="preserve"> England</v>
      </c>
      <c r="W199" s="1" t="str">
        <f t="shared" si="30"/>
        <v>Nottingham</v>
      </c>
      <c r="X199" s="1" t="str">
        <f t="shared" si="31"/>
        <v>No</v>
      </c>
      <c r="Y199" s="1"/>
    </row>
    <row r="200" spans="1:25" ht="14.25" customHeight="1">
      <c r="A200" s="1"/>
      <c r="B200" s="1">
        <v>182</v>
      </c>
      <c r="C200" s="1" t="s">
        <v>283</v>
      </c>
      <c r="D200" s="1" t="s">
        <v>313</v>
      </c>
      <c r="E200" s="1" t="s">
        <v>151</v>
      </c>
      <c r="F200" s="1" t="s">
        <v>131</v>
      </c>
      <c r="G200" s="1" t="s">
        <v>580</v>
      </c>
      <c r="H200" s="1" t="s">
        <v>29</v>
      </c>
      <c r="I200" s="1" t="s">
        <v>151</v>
      </c>
      <c r="J200" s="1" t="s">
        <v>234</v>
      </c>
      <c r="K200" s="1" t="s">
        <v>82</v>
      </c>
      <c r="L200" s="1"/>
      <c r="M200" s="1"/>
      <c r="N200" s="1" t="str">
        <f t="shared" si="24"/>
        <v>No</v>
      </c>
      <c r="O200" s="1">
        <f t="shared" si="25"/>
        <v>23</v>
      </c>
      <c r="P200" s="1">
        <f t="shared" si="26"/>
        <v>26</v>
      </c>
      <c r="Q200" s="1">
        <f t="shared" si="32"/>
        <v>2</v>
      </c>
      <c r="R200" s="1">
        <f t="shared" si="32"/>
        <v>0</v>
      </c>
      <c r="S200" s="29">
        <f t="shared" si="32"/>
        <v>57.69</v>
      </c>
      <c r="T200" s="1" t="str">
        <f t="shared" si="27"/>
        <v>bowled</v>
      </c>
      <c r="U200" s="1" t="str">
        <f t="shared" si="28"/>
        <v>2</v>
      </c>
      <c r="V200" s="1" t="str">
        <f t="shared" si="29"/>
        <v xml:space="preserve"> England</v>
      </c>
      <c r="W200" s="1" t="str">
        <f t="shared" si="30"/>
        <v>Lord's</v>
      </c>
      <c r="X200" s="1" t="str">
        <f t="shared" si="31"/>
        <v>Yes</v>
      </c>
      <c r="Y200" s="1"/>
    </row>
    <row r="201" spans="1:25" ht="14.25" customHeight="1">
      <c r="A201" s="1"/>
      <c r="B201" s="1">
        <v>183</v>
      </c>
      <c r="C201" s="1" t="s">
        <v>151</v>
      </c>
      <c r="D201" s="1" t="s">
        <v>199</v>
      </c>
      <c r="E201" s="1" t="s">
        <v>131</v>
      </c>
      <c r="F201" s="1" t="s">
        <v>131</v>
      </c>
      <c r="G201" s="1" t="s">
        <v>895</v>
      </c>
      <c r="H201" s="1" t="s">
        <v>24</v>
      </c>
      <c r="I201" s="1" t="s">
        <v>130</v>
      </c>
      <c r="J201" s="1" t="s">
        <v>234</v>
      </c>
      <c r="K201" s="1" t="s">
        <v>109</v>
      </c>
      <c r="L201" s="1"/>
      <c r="M201" s="1"/>
      <c r="N201" s="1" t="str">
        <f t="shared" si="24"/>
        <v>No</v>
      </c>
      <c r="O201" s="1">
        <f t="shared" si="25"/>
        <v>52</v>
      </c>
      <c r="P201" s="1">
        <f t="shared" si="26"/>
        <v>18</v>
      </c>
      <c r="Q201" s="1">
        <f t="shared" si="32"/>
        <v>0</v>
      </c>
      <c r="R201" s="1">
        <f t="shared" si="32"/>
        <v>0</v>
      </c>
      <c r="S201" s="29">
        <f t="shared" si="32"/>
        <v>11.11</v>
      </c>
      <c r="T201" s="1" t="str">
        <f t="shared" si="27"/>
        <v>caught</v>
      </c>
      <c r="U201" s="1" t="str">
        <f t="shared" si="28"/>
        <v>1</v>
      </c>
      <c r="V201" s="1" t="str">
        <f t="shared" si="29"/>
        <v xml:space="preserve"> England</v>
      </c>
      <c r="W201" s="1" t="str">
        <f t="shared" si="30"/>
        <v>Leeds</v>
      </c>
      <c r="X201" s="1" t="str">
        <f t="shared" si="31"/>
        <v>Yes</v>
      </c>
      <c r="Y201" s="1"/>
    </row>
    <row r="202" spans="1:25" ht="14.25" customHeight="1">
      <c r="A202" s="1"/>
      <c r="B202" s="1">
        <v>184</v>
      </c>
      <c r="C202" s="1" t="s">
        <v>304</v>
      </c>
      <c r="D202" s="1" t="s">
        <v>129</v>
      </c>
      <c r="E202" s="1" t="s">
        <v>140</v>
      </c>
      <c r="F202" s="1" t="s">
        <v>131</v>
      </c>
      <c r="G202" s="1" t="s">
        <v>896</v>
      </c>
      <c r="H202" s="1" t="s">
        <v>24</v>
      </c>
      <c r="I202" s="1" t="s">
        <v>130</v>
      </c>
      <c r="J202" s="1" t="s">
        <v>639</v>
      </c>
      <c r="K202" s="1" t="s">
        <v>123</v>
      </c>
      <c r="L202" s="1"/>
      <c r="M202" s="1"/>
      <c r="N202" s="1" t="str">
        <f t="shared" si="24"/>
        <v>No</v>
      </c>
      <c r="O202" s="1">
        <f t="shared" si="25"/>
        <v>83</v>
      </c>
      <c r="P202" s="1">
        <f t="shared" si="26"/>
        <v>22</v>
      </c>
      <c r="Q202" s="1">
        <f t="shared" si="32"/>
        <v>4</v>
      </c>
      <c r="R202" s="1">
        <f t="shared" si="32"/>
        <v>0</v>
      </c>
      <c r="S202" s="29">
        <f t="shared" si="32"/>
        <v>104.54</v>
      </c>
      <c r="T202" s="1" t="str">
        <f t="shared" si="27"/>
        <v>caught</v>
      </c>
      <c r="U202" s="1" t="str">
        <f t="shared" si="28"/>
        <v>1</v>
      </c>
      <c r="V202" s="1" t="str">
        <f t="shared" si="29"/>
        <v xml:space="preserve"> Hong Kong</v>
      </c>
      <c r="W202" s="1" t="str">
        <f t="shared" si="30"/>
        <v>Dubai (DICS)</v>
      </c>
      <c r="X202" s="1" t="str">
        <f t="shared" si="31"/>
        <v>Yes</v>
      </c>
      <c r="Y202" s="1"/>
    </row>
    <row r="203" spans="1:25" ht="14.25" customHeight="1">
      <c r="A203" s="1"/>
      <c r="B203" s="1">
        <v>185</v>
      </c>
      <c r="C203" s="1" t="s">
        <v>327</v>
      </c>
      <c r="D203" s="1" t="s">
        <v>436</v>
      </c>
      <c r="E203" s="1" t="s">
        <v>136</v>
      </c>
      <c r="F203" s="1" t="s">
        <v>148</v>
      </c>
      <c r="G203" s="1" t="s">
        <v>502</v>
      </c>
      <c r="H203" s="1" t="s">
        <v>29</v>
      </c>
      <c r="I203" s="1" t="s">
        <v>151</v>
      </c>
      <c r="J203" s="1" t="s">
        <v>156</v>
      </c>
      <c r="K203" s="1" t="s">
        <v>123</v>
      </c>
      <c r="L203" s="1"/>
      <c r="M203" s="1"/>
      <c r="N203" s="1" t="str">
        <f t="shared" si="24"/>
        <v>No</v>
      </c>
      <c r="O203" s="1">
        <f t="shared" si="25"/>
        <v>111</v>
      </c>
      <c r="P203" s="1">
        <f t="shared" si="26"/>
        <v>39</v>
      </c>
      <c r="Q203" s="1">
        <f t="shared" si="32"/>
        <v>6</v>
      </c>
      <c r="R203" s="1">
        <f t="shared" si="32"/>
        <v>3</v>
      </c>
      <c r="S203" s="29">
        <f t="shared" si="32"/>
        <v>133.33000000000001</v>
      </c>
      <c r="T203" s="1" t="str">
        <f t="shared" si="27"/>
        <v>bowled</v>
      </c>
      <c r="U203" s="1" t="str">
        <f t="shared" si="28"/>
        <v>2</v>
      </c>
      <c r="V203" s="1" t="str">
        <f t="shared" si="29"/>
        <v xml:space="preserve"> Pakistan</v>
      </c>
      <c r="W203" s="1" t="str">
        <f t="shared" si="30"/>
        <v>Dubai (DICS)</v>
      </c>
      <c r="X203" s="1" t="str">
        <f t="shared" si="31"/>
        <v>Yes</v>
      </c>
      <c r="Y203" s="1"/>
    </row>
    <row r="204" spans="1:25" ht="14.25" customHeight="1">
      <c r="A204" s="1"/>
      <c r="B204" s="1">
        <v>186</v>
      </c>
      <c r="C204" s="1" t="s">
        <v>897</v>
      </c>
      <c r="D204" s="1" t="s">
        <v>160</v>
      </c>
      <c r="E204" s="1" t="s">
        <v>202</v>
      </c>
      <c r="F204" s="1" t="s">
        <v>148</v>
      </c>
      <c r="G204" s="1" t="s">
        <v>898</v>
      </c>
      <c r="H204" s="1" t="s">
        <v>32</v>
      </c>
      <c r="I204" s="1" t="s">
        <v>151</v>
      </c>
      <c r="J204" s="1" t="s">
        <v>182</v>
      </c>
      <c r="K204" s="1" t="s">
        <v>123</v>
      </c>
      <c r="L204" s="1"/>
      <c r="M204" s="1"/>
      <c r="N204" s="1" t="str">
        <f t="shared" si="24"/>
        <v>No</v>
      </c>
      <c r="O204" s="1">
        <f t="shared" si="25"/>
        <v>48</v>
      </c>
      <c r="P204" s="1">
        <f t="shared" si="26"/>
        <v>104</v>
      </c>
      <c r="Q204" s="1">
        <f t="shared" si="32"/>
        <v>5</v>
      </c>
      <c r="R204" s="1">
        <f t="shared" si="32"/>
        <v>3</v>
      </c>
      <c r="S204" s="29">
        <f t="shared" si="32"/>
        <v>79.8</v>
      </c>
      <c r="T204" s="1" t="str">
        <f t="shared" si="27"/>
        <v>not out</v>
      </c>
      <c r="U204" s="1" t="str">
        <f t="shared" si="28"/>
        <v>2</v>
      </c>
      <c r="V204" s="1" t="str">
        <f t="shared" si="29"/>
        <v xml:space="preserve"> Bangladesh</v>
      </c>
      <c r="W204" s="1" t="str">
        <f t="shared" si="30"/>
        <v>Dubai (DICS)</v>
      </c>
      <c r="X204" s="1" t="str">
        <f t="shared" si="31"/>
        <v>No</v>
      </c>
      <c r="Y204" s="1"/>
    </row>
    <row r="205" spans="1:25" ht="14.25" customHeight="1">
      <c r="A205" s="1"/>
      <c r="B205" s="1">
        <v>187</v>
      </c>
      <c r="C205" s="1" t="s">
        <v>423</v>
      </c>
      <c r="D205" s="1" t="s">
        <v>302</v>
      </c>
      <c r="E205" s="1" t="s">
        <v>144</v>
      </c>
      <c r="F205" s="1" t="s">
        <v>140</v>
      </c>
      <c r="G205" s="1" t="s">
        <v>899</v>
      </c>
      <c r="H205" s="1" t="s">
        <v>32</v>
      </c>
      <c r="I205" s="1" t="s">
        <v>151</v>
      </c>
      <c r="J205" s="1" t="s">
        <v>156</v>
      </c>
      <c r="K205" s="1" t="s">
        <v>123</v>
      </c>
      <c r="L205" s="1"/>
      <c r="M205" s="1"/>
      <c r="N205" s="1" t="str">
        <f t="shared" si="24"/>
        <v>No</v>
      </c>
      <c r="O205" s="1">
        <f t="shared" si="25"/>
        <v>152</v>
      </c>
      <c r="P205" s="1">
        <f t="shared" si="26"/>
        <v>119</v>
      </c>
      <c r="Q205" s="1">
        <f t="shared" si="32"/>
        <v>7</v>
      </c>
      <c r="R205" s="1">
        <f t="shared" si="32"/>
        <v>4</v>
      </c>
      <c r="S205" s="29">
        <f t="shared" si="32"/>
        <v>93.27</v>
      </c>
      <c r="T205" s="1" t="str">
        <f t="shared" si="27"/>
        <v>not out</v>
      </c>
      <c r="U205" s="1" t="str">
        <f t="shared" si="28"/>
        <v>2</v>
      </c>
      <c r="V205" s="1" t="str">
        <f t="shared" si="29"/>
        <v xml:space="preserve"> Pakistan</v>
      </c>
      <c r="W205" s="1" t="str">
        <f t="shared" si="30"/>
        <v>Dubai (DICS)</v>
      </c>
      <c r="X205" s="1" t="str">
        <f t="shared" si="31"/>
        <v>No</v>
      </c>
      <c r="Y205" s="1"/>
    </row>
    <row r="206" spans="1:25" ht="14.25" customHeight="1">
      <c r="A206" s="1"/>
      <c r="B206" s="1">
        <v>188</v>
      </c>
      <c r="C206" s="1" t="s">
        <v>355</v>
      </c>
      <c r="D206" s="1" t="s">
        <v>255</v>
      </c>
      <c r="E206" s="1" t="s">
        <v>148</v>
      </c>
      <c r="F206" s="1" t="s">
        <v>148</v>
      </c>
      <c r="G206" s="1" t="s">
        <v>900</v>
      </c>
      <c r="H206" s="1" t="s">
        <v>24</v>
      </c>
      <c r="I206" s="1" t="s">
        <v>151</v>
      </c>
      <c r="J206" s="1" t="s">
        <v>182</v>
      </c>
      <c r="K206" s="1" t="s">
        <v>123</v>
      </c>
      <c r="L206" s="1"/>
      <c r="M206" s="1"/>
      <c r="N206" s="1" t="str">
        <f t="shared" si="24"/>
        <v>No</v>
      </c>
      <c r="O206" s="1">
        <f t="shared" si="25"/>
        <v>4</v>
      </c>
      <c r="P206" s="1">
        <f t="shared" si="26"/>
        <v>55</v>
      </c>
      <c r="Q206" s="1">
        <f t="shared" si="32"/>
        <v>3</v>
      </c>
      <c r="R206" s="1">
        <f t="shared" si="32"/>
        <v>3</v>
      </c>
      <c r="S206" s="29">
        <f t="shared" si="32"/>
        <v>87.27</v>
      </c>
      <c r="T206" s="1" t="str">
        <f t="shared" si="27"/>
        <v>caught</v>
      </c>
      <c r="U206" s="1" t="str">
        <f t="shared" si="28"/>
        <v>2</v>
      </c>
      <c r="V206" s="1" t="str">
        <f t="shared" si="29"/>
        <v xml:space="preserve"> Bangladesh</v>
      </c>
      <c r="W206" s="1" t="str">
        <f t="shared" si="30"/>
        <v>Dubai (DICS)</v>
      </c>
      <c r="X206" s="1" t="str">
        <f t="shared" si="31"/>
        <v>Yes</v>
      </c>
      <c r="Y206" s="1"/>
    </row>
    <row r="207" spans="1:25" ht="14.25" customHeight="1">
      <c r="A207" s="1"/>
      <c r="B207" s="1">
        <v>189</v>
      </c>
      <c r="C207" s="1" t="s">
        <v>901</v>
      </c>
      <c r="D207" s="1" t="s">
        <v>271</v>
      </c>
      <c r="E207" s="1" t="s">
        <v>283</v>
      </c>
      <c r="F207" s="1" t="s">
        <v>189</v>
      </c>
      <c r="G207" s="1" t="s">
        <v>902</v>
      </c>
      <c r="H207" s="1" t="s">
        <v>32</v>
      </c>
      <c r="I207" s="1" t="s">
        <v>151</v>
      </c>
      <c r="J207" s="1" t="s">
        <v>163</v>
      </c>
      <c r="K207" s="1" t="s">
        <v>66</v>
      </c>
      <c r="L207" s="1"/>
      <c r="M207" s="1"/>
      <c r="N207" s="1" t="str">
        <f t="shared" si="24"/>
        <v>No</v>
      </c>
      <c r="O207" s="1">
        <f t="shared" si="25"/>
        <v>8</v>
      </c>
      <c r="P207" s="1">
        <f t="shared" si="26"/>
        <v>117</v>
      </c>
      <c r="Q207" s="1">
        <f t="shared" si="32"/>
        <v>15</v>
      </c>
      <c r="R207" s="1">
        <f t="shared" si="32"/>
        <v>8</v>
      </c>
      <c r="S207" s="29">
        <f t="shared" si="32"/>
        <v>129.91</v>
      </c>
      <c r="T207" s="1" t="str">
        <f t="shared" si="27"/>
        <v>not out</v>
      </c>
      <c r="U207" s="1" t="str">
        <f t="shared" si="28"/>
        <v>2</v>
      </c>
      <c r="V207" s="1" t="str">
        <f t="shared" si="29"/>
        <v xml:space="preserve"> West Indies</v>
      </c>
      <c r="W207" s="1" t="str">
        <f t="shared" si="30"/>
        <v>Guwahati</v>
      </c>
      <c r="X207" s="1" t="str">
        <f t="shared" si="31"/>
        <v>No</v>
      </c>
      <c r="Y207" s="1"/>
    </row>
    <row r="208" spans="1:25" ht="14.25" customHeight="1">
      <c r="A208" s="1"/>
      <c r="B208" s="1">
        <v>190</v>
      </c>
      <c r="C208" s="1" t="s">
        <v>140</v>
      </c>
      <c r="D208" s="1" t="s">
        <v>189</v>
      </c>
      <c r="E208" s="1" t="s">
        <v>130</v>
      </c>
      <c r="F208" s="1" t="s">
        <v>131</v>
      </c>
      <c r="G208" s="1" t="s">
        <v>204</v>
      </c>
      <c r="H208" s="1" t="s">
        <v>24</v>
      </c>
      <c r="I208" s="1" t="s">
        <v>130</v>
      </c>
      <c r="J208" s="1" t="s">
        <v>163</v>
      </c>
      <c r="K208" s="1" t="s">
        <v>65</v>
      </c>
      <c r="L208" s="1"/>
      <c r="M208" s="1"/>
      <c r="N208" s="1" t="str">
        <f t="shared" si="24"/>
        <v>No</v>
      </c>
      <c r="O208" s="1">
        <f t="shared" si="25"/>
        <v>162</v>
      </c>
      <c r="P208" s="1">
        <f t="shared" si="26"/>
        <v>8</v>
      </c>
      <c r="Q208" s="1">
        <f t="shared" si="32"/>
        <v>1</v>
      </c>
      <c r="R208" s="1">
        <f t="shared" si="32"/>
        <v>0</v>
      </c>
      <c r="S208" s="29">
        <f t="shared" si="32"/>
        <v>50</v>
      </c>
      <c r="T208" s="1" t="str">
        <f t="shared" si="27"/>
        <v>caught</v>
      </c>
      <c r="U208" s="1" t="str">
        <f t="shared" si="28"/>
        <v>1</v>
      </c>
      <c r="V208" s="1" t="str">
        <f t="shared" si="29"/>
        <v xml:space="preserve"> West Indies</v>
      </c>
      <c r="W208" s="1" t="str">
        <f t="shared" si="30"/>
        <v>Visakhapatnam</v>
      </c>
      <c r="X208" s="1" t="str">
        <f t="shared" si="31"/>
        <v>Yes</v>
      </c>
      <c r="Y208" s="1"/>
    </row>
    <row r="209" spans="1:25" ht="14.25" customHeight="1">
      <c r="A209" s="1"/>
      <c r="B209" s="1">
        <v>191</v>
      </c>
      <c r="C209" s="1" t="s">
        <v>189</v>
      </c>
      <c r="D209" s="1" t="s">
        <v>161</v>
      </c>
      <c r="E209" s="1" t="s">
        <v>151</v>
      </c>
      <c r="F209" s="1" t="s">
        <v>131</v>
      </c>
      <c r="G209" s="1" t="s">
        <v>511</v>
      </c>
      <c r="H209" s="1" t="s">
        <v>29</v>
      </c>
      <c r="I209" s="1" t="s">
        <v>151</v>
      </c>
      <c r="J209" s="1" t="s">
        <v>163</v>
      </c>
      <c r="K209" s="1" t="s">
        <v>100</v>
      </c>
      <c r="L209" s="1"/>
      <c r="M209" s="1"/>
      <c r="N209" s="1" t="str">
        <f t="shared" si="24"/>
        <v>No</v>
      </c>
      <c r="O209" s="1">
        <f t="shared" si="25"/>
        <v>63</v>
      </c>
      <c r="P209" s="1">
        <f t="shared" si="26"/>
        <v>9</v>
      </c>
      <c r="Q209" s="1">
        <f t="shared" si="32"/>
        <v>2</v>
      </c>
      <c r="R209" s="1">
        <f t="shared" si="32"/>
        <v>0</v>
      </c>
      <c r="S209" s="29">
        <f t="shared" si="32"/>
        <v>88.88</v>
      </c>
      <c r="T209" s="1" t="str">
        <f t="shared" si="27"/>
        <v>bowled</v>
      </c>
      <c r="U209" s="1" t="str">
        <f t="shared" si="28"/>
        <v>2</v>
      </c>
      <c r="V209" s="1" t="str">
        <f t="shared" si="29"/>
        <v xml:space="preserve"> West Indies</v>
      </c>
      <c r="W209" s="1" t="str">
        <f t="shared" si="30"/>
        <v>Pune</v>
      </c>
      <c r="X209" s="1" t="str">
        <f t="shared" si="31"/>
        <v>Yes</v>
      </c>
      <c r="Y209" s="1"/>
    </row>
    <row r="210" spans="1:25" ht="14.25" customHeight="1">
      <c r="A210" s="1"/>
      <c r="B210" s="1">
        <v>192</v>
      </c>
      <c r="C210" s="1" t="s">
        <v>903</v>
      </c>
      <c r="D210" s="1" t="s">
        <v>861</v>
      </c>
      <c r="E210" s="1" t="s">
        <v>238</v>
      </c>
      <c r="F210" s="1" t="s">
        <v>140</v>
      </c>
      <c r="G210" s="1" t="s">
        <v>904</v>
      </c>
      <c r="H210" s="1" t="s">
        <v>24</v>
      </c>
      <c r="I210" s="1" t="s">
        <v>130</v>
      </c>
      <c r="J210" s="1" t="s">
        <v>163</v>
      </c>
      <c r="K210" s="1" t="s">
        <v>112</v>
      </c>
      <c r="L210" s="1"/>
      <c r="M210" s="1"/>
      <c r="N210" s="1" t="str">
        <f t="shared" si="24"/>
        <v>No</v>
      </c>
      <c r="O210" s="1">
        <f t="shared" si="25"/>
        <v>133</v>
      </c>
      <c r="P210" s="1">
        <f t="shared" si="26"/>
        <v>137</v>
      </c>
      <c r="Q210" s="1">
        <f t="shared" si="32"/>
        <v>20</v>
      </c>
      <c r="R210" s="1">
        <f t="shared" si="32"/>
        <v>4</v>
      </c>
      <c r="S210" s="29">
        <f t="shared" si="32"/>
        <v>118.24</v>
      </c>
      <c r="T210" s="1" t="str">
        <f t="shared" si="27"/>
        <v>caught</v>
      </c>
      <c r="U210" s="1" t="str">
        <f t="shared" si="28"/>
        <v>1</v>
      </c>
      <c r="V210" s="1" t="str">
        <f t="shared" si="29"/>
        <v xml:space="preserve"> West Indies</v>
      </c>
      <c r="W210" s="1" t="str">
        <f t="shared" si="30"/>
        <v>Brabourne</v>
      </c>
      <c r="X210" s="1" t="str">
        <f t="shared" si="31"/>
        <v>Yes</v>
      </c>
      <c r="Y210" s="1"/>
    </row>
    <row r="211" spans="1:25" ht="14.25" customHeight="1">
      <c r="A211" s="1"/>
      <c r="B211" s="1">
        <v>193</v>
      </c>
      <c r="C211" s="1" t="s">
        <v>221</v>
      </c>
      <c r="D211" s="1" t="s">
        <v>452</v>
      </c>
      <c r="E211" s="1" t="s">
        <v>202</v>
      </c>
      <c r="F211" s="1" t="s">
        <v>140</v>
      </c>
      <c r="G211" s="1" t="s">
        <v>905</v>
      </c>
      <c r="H211" s="1" t="s">
        <v>32</v>
      </c>
      <c r="I211" s="1" t="s">
        <v>151</v>
      </c>
      <c r="J211" s="1" t="s">
        <v>163</v>
      </c>
      <c r="K211" s="1" t="s">
        <v>113</v>
      </c>
      <c r="L211" s="1"/>
      <c r="M211" s="1"/>
      <c r="N211" s="1" t="str">
        <f t="shared" ref="N211:N274" si="33">IF(OR(C211="DNB",C211="TDNB"),"Yes","No")</f>
        <v>No</v>
      </c>
      <c r="O211" s="1">
        <f t="shared" ref="O211:O274" si="34">IF(N213="Yes", "NA",SUBSTITUTE(C213,"*","")*1)</f>
        <v>43</v>
      </c>
      <c r="P211" s="1">
        <f t="shared" si="26"/>
        <v>56</v>
      </c>
      <c r="Q211" s="1">
        <f t="shared" si="32"/>
        <v>5</v>
      </c>
      <c r="R211" s="1">
        <f t="shared" si="32"/>
        <v>4</v>
      </c>
      <c r="S211" s="29">
        <f t="shared" si="32"/>
        <v>112.5</v>
      </c>
      <c r="T211" s="1" t="str">
        <f t="shared" si="27"/>
        <v>not out</v>
      </c>
      <c r="U211" s="1" t="str">
        <f t="shared" si="28"/>
        <v>2</v>
      </c>
      <c r="V211" s="1" t="str">
        <f t="shared" si="29"/>
        <v xml:space="preserve"> West Indies</v>
      </c>
      <c r="W211" s="1" t="str">
        <f t="shared" si="30"/>
        <v>Thiruvananthapuram</v>
      </c>
      <c r="X211" s="1" t="str">
        <f t="shared" si="31"/>
        <v>No</v>
      </c>
      <c r="Y211" s="1"/>
    </row>
    <row r="212" spans="1:25" ht="14.25" customHeight="1">
      <c r="A212" s="1"/>
      <c r="B212" s="1">
        <v>194</v>
      </c>
      <c r="C212" s="1" t="s">
        <v>866</v>
      </c>
      <c r="D212" s="1" t="s">
        <v>458</v>
      </c>
      <c r="E212" s="1" t="s">
        <v>167</v>
      </c>
      <c r="F212" s="1" t="s">
        <v>136</v>
      </c>
      <c r="G212" s="1" t="s">
        <v>906</v>
      </c>
      <c r="H212" s="1" t="s">
        <v>24</v>
      </c>
      <c r="I212" s="1" t="s">
        <v>151</v>
      </c>
      <c r="J212" s="1" t="s">
        <v>158</v>
      </c>
      <c r="K212" s="1" t="s">
        <v>92</v>
      </c>
      <c r="L212" s="1"/>
      <c r="M212" s="1"/>
      <c r="N212" s="1" t="str">
        <f t="shared" si="33"/>
        <v>No</v>
      </c>
      <c r="O212" s="1">
        <f t="shared" si="34"/>
        <v>9</v>
      </c>
      <c r="P212" s="1">
        <f t="shared" ref="P212:P275" si="35">IF(D212="-","NA",D212*1)</f>
        <v>129</v>
      </c>
      <c r="Q212" s="1">
        <f t="shared" si="32"/>
        <v>10</v>
      </c>
      <c r="R212" s="1">
        <f t="shared" si="32"/>
        <v>6</v>
      </c>
      <c r="S212" s="29">
        <f t="shared" si="32"/>
        <v>103.1</v>
      </c>
      <c r="T212" s="1" t="str">
        <f t="shared" ref="T212:T275" si="36">IF(H212="-","NA",H212)</f>
        <v>caught</v>
      </c>
      <c r="U212" s="1" t="str">
        <f t="shared" ref="U212:U275" si="37">I212</f>
        <v>2</v>
      </c>
      <c r="V212" s="1" t="str">
        <f t="shared" ref="V212:V275" si="38">SUBSTITUTE(J212,"v","")</f>
        <v xml:space="preserve"> Australia</v>
      </c>
      <c r="W212" s="1" t="str">
        <f t="shared" ref="W212:W275" si="39">K212</f>
        <v>Sydney</v>
      </c>
      <c r="X212" s="1" t="str">
        <f t="shared" ref="X212:X275" si="40">IF(N212="Yes","No",IF(T212="not out","No","Yes"))</f>
        <v>Yes</v>
      </c>
      <c r="Y212" s="1"/>
    </row>
    <row r="213" spans="1:25" ht="14.25" customHeight="1">
      <c r="A213" s="1"/>
      <c r="B213" s="1">
        <v>195</v>
      </c>
      <c r="C213" s="1" t="s">
        <v>321</v>
      </c>
      <c r="D213" s="1" t="s">
        <v>327</v>
      </c>
      <c r="E213" s="1" t="s">
        <v>151</v>
      </c>
      <c r="F213" s="1" t="s">
        <v>151</v>
      </c>
      <c r="G213" s="1" t="s">
        <v>907</v>
      </c>
      <c r="H213" s="1" t="s">
        <v>24</v>
      </c>
      <c r="I213" s="1" t="s">
        <v>151</v>
      </c>
      <c r="J213" s="1" t="s">
        <v>158</v>
      </c>
      <c r="K213" s="1" t="s">
        <v>90</v>
      </c>
      <c r="L213" s="1"/>
      <c r="M213" s="1"/>
      <c r="N213" s="1" t="str">
        <f t="shared" si="33"/>
        <v>No</v>
      </c>
      <c r="O213" s="1">
        <f t="shared" si="34"/>
        <v>11</v>
      </c>
      <c r="P213" s="1">
        <f t="shared" si="35"/>
        <v>52</v>
      </c>
      <c r="Q213" s="1">
        <f t="shared" si="32"/>
        <v>2</v>
      </c>
      <c r="R213" s="1">
        <f t="shared" si="32"/>
        <v>2</v>
      </c>
      <c r="S213" s="29">
        <f t="shared" si="32"/>
        <v>82.69</v>
      </c>
      <c r="T213" s="1" t="str">
        <f t="shared" si="36"/>
        <v>caught</v>
      </c>
      <c r="U213" s="1" t="str">
        <f t="shared" si="37"/>
        <v>2</v>
      </c>
      <c r="V213" s="1" t="str">
        <f t="shared" si="38"/>
        <v xml:space="preserve"> Australia</v>
      </c>
      <c r="W213" s="1" t="str">
        <f t="shared" si="39"/>
        <v>Adelaide</v>
      </c>
      <c r="X213" s="1" t="str">
        <f t="shared" si="40"/>
        <v>Yes</v>
      </c>
      <c r="Y213" s="1"/>
    </row>
    <row r="214" spans="1:25" ht="14.25" customHeight="1">
      <c r="A214" s="1"/>
      <c r="B214" s="1">
        <v>196</v>
      </c>
      <c r="C214" s="1" t="s">
        <v>161</v>
      </c>
      <c r="D214" s="1" t="s">
        <v>306</v>
      </c>
      <c r="E214" s="1" t="s">
        <v>130</v>
      </c>
      <c r="F214" s="1" t="s">
        <v>131</v>
      </c>
      <c r="G214" s="1" t="s">
        <v>472</v>
      </c>
      <c r="H214" s="1" t="s">
        <v>24</v>
      </c>
      <c r="I214" s="1" t="s">
        <v>151</v>
      </c>
      <c r="J214" s="1" t="s">
        <v>158</v>
      </c>
      <c r="K214" s="1" t="s">
        <v>88</v>
      </c>
      <c r="L214" s="1"/>
      <c r="M214" s="1"/>
      <c r="N214" s="1" t="str">
        <f t="shared" si="33"/>
        <v>No</v>
      </c>
      <c r="O214" s="1">
        <f t="shared" si="34"/>
        <v>87</v>
      </c>
      <c r="P214" s="1">
        <f t="shared" si="35"/>
        <v>17</v>
      </c>
      <c r="Q214" s="1">
        <f t="shared" si="32"/>
        <v>1</v>
      </c>
      <c r="R214" s="1">
        <f t="shared" si="32"/>
        <v>0</v>
      </c>
      <c r="S214" s="29">
        <f t="shared" si="32"/>
        <v>52.94</v>
      </c>
      <c r="T214" s="1" t="str">
        <f t="shared" si="36"/>
        <v>caught</v>
      </c>
      <c r="U214" s="1" t="str">
        <f t="shared" si="37"/>
        <v>2</v>
      </c>
      <c r="V214" s="1" t="str">
        <f t="shared" si="38"/>
        <v xml:space="preserve"> Australia</v>
      </c>
      <c r="W214" s="1" t="str">
        <f t="shared" si="39"/>
        <v>Melbourne</v>
      </c>
      <c r="X214" s="1" t="str">
        <f t="shared" si="40"/>
        <v>Yes</v>
      </c>
      <c r="Y214" s="1"/>
    </row>
    <row r="215" spans="1:25" ht="14.25" customHeight="1">
      <c r="A215" s="1"/>
      <c r="B215" s="1">
        <v>197</v>
      </c>
      <c r="C215" s="1" t="s">
        <v>176</v>
      </c>
      <c r="D215" s="1" t="s">
        <v>154</v>
      </c>
      <c r="E215" s="1" t="s">
        <v>130</v>
      </c>
      <c r="F215" s="1" t="s">
        <v>131</v>
      </c>
      <c r="G215" s="1" t="s">
        <v>908</v>
      </c>
      <c r="H215" s="1" t="s">
        <v>24</v>
      </c>
      <c r="I215" s="1" t="s">
        <v>151</v>
      </c>
      <c r="J215" s="1" t="s">
        <v>211</v>
      </c>
      <c r="K215" s="1" t="s">
        <v>102</v>
      </c>
      <c r="L215" s="1"/>
      <c r="M215" s="1"/>
      <c r="N215" s="1" t="str">
        <f t="shared" si="33"/>
        <v>No</v>
      </c>
      <c r="O215" s="1">
        <f t="shared" si="34"/>
        <v>62</v>
      </c>
      <c r="P215" s="1">
        <f t="shared" si="35"/>
        <v>24</v>
      </c>
      <c r="Q215" s="1">
        <f t="shared" si="32"/>
        <v>1</v>
      </c>
      <c r="R215" s="1">
        <f t="shared" si="32"/>
        <v>0</v>
      </c>
      <c r="S215" s="29">
        <f t="shared" si="32"/>
        <v>45.83</v>
      </c>
      <c r="T215" s="1" t="str">
        <f t="shared" si="36"/>
        <v>caught</v>
      </c>
      <c r="U215" s="1" t="str">
        <f t="shared" si="37"/>
        <v>2</v>
      </c>
      <c r="V215" s="1" t="str">
        <f t="shared" si="38"/>
        <v xml:space="preserve"> New Zealand</v>
      </c>
      <c r="W215" s="1" t="str">
        <f t="shared" si="39"/>
        <v>Napier</v>
      </c>
      <c r="X215" s="1" t="str">
        <f t="shared" si="40"/>
        <v>Yes</v>
      </c>
      <c r="Y215" s="1"/>
    </row>
    <row r="216" spans="1:25" ht="14.25" customHeight="1">
      <c r="A216" s="1"/>
      <c r="B216" s="1">
        <v>198</v>
      </c>
      <c r="C216" s="1" t="s">
        <v>421</v>
      </c>
      <c r="D216" s="1" t="s">
        <v>430</v>
      </c>
      <c r="E216" s="1" t="s">
        <v>161</v>
      </c>
      <c r="F216" s="1" t="s">
        <v>148</v>
      </c>
      <c r="G216" s="1" t="s">
        <v>320</v>
      </c>
      <c r="H216" s="1" t="s">
        <v>24</v>
      </c>
      <c r="I216" s="1" t="s">
        <v>130</v>
      </c>
      <c r="J216" s="1" t="s">
        <v>211</v>
      </c>
      <c r="K216" s="1" t="s">
        <v>114</v>
      </c>
      <c r="L216" s="1"/>
      <c r="M216" s="1"/>
      <c r="N216" s="1" t="str">
        <f t="shared" si="33"/>
        <v>No</v>
      </c>
      <c r="O216" s="1">
        <f t="shared" si="34"/>
        <v>7</v>
      </c>
      <c r="P216" s="1">
        <f t="shared" si="35"/>
        <v>96</v>
      </c>
      <c r="Q216" s="1">
        <f t="shared" si="32"/>
        <v>9</v>
      </c>
      <c r="R216" s="1">
        <f t="shared" si="32"/>
        <v>3</v>
      </c>
      <c r="S216" s="29">
        <f t="shared" si="32"/>
        <v>90.62</v>
      </c>
      <c r="T216" s="1" t="str">
        <f t="shared" si="36"/>
        <v>caught</v>
      </c>
      <c r="U216" s="1" t="str">
        <f t="shared" si="37"/>
        <v>1</v>
      </c>
      <c r="V216" s="1" t="str">
        <f t="shared" si="38"/>
        <v xml:space="preserve"> New Zealand</v>
      </c>
      <c r="W216" s="1" t="str">
        <f t="shared" si="39"/>
        <v>Mount Maunganui</v>
      </c>
      <c r="X216" s="1" t="str">
        <f t="shared" si="40"/>
        <v>Yes</v>
      </c>
      <c r="Y216" s="1"/>
    </row>
    <row r="217" spans="1:25" ht="14.25" customHeight="1">
      <c r="A217" s="1"/>
      <c r="B217" s="1">
        <v>199</v>
      </c>
      <c r="C217" s="1" t="s">
        <v>364</v>
      </c>
      <c r="D217" s="1" t="s">
        <v>280</v>
      </c>
      <c r="E217" s="1" t="s">
        <v>148</v>
      </c>
      <c r="F217" s="1" t="s">
        <v>151</v>
      </c>
      <c r="G217" s="1" t="s">
        <v>909</v>
      </c>
      <c r="H217" s="1" t="s">
        <v>63</v>
      </c>
      <c r="I217" s="1" t="s">
        <v>151</v>
      </c>
      <c r="J217" s="1" t="s">
        <v>211</v>
      </c>
      <c r="K217" s="1" t="s">
        <v>114</v>
      </c>
      <c r="L217" s="1"/>
      <c r="M217" s="1"/>
      <c r="N217" s="1" t="str">
        <f t="shared" si="33"/>
        <v>No</v>
      </c>
      <c r="O217" s="1">
        <f t="shared" si="34"/>
        <v>2</v>
      </c>
      <c r="P217" s="1">
        <f t="shared" si="35"/>
        <v>77</v>
      </c>
      <c r="Q217" s="1">
        <f t="shared" si="32"/>
        <v>3</v>
      </c>
      <c r="R217" s="1">
        <f t="shared" si="32"/>
        <v>2</v>
      </c>
      <c r="S217" s="29">
        <f t="shared" si="32"/>
        <v>80.510000000000005</v>
      </c>
      <c r="T217" s="1" t="str">
        <f t="shared" si="36"/>
        <v>stumped</v>
      </c>
      <c r="U217" s="1" t="str">
        <f t="shared" si="37"/>
        <v>2</v>
      </c>
      <c r="V217" s="1" t="str">
        <f t="shared" si="38"/>
        <v xml:space="preserve"> New Zealand</v>
      </c>
      <c r="W217" s="1" t="str">
        <f t="shared" si="39"/>
        <v>Mount Maunganui</v>
      </c>
      <c r="X217" s="1" t="str">
        <f t="shared" si="40"/>
        <v>Yes</v>
      </c>
      <c r="Y217" s="1"/>
    </row>
    <row r="218" spans="1:25" ht="14.25" customHeight="1">
      <c r="A218" s="1"/>
      <c r="B218" s="1">
        <v>200</v>
      </c>
      <c r="C218" s="1" t="s">
        <v>144</v>
      </c>
      <c r="D218" s="1" t="s">
        <v>304</v>
      </c>
      <c r="E218" s="1" t="s">
        <v>131</v>
      </c>
      <c r="F218" s="1" t="s">
        <v>131</v>
      </c>
      <c r="G218" s="1" t="s">
        <v>910</v>
      </c>
      <c r="H218" s="1" t="s">
        <v>24</v>
      </c>
      <c r="I218" s="1" t="s">
        <v>130</v>
      </c>
      <c r="J218" s="1" t="s">
        <v>211</v>
      </c>
      <c r="K218" s="1" t="s">
        <v>103</v>
      </c>
      <c r="L218" s="1"/>
      <c r="M218" s="1"/>
      <c r="N218" s="1" t="str">
        <f t="shared" si="33"/>
        <v>No</v>
      </c>
      <c r="O218" s="1">
        <f t="shared" si="34"/>
        <v>37</v>
      </c>
      <c r="P218" s="1">
        <f t="shared" si="35"/>
        <v>23</v>
      </c>
      <c r="Q218" s="1">
        <f t="shared" si="32"/>
        <v>0</v>
      </c>
      <c r="R218" s="1">
        <f t="shared" si="32"/>
        <v>0</v>
      </c>
      <c r="S218" s="29">
        <f t="shared" si="32"/>
        <v>30.43</v>
      </c>
      <c r="T218" s="1" t="str">
        <f t="shared" si="36"/>
        <v>caught</v>
      </c>
      <c r="U218" s="1" t="str">
        <f t="shared" si="37"/>
        <v>1</v>
      </c>
      <c r="V218" s="1" t="str">
        <f t="shared" si="38"/>
        <v xml:space="preserve"> New Zealand</v>
      </c>
      <c r="W218" s="1" t="str">
        <f t="shared" si="39"/>
        <v>Hamilton</v>
      </c>
      <c r="X218" s="1" t="str">
        <f t="shared" si="40"/>
        <v>Yes</v>
      </c>
      <c r="Y218" s="1"/>
    </row>
    <row r="219" spans="1:25" ht="14.25" customHeight="1">
      <c r="A219" s="1"/>
      <c r="B219" s="1">
        <v>201</v>
      </c>
      <c r="C219" s="1" t="s">
        <v>151</v>
      </c>
      <c r="D219" s="1" t="s">
        <v>153</v>
      </c>
      <c r="E219" s="1" t="s">
        <v>131</v>
      </c>
      <c r="F219" s="1" t="s">
        <v>131</v>
      </c>
      <c r="G219" s="1" t="s">
        <v>911</v>
      </c>
      <c r="H219" s="1" t="s">
        <v>29</v>
      </c>
      <c r="I219" s="1" t="s">
        <v>130</v>
      </c>
      <c r="J219" s="1" t="s">
        <v>211</v>
      </c>
      <c r="K219" s="1" t="s">
        <v>105</v>
      </c>
      <c r="L219" s="1"/>
      <c r="M219" s="1"/>
      <c r="N219" s="1" t="str">
        <f t="shared" si="33"/>
        <v>No</v>
      </c>
      <c r="O219" s="1">
        <f t="shared" si="34"/>
        <v>0</v>
      </c>
      <c r="P219" s="1">
        <f t="shared" si="35"/>
        <v>16</v>
      </c>
      <c r="Q219" s="1">
        <f t="shared" si="32"/>
        <v>0</v>
      </c>
      <c r="R219" s="1">
        <f t="shared" si="32"/>
        <v>0</v>
      </c>
      <c r="S219" s="29">
        <f t="shared" si="32"/>
        <v>12.5</v>
      </c>
      <c r="T219" s="1" t="str">
        <f t="shared" si="36"/>
        <v>bowled</v>
      </c>
      <c r="U219" s="1" t="str">
        <f t="shared" si="37"/>
        <v>1</v>
      </c>
      <c r="V219" s="1" t="str">
        <f t="shared" si="38"/>
        <v xml:space="preserve"> New Zealand</v>
      </c>
      <c r="W219" s="1" t="str">
        <f t="shared" si="39"/>
        <v>Wellington</v>
      </c>
      <c r="X219" s="1" t="str">
        <f t="shared" si="40"/>
        <v>Yes</v>
      </c>
      <c r="Y219" s="1"/>
    </row>
    <row r="220" spans="1:25" ht="14.25" customHeight="1">
      <c r="A220" s="1"/>
      <c r="B220" s="1">
        <v>202</v>
      </c>
      <c r="C220" s="1" t="s">
        <v>134</v>
      </c>
      <c r="D220" s="1" t="s">
        <v>143</v>
      </c>
      <c r="E220" s="1" t="s">
        <v>202</v>
      </c>
      <c r="F220" s="1" t="s">
        <v>131</v>
      </c>
      <c r="G220" s="1" t="s">
        <v>912</v>
      </c>
      <c r="H220" s="1" t="s">
        <v>24</v>
      </c>
      <c r="I220" s="1" t="s">
        <v>151</v>
      </c>
      <c r="J220" s="1" t="s">
        <v>158</v>
      </c>
      <c r="K220" s="1" t="s">
        <v>85</v>
      </c>
      <c r="L220" s="1"/>
      <c r="M220" s="1"/>
      <c r="N220" s="1" t="str">
        <f t="shared" si="33"/>
        <v>No</v>
      </c>
      <c r="O220" s="1">
        <f t="shared" si="34"/>
        <v>14</v>
      </c>
      <c r="P220" s="1">
        <f t="shared" si="35"/>
        <v>66</v>
      </c>
      <c r="Q220" s="1">
        <f t="shared" si="32"/>
        <v>5</v>
      </c>
      <c r="R220" s="1">
        <f t="shared" si="32"/>
        <v>0</v>
      </c>
      <c r="S220" s="29">
        <f t="shared" si="32"/>
        <v>56.06</v>
      </c>
      <c r="T220" s="1" t="str">
        <f t="shared" si="36"/>
        <v>caught</v>
      </c>
      <c r="U220" s="1" t="str">
        <f t="shared" si="37"/>
        <v>2</v>
      </c>
      <c r="V220" s="1" t="str">
        <f t="shared" si="38"/>
        <v xml:space="preserve"> Australia</v>
      </c>
      <c r="W220" s="1" t="str">
        <f t="shared" si="39"/>
        <v>Hyderabad</v>
      </c>
      <c r="X220" s="1" t="str">
        <f t="shared" si="40"/>
        <v>Yes</v>
      </c>
      <c r="Y220" s="1"/>
    </row>
    <row r="221" spans="1:25" ht="14.25" customHeight="1">
      <c r="A221" s="1"/>
      <c r="B221" s="1">
        <v>203</v>
      </c>
      <c r="C221" s="1" t="s">
        <v>131</v>
      </c>
      <c r="D221" s="1" t="s">
        <v>136</v>
      </c>
      <c r="E221" s="1" t="s">
        <v>131</v>
      </c>
      <c r="F221" s="1" t="s">
        <v>131</v>
      </c>
      <c r="G221" s="1" t="s">
        <v>210</v>
      </c>
      <c r="H221" s="1" t="s">
        <v>24</v>
      </c>
      <c r="I221" s="1" t="s">
        <v>130</v>
      </c>
      <c r="J221" s="1" t="s">
        <v>158</v>
      </c>
      <c r="K221" s="1" t="s">
        <v>50</v>
      </c>
      <c r="L221" s="1"/>
      <c r="M221" s="1"/>
      <c r="N221" s="1" t="str">
        <f t="shared" si="33"/>
        <v>No</v>
      </c>
      <c r="O221" s="1">
        <f t="shared" si="34"/>
        <v>95</v>
      </c>
      <c r="P221" s="1">
        <f t="shared" si="35"/>
        <v>6</v>
      </c>
      <c r="Q221" s="1">
        <f t="shared" si="32"/>
        <v>0</v>
      </c>
      <c r="R221" s="1">
        <f t="shared" si="32"/>
        <v>0</v>
      </c>
      <c r="S221" s="29">
        <f t="shared" si="32"/>
        <v>0</v>
      </c>
      <c r="T221" s="1" t="str">
        <f t="shared" si="36"/>
        <v>caught</v>
      </c>
      <c r="U221" s="1" t="str">
        <f t="shared" si="37"/>
        <v>1</v>
      </c>
      <c r="V221" s="1" t="str">
        <f t="shared" si="38"/>
        <v xml:space="preserve"> Australia</v>
      </c>
      <c r="W221" s="1" t="str">
        <f t="shared" si="39"/>
        <v>Nagpur</v>
      </c>
      <c r="X221" s="1" t="str">
        <f t="shared" si="40"/>
        <v>Yes</v>
      </c>
      <c r="Y221" s="1"/>
    </row>
    <row r="222" spans="1:25" ht="14.25" customHeight="1">
      <c r="A222" s="1"/>
      <c r="B222" s="1">
        <v>204</v>
      </c>
      <c r="C222" s="1" t="s">
        <v>205</v>
      </c>
      <c r="D222" s="1" t="s">
        <v>205</v>
      </c>
      <c r="E222" s="1" t="s">
        <v>151</v>
      </c>
      <c r="F222" s="1" t="s">
        <v>130</v>
      </c>
      <c r="G222" s="1" t="s">
        <v>152</v>
      </c>
      <c r="H222" s="1" t="s">
        <v>19</v>
      </c>
      <c r="I222" s="1" t="s">
        <v>151</v>
      </c>
      <c r="J222" s="1" t="s">
        <v>158</v>
      </c>
      <c r="K222" s="1" t="s">
        <v>97</v>
      </c>
      <c r="L222" s="1"/>
      <c r="M222" s="1"/>
      <c r="N222" s="1" t="str">
        <f t="shared" si="33"/>
        <v>No</v>
      </c>
      <c r="O222" s="1">
        <f t="shared" si="34"/>
        <v>56</v>
      </c>
      <c r="P222" s="1">
        <f t="shared" si="35"/>
        <v>14</v>
      </c>
      <c r="Q222" s="1">
        <f t="shared" si="32"/>
        <v>2</v>
      </c>
      <c r="R222" s="1">
        <f t="shared" si="32"/>
        <v>1</v>
      </c>
      <c r="S222" s="29">
        <f t="shared" si="32"/>
        <v>100</v>
      </c>
      <c r="T222" s="1" t="str">
        <f t="shared" si="36"/>
        <v>lbw</v>
      </c>
      <c r="U222" s="1" t="str">
        <f t="shared" si="37"/>
        <v>2</v>
      </c>
      <c r="V222" s="1" t="str">
        <f t="shared" si="38"/>
        <v xml:space="preserve"> Australia</v>
      </c>
      <c r="W222" s="1" t="str">
        <f t="shared" si="39"/>
        <v>Ranchi</v>
      </c>
      <c r="X222" s="1" t="str">
        <f t="shared" si="40"/>
        <v>Yes</v>
      </c>
      <c r="Y222" s="1"/>
    </row>
    <row r="223" spans="1:25" ht="14.25" customHeight="1">
      <c r="A223" s="1"/>
      <c r="B223" s="1">
        <v>205</v>
      </c>
      <c r="C223" s="1" t="s">
        <v>187</v>
      </c>
      <c r="D223" s="1" t="s">
        <v>197</v>
      </c>
      <c r="E223" s="1" t="s">
        <v>144</v>
      </c>
      <c r="F223" s="1" t="s">
        <v>151</v>
      </c>
      <c r="G223" s="1" t="s">
        <v>913</v>
      </c>
      <c r="H223" s="1" t="s">
        <v>24</v>
      </c>
      <c r="I223" s="1" t="s">
        <v>130</v>
      </c>
      <c r="J223" s="1" t="s">
        <v>158</v>
      </c>
      <c r="K223" s="1" t="s">
        <v>46</v>
      </c>
      <c r="L223" s="1"/>
      <c r="M223" s="1"/>
      <c r="N223" s="1" t="str">
        <f t="shared" si="33"/>
        <v>No</v>
      </c>
      <c r="O223" s="1">
        <f t="shared" si="34"/>
        <v>122</v>
      </c>
      <c r="P223" s="1">
        <f t="shared" si="35"/>
        <v>92</v>
      </c>
      <c r="Q223" s="1">
        <f t="shared" si="32"/>
        <v>7</v>
      </c>
      <c r="R223" s="1">
        <f t="shared" si="32"/>
        <v>2</v>
      </c>
      <c r="S223" s="29">
        <f t="shared" si="32"/>
        <v>103.26</v>
      </c>
      <c r="T223" s="1" t="str">
        <f t="shared" si="36"/>
        <v>caught</v>
      </c>
      <c r="U223" s="1" t="str">
        <f t="shared" si="37"/>
        <v>1</v>
      </c>
      <c r="V223" s="1" t="str">
        <f t="shared" si="38"/>
        <v xml:space="preserve"> Australia</v>
      </c>
      <c r="W223" s="1" t="str">
        <f t="shared" si="39"/>
        <v>Mohali</v>
      </c>
      <c r="X223" s="1" t="str">
        <f t="shared" si="40"/>
        <v>Yes</v>
      </c>
      <c r="Y223" s="1"/>
    </row>
    <row r="224" spans="1:25" ht="14.25" customHeight="1">
      <c r="A224" s="1"/>
      <c r="B224" s="1">
        <v>206</v>
      </c>
      <c r="C224" s="1" t="s">
        <v>452</v>
      </c>
      <c r="D224" s="1" t="s">
        <v>486</v>
      </c>
      <c r="E224" s="1" t="s">
        <v>140</v>
      </c>
      <c r="F224" s="1" t="s">
        <v>131</v>
      </c>
      <c r="G224" s="1" t="s">
        <v>914</v>
      </c>
      <c r="H224" s="1" t="s">
        <v>63</v>
      </c>
      <c r="I224" s="1" t="s">
        <v>151</v>
      </c>
      <c r="J224" s="1" t="s">
        <v>158</v>
      </c>
      <c r="K224" s="1" t="s">
        <v>52</v>
      </c>
      <c r="L224" s="1"/>
      <c r="M224" s="1"/>
      <c r="N224" s="1" t="str">
        <f t="shared" si="33"/>
        <v>No</v>
      </c>
      <c r="O224" s="1">
        <f t="shared" si="34"/>
        <v>57</v>
      </c>
      <c r="P224" s="1">
        <f t="shared" si="35"/>
        <v>89</v>
      </c>
      <c r="Q224" s="1">
        <f t="shared" si="32"/>
        <v>4</v>
      </c>
      <c r="R224" s="1">
        <f t="shared" si="32"/>
        <v>0</v>
      </c>
      <c r="S224" s="29">
        <f t="shared" si="32"/>
        <v>62.92</v>
      </c>
      <c r="T224" s="1" t="str">
        <f t="shared" si="36"/>
        <v>stumped</v>
      </c>
      <c r="U224" s="1" t="str">
        <f t="shared" si="37"/>
        <v>2</v>
      </c>
      <c r="V224" s="1" t="str">
        <f t="shared" si="38"/>
        <v xml:space="preserve"> Australia</v>
      </c>
      <c r="W224" s="1" t="str">
        <f t="shared" si="39"/>
        <v>Delhi</v>
      </c>
      <c r="X224" s="1" t="str">
        <f t="shared" si="40"/>
        <v>Yes</v>
      </c>
      <c r="Y224" s="1"/>
    </row>
    <row r="225" spans="1:25" ht="14.25" customHeight="1">
      <c r="A225" s="1"/>
      <c r="B225" s="1">
        <v>207</v>
      </c>
      <c r="C225" s="1" t="s">
        <v>505</v>
      </c>
      <c r="D225" s="1" t="s">
        <v>915</v>
      </c>
      <c r="E225" s="1" t="s">
        <v>325</v>
      </c>
      <c r="F225" s="1" t="s">
        <v>151</v>
      </c>
      <c r="G225" s="1" t="s">
        <v>916</v>
      </c>
      <c r="H225" s="1" t="s">
        <v>32</v>
      </c>
      <c r="I225" s="1" t="s">
        <v>151</v>
      </c>
      <c r="J225" s="1" t="s">
        <v>191</v>
      </c>
      <c r="K225" s="1" t="s">
        <v>80</v>
      </c>
      <c r="L225" s="1"/>
      <c r="M225" s="1"/>
      <c r="N225" s="1" t="str">
        <f t="shared" si="33"/>
        <v>No</v>
      </c>
      <c r="O225" s="1">
        <f t="shared" si="34"/>
        <v>140</v>
      </c>
      <c r="P225" s="1">
        <f t="shared" si="35"/>
        <v>144</v>
      </c>
      <c r="Q225" s="1">
        <f t="shared" si="32"/>
        <v>13</v>
      </c>
      <c r="R225" s="1">
        <f t="shared" si="32"/>
        <v>2</v>
      </c>
      <c r="S225" s="29">
        <f t="shared" si="32"/>
        <v>84.72</v>
      </c>
      <c r="T225" s="1" t="str">
        <f t="shared" si="36"/>
        <v>not out</v>
      </c>
      <c r="U225" s="1" t="str">
        <f t="shared" si="37"/>
        <v>2</v>
      </c>
      <c r="V225" s="1" t="str">
        <f t="shared" si="38"/>
        <v xml:space="preserve"> South Africa</v>
      </c>
      <c r="W225" s="1" t="str">
        <f t="shared" si="39"/>
        <v>Southampton</v>
      </c>
      <c r="X225" s="1" t="str">
        <f t="shared" si="40"/>
        <v>No</v>
      </c>
      <c r="Y225" s="1"/>
    </row>
    <row r="226" spans="1:25" ht="14.25" customHeight="1">
      <c r="A226" s="1"/>
      <c r="B226" s="1">
        <v>208</v>
      </c>
      <c r="C226" s="1" t="s">
        <v>192</v>
      </c>
      <c r="D226" s="1" t="s">
        <v>222</v>
      </c>
      <c r="E226" s="1" t="s">
        <v>148</v>
      </c>
      <c r="F226" s="1" t="s">
        <v>130</v>
      </c>
      <c r="G226" s="1" t="s">
        <v>917</v>
      </c>
      <c r="H226" s="1" t="s">
        <v>24</v>
      </c>
      <c r="I226" s="1" t="s">
        <v>130</v>
      </c>
      <c r="J226" s="1" t="s">
        <v>158</v>
      </c>
      <c r="K226" s="1" t="s">
        <v>81</v>
      </c>
      <c r="L226" s="1"/>
      <c r="M226" s="1"/>
      <c r="N226" s="1" t="str">
        <f t="shared" si="33"/>
        <v>No</v>
      </c>
      <c r="O226" s="1">
        <f t="shared" si="34"/>
        <v>1</v>
      </c>
      <c r="P226" s="1">
        <f t="shared" si="35"/>
        <v>70</v>
      </c>
      <c r="Q226" s="1">
        <f t="shared" si="32"/>
        <v>3</v>
      </c>
      <c r="R226" s="1">
        <f t="shared" si="32"/>
        <v>1</v>
      </c>
      <c r="S226" s="29">
        <f t="shared" si="32"/>
        <v>81.42</v>
      </c>
      <c r="T226" s="1" t="str">
        <f t="shared" si="36"/>
        <v>caught</v>
      </c>
      <c r="U226" s="1" t="str">
        <f t="shared" si="37"/>
        <v>1</v>
      </c>
      <c r="V226" s="1" t="str">
        <f t="shared" si="38"/>
        <v xml:space="preserve"> Australia</v>
      </c>
      <c r="W226" s="1" t="str">
        <f t="shared" si="39"/>
        <v>The Oval</v>
      </c>
      <c r="X226" s="1" t="str">
        <f t="shared" si="40"/>
        <v>Yes</v>
      </c>
      <c r="Y226" s="1"/>
    </row>
    <row r="227" spans="1:25" ht="14.25" customHeight="1">
      <c r="A227" s="1"/>
      <c r="B227" s="1">
        <v>209</v>
      </c>
      <c r="C227" s="1" t="s">
        <v>393</v>
      </c>
      <c r="D227" s="1" t="s">
        <v>297</v>
      </c>
      <c r="E227" s="1" t="s">
        <v>205</v>
      </c>
      <c r="F227" s="1" t="s">
        <v>148</v>
      </c>
      <c r="G227" s="1" t="s">
        <v>918</v>
      </c>
      <c r="H227" s="1" t="s">
        <v>24</v>
      </c>
      <c r="I227" s="1" t="s">
        <v>130</v>
      </c>
      <c r="J227" s="1" t="s">
        <v>156</v>
      </c>
      <c r="K227" s="1" t="s">
        <v>115</v>
      </c>
      <c r="L227" s="1"/>
      <c r="M227" s="1"/>
      <c r="N227" s="1" t="str">
        <f t="shared" si="33"/>
        <v>No</v>
      </c>
      <c r="O227" s="1">
        <f t="shared" si="34"/>
        <v>18</v>
      </c>
      <c r="P227" s="1">
        <f t="shared" si="35"/>
        <v>113</v>
      </c>
      <c r="Q227" s="1">
        <f t="shared" ref="Q227:S290" si="41">IF(E227="-","NA",E227*1)</f>
        <v>14</v>
      </c>
      <c r="R227" s="1">
        <f t="shared" si="41"/>
        <v>3</v>
      </c>
      <c r="S227" s="29">
        <f t="shared" si="41"/>
        <v>123.89</v>
      </c>
      <c r="T227" s="1" t="str">
        <f t="shared" si="36"/>
        <v>caught</v>
      </c>
      <c r="U227" s="1" t="str">
        <f t="shared" si="37"/>
        <v>1</v>
      </c>
      <c r="V227" s="1" t="str">
        <f t="shared" si="38"/>
        <v xml:space="preserve"> Pakistan</v>
      </c>
      <c r="W227" s="1" t="str">
        <f t="shared" si="39"/>
        <v>Manchester</v>
      </c>
      <c r="X227" s="1" t="str">
        <f t="shared" si="40"/>
        <v>Yes</v>
      </c>
      <c r="Y227" s="1"/>
    </row>
    <row r="228" spans="1:25" ht="14.25" customHeight="1">
      <c r="A228" s="1"/>
      <c r="B228" s="1">
        <v>210</v>
      </c>
      <c r="C228" s="1" t="s">
        <v>130</v>
      </c>
      <c r="D228" s="1" t="s">
        <v>167</v>
      </c>
      <c r="E228" s="1" t="s">
        <v>131</v>
      </c>
      <c r="F228" s="1" t="s">
        <v>131</v>
      </c>
      <c r="G228" s="1" t="s">
        <v>919</v>
      </c>
      <c r="H228" s="1" t="s">
        <v>29</v>
      </c>
      <c r="I228" s="1" t="s">
        <v>130</v>
      </c>
      <c r="J228" s="1" t="s">
        <v>358</v>
      </c>
      <c r="K228" s="1" t="s">
        <v>80</v>
      </c>
      <c r="L228" s="1"/>
      <c r="M228" s="1"/>
      <c r="N228" s="1" t="str">
        <f t="shared" si="33"/>
        <v>No</v>
      </c>
      <c r="O228" s="1">
        <f t="shared" si="34"/>
        <v>102</v>
      </c>
      <c r="P228" s="1">
        <f t="shared" si="35"/>
        <v>10</v>
      </c>
      <c r="Q228" s="1">
        <f t="shared" si="41"/>
        <v>0</v>
      </c>
      <c r="R228" s="1">
        <f t="shared" si="41"/>
        <v>0</v>
      </c>
      <c r="S228" s="29">
        <f t="shared" si="41"/>
        <v>10</v>
      </c>
      <c r="T228" s="1" t="str">
        <f t="shared" si="36"/>
        <v>bowled</v>
      </c>
      <c r="U228" s="1" t="str">
        <f t="shared" si="37"/>
        <v>1</v>
      </c>
      <c r="V228" s="1" t="str">
        <f t="shared" si="38"/>
        <v xml:space="preserve"> Afghanistan</v>
      </c>
      <c r="W228" s="1" t="str">
        <f t="shared" si="39"/>
        <v>Southampton</v>
      </c>
      <c r="X228" s="1" t="str">
        <f t="shared" si="40"/>
        <v>Yes</v>
      </c>
      <c r="Y228" s="1"/>
    </row>
    <row r="229" spans="1:25" ht="14.25" customHeight="1">
      <c r="A229" s="1"/>
      <c r="B229" s="1">
        <v>211</v>
      </c>
      <c r="C229" s="1" t="s">
        <v>199</v>
      </c>
      <c r="D229" s="1" t="s">
        <v>304</v>
      </c>
      <c r="E229" s="1" t="s">
        <v>130</v>
      </c>
      <c r="F229" s="1" t="s">
        <v>130</v>
      </c>
      <c r="G229" s="1" t="s">
        <v>802</v>
      </c>
      <c r="H229" s="1" t="s">
        <v>24</v>
      </c>
      <c r="I229" s="1" t="s">
        <v>130</v>
      </c>
      <c r="J229" s="1" t="s">
        <v>163</v>
      </c>
      <c r="K229" s="1" t="s">
        <v>115</v>
      </c>
      <c r="L229" s="1"/>
      <c r="M229" s="1"/>
      <c r="N229" s="1" t="str">
        <f t="shared" si="33"/>
        <v>No</v>
      </c>
      <c r="O229" s="1">
        <f t="shared" si="34"/>
        <v>104</v>
      </c>
      <c r="P229" s="1">
        <f t="shared" si="35"/>
        <v>23</v>
      </c>
      <c r="Q229" s="1">
        <f t="shared" si="41"/>
        <v>1</v>
      </c>
      <c r="R229" s="1">
        <f t="shared" si="41"/>
        <v>1</v>
      </c>
      <c r="S229" s="29">
        <f t="shared" si="41"/>
        <v>78.260000000000005</v>
      </c>
      <c r="T229" s="1" t="str">
        <f t="shared" si="36"/>
        <v>caught</v>
      </c>
      <c r="U229" s="1" t="str">
        <f t="shared" si="37"/>
        <v>1</v>
      </c>
      <c r="V229" s="1" t="str">
        <f t="shared" si="38"/>
        <v xml:space="preserve"> West Indies</v>
      </c>
      <c r="W229" s="1" t="str">
        <f t="shared" si="39"/>
        <v>Manchester</v>
      </c>
      <c r="X229" s="1" t="str">
        <f t="shared" si="40"/>
        <v>Yes</v>
      </c>
      <c r="Y229" s="1"/>
    </row>
    <row r="230" spans="1:25" ht="14.25" customHeight="1">
      <c r="A230" s="1"/>
      <c r="B230" s="1">
        <v>212</v>
      </c>
      <c r="C230" s="1" t="s">
        <v>180</v>
      </c>
      <c r="D230" s="1" t="s">
        <v>882</v>
      </c>
      <c r="E230" s="1" t="s">
        <v>283</v>
      </c>
      <c r="F230" s="1" t="s">
        <v>131</v>
      </c>
      <c r="G230" s="1" t="s">
        <v>920</v>
      </c>
      <c r="H230" s="1" t="s">
        <v>24</v>
      </c>
      <c r="I230" s="1" t="s">
        <v>151</v>
      </c>
      <c r="J230" s="1" t="s">
        <v>234</v>
      </c>
      <c r="K230" s="1" t="s">
        <v>99</v>
      </c>
      <c r="L230" s="1"/>
      <c r="M230" s="1"/>
      <c r="N230" s="1" t="str">
        <f t="shared" si="33"/>
        <v>No</v>
      </c>
      <c r="O230" s="1">
        <f t="shared" si="34"/>
        <v>103</v>
      </c>
      <c r="P230" s="1">
        <f t="shared" si="35"/>
        <v>109</v>
      </c>
      <c r="Q230" s="1">
        <f t="shared" si="41"/>
        <v>15</v>
      </c>
      <c r="R230" s="1">
        <f t="shared" si="41"/>
        <v>0</v>
      </c>
      <c r="S230" s="29">
        <f t="shared" si="41"/>
        <v>93.57</v>
      </c>
      <c r="T230" s="1" t="str">
        <f t="shared" si="36"/>
        <v>caught</v>
      </c>
      <c r="U230" s="1" t="str">
        <f t="shared" si="37"/>
        <v>2</v>
      </c>
      <c r="V230" s="1" t="str">
        <f t="shared" si="38"/>
        <v xml:space="preserve"> England</v>
      </c>
      <c r="W230" s="1" t="str">
        <f t="shared" si="39"/>
        <v>Birmingham</v>
      </c>
      <c r="X230" s="1" t="str">
        <f t="shared" si="40"/>
        <v>Yes</v>
      </c>
      <c r="Y230" s="1"/>
    </row>
    <row r="231" spans="1:25" ht="14.25" customHeight="1">
      <c r="A231" s="1"/>
      <c r="B231" s="1">
        <v>213</v>
      </c>
      <c r="C231" s="1" t="s">
        <v>160</v>
      </c>
      <c r="D231" s="1" t="s">
        <v>197</v>
      </c>
      <c r="E231" s="1" t="s">
        <v>144</v>
      </c>
      <c r="F231" s="1" t="s">
        <v>202</v>
      </c>
      <c r="G231" s="1" t="s">
        <v>921</v>
      </c>
      <c r="H231" s="1" t="s">
        <v>24</v>
      </c>
      <c r="I231" s="1" t="s">
        <v>130</v>
      </c>
      <c r="J231" s="1" t="s">
        <v>182</v>
      </c>
      <c r="K231" s="1" t="s">
        <v>99</v>
      </c>
      <c r="L231" s="1"/>
      <c r="M231" s="1"/>
      <c r="N231" s="1" t="str">
        <f t="shared" si="33"/>
        <v>No</v>
      </c>
      <c r="O231" s="1">
        <f t="shared" si="34"/>
        <v>1</v>
      </c>
      <c r="P231" s="1">
        <f t="shared" si="35"/>
        <v>92</v>
      </c>
      <c r="Q231" s="1">
        <f t="shared" si="41"/>
        <v>7</v>
      </c>
      <c r="R231" s="1">
        <f t="shared" si="41"/>
        <v>5</v>
      </c>
      <c r="S231" s="29">
        <f t="shared" si="41"/>
        <v>113.04</v>
      </c>
      <c r="T231" s="1" t="str">
        <f t="shared" si="36"/>
        <v>caught</v>
      </c>
      <c r="U231" s="1" t="str">
        <f t="shared" si="37"/>
        <v>1</v>
      </c>
      <c r="V231" s="1" t="str">
        <f t="shared" si="38"/>
        <v xml:space="preserve"> Bangladesh</v>
      </c>
      <c r="W231" s="1" t="str">
        <f t="shared" si="39"/>
        <v>Birmingham</v>
      </c>
      <c r="X231" s="1" t="str">
        <f t="shared" si="40"/>
        <v>Yes</v>
      </c>
      <c r="Y231" s="1"/>
    </row>
    <row r="232" spans="1:25" ht="14.25" customHeight="1">
      <c r="A232" s="1"/>
      <c r="B232" s="1">
        <v>214</v>
      </c>
      <c r="C232" s="1" t="s">
        <v>251</v>
      </c>
      <c r="D232" s="1" t="s">
        <v>253</v>
      </c>
      <c r="E232" s="1" t="s">
        <v>205</v>
      </c>
      <c r="F232" s="1" t="s">
        <v>151</v>
      </c>
      <c r="G232" s="1" t="s">
        <v>922</v>
      </c>
      <c r="H232" s="1" t="s">
        <v>24</v>
      </c>
      <c r="I232" s="1" t="s">
        <v>151</v>
      </c>
      <c r="J232" s="1" t="s">
        <v>133</v>
      </c>
      <c r="K232" s="1" t="s">
        <v>109</v>
      </c>
      <c r="L232" s="1"/>
      <c r="M232" s="1"/>
      <c r="N232" s="1" t="str">
        <f t="shared" si="33"/>
        <v>No</v>
      </c>
      <c r="O232" s="1" t="str">
        <f t="shared" si="34"/>
        <v>NA</v>
      </c>
      <c r="P232" s="1">
        <f t="shared" si="35"/>
        <v>94</v>
      </c>
      <c r="Q232" s="1">
        <f t="shared" si="41"/>
        <v>14</v>
      </c>
      <c r="R232" s="1">
        <f t="shared" si="41"/>
        <v>2</v>
      </c>
      <c r="S232" s="29">
        <f t="shared" si="41"/>
        <v>109.57</v>
      </c>
      <c r="T232" s="1" t="str">
        <f t="shared" si="36"/>
        <v>caught</v>
      </c>
      <c r="U232" s="1" t="str">
        <f t="shared" si="37"/>
        <v>2</v>
      </c>
      <c r="V232" s="1" t="str">
        <f t="shared" si="38"/>
        <v xml:space="preserve"> Sri Lanka</v>
      </c>
      <c r="W232" s="1" t="str">
        <f t="shared" si="39"/>
        <v>Leeds</v>
      </c>
      <c r="X232" s="1" t="str">
        <f t="shared" si="40"/>
        <v>Yes</v>
      </c>
      <c r="Y232" s="1"/>
    </row>
    <row r="233" spans="1:25" ht="14.25" customHeight="1">
      <c r="A233" s="1"/>
      <c r="B233" s="1">
        <v>215</v>
      </c>
      <c r="C233" s="1" t="s">
        <v>130</v>
      </c>
      <c r="D233" s="1" t="s">
        <v>140</v>
      </c>
      <c r="E233" s="1" t="s">
        <v>131</v>
      </c>
      <c r="F233" s="1" t="s">
        <v>131</v>
      </c>
      <c r="G233" s="1" t="s">
        <v>190</v>
      </c>
      <c r="H233" s="1" t="s">
        <v>24</v>
      </c>
      <c r="I233" s="1" t="s">
        <v>151</v>
      </c>
      <c r="J233" s="1" t="s">
        <v>211</v>
      </c>
      <c r="K233" s="1" t="s">
        <v>115</v>
      </c>
      <c r="L233" s="1"/>
      <c r="M233" s="1"/>
      <c r="N233" s="1" t="str">
        <f t="shared" si="33"/>
        <v>No</v>
      </c>
      <c r="O233" s="1">
        <f t="shared" si="34"/>
        <v>18</v>
      </c>
      <c r="P233" s="1">
        <f t="shared" si="35"/>
        <v>4</v>
      </c>
      <c r="Q233" s="1">
        <f t="shared" si="41"/>
        <v>0</v>
      </c>
      <c r="R233" s="1">
        <f t="shared" si="41"/>
        <v>0</v>
      </c>
      <c r="S233" s="29">
        <f t="shared" si="41"/>
        <v>25</v>
      </c>
      <c r="T233" s="1" t="str">
        <f t="shared" si="36"/>
        <v>caught</v>
      </c>
      <c r="U233" s="1" t="str">
        <f t="shared" si="37"/>
        <v>2</v>
      </c>
      <c r="V233" s="1" t="str">
        <f t="shared" si="38"/>
        <v xml:space="preserve"> New Zealand</v>
      </c>
      <c r="W233" s="1" t="str">
        <f t="shared" si="39"/>
        <v>Manchester</v>
      </c>
      <c r="X233" s="1" t="str">
        <f t="shared" si="40"/>
        <v>Yes</v>
      </c>
      <c r="Y233" s="1"/>
    </row>
    <row r="234" spans="1:25" ht="14.25" customHeight="1">
      <c r="A234" s="1"/>
      <c r="B234" s="1">
        <v>216</v>
      </c>
      <c r="C234" s="1" t="s">
        <v>38</v>
      </c>
      <c r="D234" s="1" t="s">
        <v>157</v>
      </c>
      <c r="E234" s="1" t="s">
        <v>157</v>
      </c>
      <c r="F234" s="1" t="s">
        <v>157</v>
      </c>
      <c r="G234" s="1" t="s">
        <v>157</v>
      </c>
      <c r="H234" s="1" t="s">
        <v>157</v>
      </c>
      <c r="I234" s="1" t="s">
        <v>157</v>
      </c>
      <c r="J234" s="1" t="s">
        <v>163</v>
      </c>
      <c r="K234" s="1" t="s">
        <v>116</v>
      </c>
      <c r="L234" s="1"/>
      <c r="M234" s="1"/>
      <c r="N234" s="1" t="str">
        <f t="shared" si="33"/>
        <v>Yes</v>
      </c>
      <c r="O234" s="1">
        <f t="shared" si="34"/>
        <v>10</v>
      </c>
      <c r="P234" s="1" t="str">
        <f t="shared" si="35"/>
        <v>NA</v>
      </c>
      <c r="Q234" s="1" t="str">
        <f t="shared" si="41"/>
        <v>NA</v>
      </c>
      <c r="R234" s="1" t="str">
        <f t="shared" si="41"/>
        <v>NA</v>
      </c>
      <c r="S234" s="29" t="str">
        <f t="shared" si="41"/>
        <v>NA</v>
      </c>
      <c r="T234" s="1" t="str">
        <f t="shared" si="36"/>
        <v>NA</v>
      </c>
      <c r="U234" s="1" t="str">
        <f t="shared" si="37"/>
        <v>-</v>
      </c>
      <c r="V234" s="1" t="str">
        <f t="shared" si="38"/>
        <v xml:space="preserve"> West Indies</v>
      </c>
      <c r="W234" s="1" t="str">
        <f t="shared" si="39"/>
        <v>Providence</v>
      </c>
      <c r="X234" s="1" t="str">
        <f t="shared" si="40"/>
        <v>No</v>
      </c>
      <c r="Y234" s="1"/>
    </row>
    <row r="235" spans="1:25" ht="14.25" customHeight="1">
      <c r="A235" s="1"/>
      <c r="B235" s="1">
        <v>217</v>
      </c>
      <c r="C235" s="1" t="s">
        <v>199</v>
      </c>
      <c r="D235" s="1" t="s">
        <v>208</v>
      </c>
      <c r="E235" s="1" t="s">
        <v>151</v>
      </c>
      <c r="F235" s="1" t="s">
        <v>131</v>
      </c>
      <c r="G235" s="1" t="s">
        <v>472</v>
      </c>
      <c r="H235" s="1" t="s">
        <v>24</v>
      </c>
      <c r="I235" s="1" t="s">
        <v>130</v>
      </c>
      <c r="J235" s="1" t="s">
        <v>163</v>
      </c>
      <c r="K235" s="1" t="s">
        <v>76</v>
      </c>
      <c r="L235" s="1"/>
      <c r="M235" s="1"/>
      <c r="N235" s="1" t="str">
        <f t="shared" si="33"/>
        <v>No</v>
      </c>
      <c r="O235" s="1">
        <f t="shared" si="34"/>
        <v>36</v>
      </c>
      <c r="P235" s="1">
        <f t="shared" si="35"/>
        <v>34</v>
      </c>
      <c r="Q235" s="1">
        <f t="shared" si="41"/>
        <v>2</v>
      </c>
      <c r="R235" s="1">
        <f t="shared" si="41"/>
        <v>0</v>
      </c>
      <c r="S235" s="29">
        <f t="shared" si="41"/>
        <v>52.94</v>
      </c>
      <c r="T235" s="1" t="str">
        <f t="shared" si="36"/>
        <v>caught</v>
      </c>
      <c r="U235" s="1" t="str">
        <f t="shared" si="37"/>
        <v>1</v>
      </c>
      <c r="V235" s="1" t="str">
        <f t="shared" si="38"/>
        <v xml:space="preserve"> West Indies</v>
      </c>
      <c r="W235" s="1" t="str">
        <f t="shared" si="39"/>
        <v>Port of Spain</v>
      </c>
      <c r="X235" s="1" t="str">
        <f t="shared" si="40"/>
        <v>Yes</v>
      </c>
      <c r="Y235" s="1"/>
    </row>
    <row r="236" spans="1:25" ht="14.25" customHeight="1">
      <c r="A236" s="1"/>
      <c r="B236" s="1">
        <v>218</v>
      </c>
      <c r="C236" s="1" t="s">
        <v>167</v>
      </c>
      <c r="D236" s="1" t="s">
        <v>136</v>
      </c>
      <c r="E236" s="1" t="s">
        <v>151</v>
      </c>
      <c r="F236" s="1" t="s">
        <v>131</v>
      </c>
      <c r="G236" s="1" t="s">
        <v>923</v>
      </c>
      <c r="H236" s="1" t="s">
        <v>26</v>
      </c>
      <c r="I236" s="1" t="s">
        <v>151</v>
      </c>
      <c r="J236" s="1" t="s">
        <v>163</v>
      </c>
      <c r="K236" s="1" t="s">
        <v>76</v>
      </c>
      <c r="L236" s="1"/>
      <c r="M236" s="1"/>
      <c r="N236" s="1" t="str">
        <f t="shared" si="33"/>
        <v>No</v>
      </c>
      <c r="O236" s="1">
        <f t="shared" si="34"/>
        <v>159</v>
      </c>
      <c r="P236" s="1">
        <f t="shared" si="35"/>
        <v>6</v>
      </c>
      <c r="Q236" s="1">
        <f t="shared" si="41"/>
        <v>2</v>
      </c>
      <c r="R236" s="1">
        <f t="shared" si="41"/>
        <v>0</v>
      </c>
      <c r="S236" s="29">
        <f t="shared" si="41"/>
        <v>166.66</v>
      </c>
      <c r="T236" s="1" t="str">
        <f t="shared" si="36"/>
        <v>run out</v>
      </c>
      <c r="U236" s="1" t="str">
        <f t="shared" si="37"/>
        <v>2</v>
      </c>
      <c r="V236" s="1" t="str">
        <f t="shared" si="38"/>
        <v xml:space="preserve"> West Indies</v>
      </c>
      <c r="W236" s="1" t="str">
        <f t="shared" si="39"/>
        <v>Port of Spain</v>
      </c>
      <c r="X236" s="1" t="str">
        <f t="shared" si="40"/>
        <v>Yes</v>
      </c>
      <c r="Y236" s="1"/>
    </row>
    <row r="237" spans="1:25" ht="14.25" customHeight="1">
      <c r="A237" s="1"/>
      <c r="B237" s="1">
        <v>219</v>
      </c>
      <c r="C237" s="1" t="s">
        <v>258</v>
      </c>
      <c r="D237" s="1" t="s">
        <v>452</v>
      </c>
      <c r="E237" s="1" t="s">
        <v>136</v>
      </c>
      <c r="F237" s="1" t="s">
        <v>131</v>
      </c>
      <c r="G237" s="1" t="s">
        <v>282</v>
      </c>
      <c r="H237" s="1" t="s">
        <v>24</v>
      </c>
      <c r="I237" s="1" t="s">
        <v>130</v>
      </c>
      <c r="J237" s="1" t="s">
        <v>163</v>
      </c>
      <c r="K237" s="1" t="s">
        <v>68</v>
      </c>
      <c r="L237" s="1"/>
      <c r="M237" s="1"/>
      <c r="N237" s="1" t="str">
        <f t="shared" si="33"/>
        <v>No</v>
      </c>
      <c r="O237" s="1">
        <f t="shared" si="34"/>
        <v>63</v>
      </c>
      <c r="P237" s="1">
        <f t="shared" si="35"/>
        <v>56</v>
      </c>
      <c r="Q237" s="1">
        <f t="shared" si="41"/>
        <v>6</v>
      </c>
      <c r="R237" s="1">
        <f t="shared" si="41"/>
        <v>0</v>
      </c>
      <c r="S237" s="29">
        <f t="shared" si="41"/>
        <v>64.28</v>
      </c>
      <c r="T237" s="1" t="str">
        <f t="shared" si="36"/>
        <v>caught</v>
      </c>
      <c r="U237" s="1" t="str">
        <f t="shared" si="37"/>
        <v>1</v>
      </c>
      <c r="V237" s="1" t="str">
        <f t="shared" si="38"/>
        <v xml:space="preserve"> West Indies</v>
      </c>
      <c r="W237" s="1" t="str">
        <f t="shared" si="39"/>
        <v>Chennai</v>
      </c>
      <c r="X237" s="1" t="str">
        <f t="shared" si="40"/>
        <v>Yes</v>
      </c>
      <c r="Y237" s="1"/>
    </row>
    <row r="238" spans="1:25" ht="14.25" customHeight="1">
      <c r="A238" s="1"/>
      <c r="B238" s="1">
        <v>220</v>
      </c>
      <c r="C238" s="1" t="s">
        <v>445</v>
      </c>
      <c r="D238" s="1" t="s">
        <v>392</v>
      </c>
      <c r="E238" s="1" t="s">
        <v>306</v>
      </c>
      <c r="F238" s="1" t="s">
        <v>202</v>
      </c>
      <c r="G238" s="1" t="s">
        <v>398</v>
      </c>
      <c r="H238" s="1" t="s">
        <v>24</v>
      </c>
      <c r="I238" s="1" t="s">
        <v>130</v>
      </c>
      <c r="J238" s="1" t="s">
        <v>163</v>
      </c>
      <c r="K238" s="1" t="s">
        <v>65</v>
      </c>
      <c r="L238" s="1"/>
      <c r="M238" s="1"/>
      <c r="N238" s="1" t="str">
        <f t="shared" si="33"/>
        <v>No</v>
      </c>
      <c r="O238" s="1">
        <f t="shared" si="34"/>
        <v>10</v>
      </c>
      <c r="P238" s="1">
        <f t="shared" si="35"/>
        <v>138</v>
      </c>
      <c r="Q238" s="1">
        <f t="shared" si="41"/>
        <v>17</v>
      </c>
      <c r="R238" s="1">
        <f t="shared" si="41"/>
        <v>5</v>
      </c>
      <c r="S238" s="29">
        <f t="shared" si="41"/>
        <v>115.21</v>
      </c>
      <c r="T238" s="1" t="str">
        <f t="shared" si="36"/>
        <v>caught</v>
      </c>
      <c r="U238" s="1" t="str">
        <f t="shared" si="37"/>
        <v>1</v>
      </c>
      <c r="V238" s="1" t="str">
        <f t="shared" si="38"/>
        <v xml:space="preserve"> West Indies</v>
      </c>
      <c r="W238" s="1" t="str">
        <f t="shared" si="39"/>
        <v>Visakhapatnam</v>
      </c>
      <c r="X238" s="1" t="str">
        <f t="shared" si="40"/>
        <v>Yes</v>
      </c>
      <c r="Y238" s="1"/>
    </row>
    <row r="239" spans="1:25" ht="14.25" customHeight="1">
      <c r="A239" s="1"/>
      <c r="B239" s="1">
        <v>221</v>
      </c>
      <c r="C239" s="1" t="s">
        <v>262</v>
      </c>
      <c r="D239" s="1" t="s">
        <v>262</v>
      </c>
      <c r="E239" s="1" t="s">
        <v>189</v>
      </c>
      <c r="F239" s="1" t="s">
        <v>130</v>
      </c>
      <c r="G239" s="1" t="s">
        <v>152</v>
      </c>
      <c r="H239" s="1" t="s">
        <v>24</v>
      </c>
      <c r="I239" s="1" t="s">
        <v>151</v>
      </c>
      <c r="J239" s="1" t="s">
        <v>163</v>
      </c>
      <c r="K239" s="1" t="s">
        <v>86</v>
      </c>
      <c r="L239" s="1"/>
      <c r="M239" s="1"/>
      <c r="N239" s="1" t="str">
        <f t="shared" si="33"/>
        <v>No</v>
      </c>
      <c r="O239" s="1">
        <f t="shared" si="34"/>
        <v>42</v>
      </c>
      <c r="P239" s="1">
        <f t="shared" si="35"/>
        <v>63</v>
      </c>
      <c r="Q239" s="1">
        <f t="shared" si="41"/>
        <v>8</v>
      </c>
      <c r="R239" s="1">
        <f t="shared" si="41"/>
        <v>1</v>
      </c>
      <c r="S239" s="29">
        <f t="shared" si="41"/>
        <v>100</v>
      </c>
      <c r="T239" s="1" t="str">
        <f t="shared" si="36"/>
        <v>caught</v>
      </c>
      <c r="U239" s="1" t="str">
        <f t="shared" si="37"/>
        <v>2</v>
      </c>
      <c r="V239" s="1" t="str">
        <f t="shared" si="38"/>
        <v xml:space="preserve"> West Indies</v>
      </c>
      <c r="W239" s="1" t="str">
        <f t="shared" si="39"/>
        <v>Cuttack</v>
      </c>
      <c r="X239" s="1" t="str">
        <f t="shared" si="40"/>
        <v>Yes</v>
      </c>
      <c r="Y239" s="1"/>
    </row>
    <row r="240" spans="1:25" ht="14.25" customHeight="1">
      <c r="A240" s="1"/>
      <c r="B240" s="1">
        <v>222</v>
      </c>
      <c r="C240" s="1" t="s">
        <v>167</v>
      </c>
      <c r="D240" s="1" t="s">
        <v>283</v>
      </c>
      <c r="E240" s="1" t="s">
        <v>151</v>
      </c>
      <c r="F240" s="1" t="s">
        <v>131</v>
      </c>
      <c r="G240" s="1" t="s">
        <v>155</v>
      </c>
      <c r="H240" s="1" t="s">
        <v>24</v>
      </c>
      <c r="I240" s="1" t="s">
        <v>130</v>
      </c>
      <c r="J240" s="1" t="s">
        <v>158</v>
      </c>
      <c r="K240" s="1" t="s">
        <v>75</v>
      </c>
      <c r="L240" s="1"/>
      <c r="M240" s="1"/>
      <c r="N240" s="1" t="str">
        <f t="shared" si="33"/>
        <v>No</v>
      </c>
      <c r="O240" s="1">
        <f t="shared" si="34"/>
        <v>119</v>
      </c>
      <c r="P240" s="1">
        <f t="shared" si="35"/>
        <v>15</v>
      </c>
      <c r="Q240" s="1">
        <f t="shared" si="41"/>
        <v>2</v>
      </c>
      <c r="R240" s="1">
        <f t="shared" si="41"/>
        <v>0</v>
      </c>
      <c r="S240" s="29">
        <f t="shared" si="41"/>
        <v>66.66</v>
      </c>
      <c r="T240" s="1" t="str">
        <f t="shared" si="36"/>
        <v>caught</v>
      </c>
      <c r="U240" s="1" t="str">
        <f t="shared" si="37"/>
        <v>1</v>
      </c>
      <c r="V240" s="1" t="str">
        <f t="shared" si="38"/>
        <v xml:space="preserve"> Australia</v>
      </c>
      <c r="W240" s="1" t="str">
        <f t="shared" si="39"/>
        <v>Wankhede</v>
      </c>
      <c r="X240" s="1" t="str">
        <f t="shared" si="40"/>
        <v>Yes</v>
      </c>
      <c r="Y240" s="1"/>
    </row>
    <row r="241" spans="1:25" ht="14.25" customHeight="1">
      <c r="A241" s="1"/>
      <c r="B241" s="1">
        <v>223</v>
      </c>
      <c r="C241" s="1" t="s">
        <v>386</v>
      </c>
      <c r="D241" s="1" t="s">
        <v>369</v>
      </c>
      <c r="E241" s="1" t="s">
        <v>136</v>
      </c>
      <c r="F241" s="1" t="s">
        <v>131</v>
      </c>
      <c r="G241" s="1" t="s">
        <v>924</v>
      </c>
      <c r="H241" s="1" t="s">
        <v>19</v>
      </c>
      <c r="I241" s="1" t="s">
        <v>130</v>
      </c>
      <c r="J241" s="1" t="s">
        <v>158</v>
      </c>
      <c r="K241" s="1" t="s">
        <v>48</v>
      </c>
      <c r="L241" s="1"/>
      <c r="M241" s="1"/>
      <c r="N241" s="1" t="str">
        <f t="shared" si="33"/>
        <v>No</v>
      </c>
      <c r="O241" s="1">
        <f t="shared" si="34"/>
        <v>28</v>
      </c>
      <c r="P241" s="1">
        <f t="shared" si="35"/>
        <v>44</v>
      </c>
      <c r="Q241" s="1">
        <f t="shared" si="41"/>
        <v>6</v>
      </c>
      <c r="R241" s="1">
        <f t="shared" si="41"/>
        <v>0</v>
      </c>
      <c r="S241" s="29">
        <f t="shared" si="41"/>
        <v>95.45</v>
      </c>
      <c r="T241" s="1" t="str">
        <f t="shared" si="36"/>
        <v>lbw</v>
      </c>
      <c r="U241" s="1" t="str">
        <f t="shared" si="37"/>
        <v>1</v>
      </c>
      <c r="V241" s="1" t="str">
        <f t="shared" si="38"/>
        <v xml:space="preserve"> Australia</v>
      </c>
      <c r="W241" s="1" t="str">
        <f t="shared" si="39"/>
        <v>Rajkot</v>
      </c>
      <c r="X241" s="1" t="str">
        <f t="shared" si="40"/>
        <v>Yes</v>
      </c>
      <c r="Y241" s="1"/>
    </row>
    <row r="242" spans="1:25" ht="14.25" customHeight="1">
      <c r="A242" s="1"/>
      <c r="B242" s="1">
        <v>224</v>
      </c>
      <c r="C242" s="1" t="s">
        <v>302</v>
      </c>
      <c r="D242" s="1" t="s">
        <v>925</v>
      </c>
      <c r="E242" s="1" t="s">
        <v>189</v>
      </c>
      <c r="F242" s="1" t="s">
        <v>136</v>
      </c>
      <c r="G242" s="1" t="s">
        <v>926</v>
      </c>
      <c r="H242" s="1" t="s">
        <v>24</v>
      </c>
      <c r="I242" s="1" t="s">
        <v>151</v>
      </c>
      <c r="J242" s="1" t="s">
        <v>158</v>
      </c>
      <c r="K242" s="1" t="s">
        <v>67</v>
      </c>
      <c r="L242" s="1"/>
      <c r="M242" s="1"/>
      <c r="N242" s="1" t="str">
        <f t="shared" si="33"/>
        <v>No</v>
      </c>
      <c r="O242" s="1">
        <f t="shared" si="34"/>
        <v>25</v>
      </c>
      <c r="P242" s="1">
        <f t="shared" si="35"/>
        <v>128</v>
      </c>
      <c r="Q242" s="1">
        <f t="shared" si="41"/>
        <v>8</v>
      </c>
      <c r="R242" s="1">
        <f t="shared" si="41"/>
        <v>6</v>
      </c>
      <c r="S242" s="29">
        <f t="shared" si="41"/>
        <v>92.96</v>
      </c>
      <c r="T242" s="1" t="str">
        <f t="shared" si="36"/>
        <v>caught</v>
      </c>
      <c r="U242" s="1" t="str">
        <f t="shared" si="37"/>
        <v>2</v>
      </c>
      <c r="V242" s="1" t="str">
        <f t="shared" si="38"/>
        <v xml:space="preserve"> Australia</v>
      </c>
      <c r="W242" s="1" t="str">
        <f t="shared" si="39"/>
        <v>Bengaluru</v>
      </c>
      <c r="X242" s="1" t="str">
        <f t="shared" si="40"/>
        <v>Yes</v>
      </c>
      <c r="Y242" s="1"/>
    </row>
    <row r="243" spans="1:25" ht="14.25" customHeight="1">
      <c r="A243" s="1"/>
      <c r="B243" s="1">
        <v>225</v>
      </c>
      <c r="C243" s="1" t="s">
        <v>207</v>
      </c>
      <c r="D243" s="1" t="s">
        <v>386</v>
      </c>
      <c r="E243" s="1" t="s">
        <v>140</v>
      </c>
      <c r="F243" s="1" t="s">
        <v>131</v>
      </c>
      <c r="G243" s="1" t="s">
        <v>155</v>
      </c>
      <c r="H243" s="1" t="s">
        <v>24</v>
      </c>
      <c r="I243" s="1" t="s">
        <v>130</v>
      </c>
      <c r="J243" s="1" t="s">
        <v>234</v>
      </c>
      <c r="K243" s="1" t="s">
        <v>100</v>
      </c>
      <c r="L243" s="1"/>
      <c r="M243" s="1"/>
      <c r="N243" s="1" t="str">
        <f t="shared" si="33"/>
        <v>No</v>
      </c>
      <c r="O243" s="1">
        <f t="shared" si="34"/>
        <v>37</v>
      </c>
      <c r="P243" s="1">
        <f t="shared" si="35"/>
        <v>42</v>
      </c>
      <c r="Q243" s="1">
        <f t="shared" si="41"/>
        <v>4</v>
      </c>
      <c r="R243" s="1">
        <f t="shared" si="41"/>
        <v>0</v>
      </c>
      <c r="S243" s="29">
        <f t="shared" si="41"/>
        <v>66.66</v>
      </c>
      <c r="T243" s="1" t="str">
        <f t="shared" si="36"/>
        <v>caught</v>
      </c>
      <c r="U243" s="1" t="str">
        <f t="shared" si="37"/>
        <v>1</v>
      </c>
      <c r="V243" s="1" t="str">
        <f t="shared" si="38"/>
        <v xml:space="preserve"> England</v>
      </c>
      <c r="W243" s="1" t="str">
        <f t="shared" si="39"/>
        <v>Pune</v>
      </c>
      <c r="X243" s="1" t="str">
        <f t="shared" si="40"/>
        <v>Yes</v>
      </c>
      <c r="Y243" s="1"/>
    </row>
    <row r="244" spans="1:25" ht="14.25" customHeight="1">
      <c r="A244" s="1"/>
      <c r="B244" s="1">
        <v>226</v>
      </c>
      <c r="C244" s="1" t="s">
        <v>138</v>
      </c>
      <c r="D244" s="1" t="s">
        <v>138</v>
      </c>
      <c r="E244" s="1" t="s">
        <v>202</v>
      </c>
      <c r="F244" s="1" t="s">
        <v>131</v>
      </c>
      <c r="G244" s="1" t="s">
        <v>152</v>
      </c>
      <c r="H244" s="1" t="s">
        <v>24</v>
      </c>
      <c r="I244" s="1" t="s">
        <v>130</v>
      </c>
      <c r="J244" s="1" t="s">
        <v>234</v>
      </c>
      <c r="K244" s="1" t="s">
        <v>100</v>
      </c>
      <c r="L244" s="1"/>
      <c r="M244" s="1"/>
      <c r="N244" s="1" t="str">
        <f t="shared" si="33"/>
        <v>No</v>
      </c>
      <c r="O244" s="1">
        <f t="shared" si="34"/>
        <v>60</v>
      </c>
      <c r="P244" s="1">
        <f t="shared" si="35"/>
        <v>25</v>
      </c>
      <c r="Q244" s="1">
        <f t="shared" si="41"/>
        <v>5</v>
      </c>
      <c r="R244" s="1">
        <f t="shared" si="41"/>
        <v>0</v>
      </c>
      <c r="S244" s="29">
        <f t="shared" si="41"/>
        <v>100</v>
      </c>
      <c r="T244" s="1" t="str">
        <f t="shared" si="36"/>
        <v>caught</v>
      </c>
      <c r="U244" s="1" t="str">
        <f t="shared" si="37"/>
        <v>1</v>
      </c>
      <c r="V244" s="1" t="str">
        <f t="shared" si="38"/>
        <v xml:space="preserve"> England</v>
      </c>
      <c r="W244" s="1" t="str">
        <f t="shared" si="39"/>
        <v>Pune</v>
      </c>
      <c r="X244" s="1" t="str">
        <f t="shared" si="40"/>
        <v>Yes</v>
      </c>
      <c r="Y244" s="1"/>
    </row>
    <row r="245" spans="1:25" ht="14.25" customHeight="1">
      <c r="A245" s="1"/>
      <c r="B245" s="1">
        <v>227</v>
      </c>
      <c r="C245" s="1" t="s">
        <v>134</v>
      </c>
      <c r="D245" s="1" t="s">
        <v>134</v>
      </c>
      <c r="E245" s="1" t="s">
        <v>136</v>
      </c>
      <c r="F245" s="1" t="s">
        <v>131</v>
      </c>
      <c r="G245" s="1" t="s">
        <v>152</v>
      </c>
      <c r="H245" s="1" t="s">
        <v>29</v>
      </c>
      <c r="I245" s="1" t="s">
        <v>130</v>
      </c>
      <c r="J245" s="1" t="s">
        <v>234</v>
      </c>
      <c r="K245" s="1" t="s">
        <v>100</v>
      </c>
      <c r="L245" s="1"/>
      <c r="M245" s="1"/>
      <c r="N245" s="1" t="str">
        <f t="shared" si="33"/>
        <v>No</v>
      </c>
      <c r="O245" s="1">
        <f t="shared" si="34"/>
        <v>5</v>
      </c>
      <c r="P245" s="1">
        <f t="shared" si="35"/>
        <v>37</v>
      </c>
      <c r="Q245" s="1">
        <f t="shared" si="41"/>
        <v>6</v>
      </c>
      <c r="R245" s="1">
        <f t="shared" si="41"/>
        <v>0</v>
      </c>
      <c r="S245" s="29">
        <f t="shared" si="41"/>
        <v>100</v>
      </c>
      <c r="T245" s="1" t="str">
        <f t="shared" si="36"/>
        <v>bowled</v>
      </c>
      <c r="U245" s="1" t="str">
        <f t="shared" si="37"/>
        <v>1</v>
      </c>
      <c r="V245" s="1" t="str">
        <f t="shared" si="38"/>
        <v xml:space="preserve"> England</v>
      </c>
      <c r="W245" s="1" t="str">
        <f t="shared" si="39"/>
        <v>Pune</v>
      </c>
      <c r="X245" s="1" t="str">
        <f t="shared" si="40"/>
        <v>Yes</v>
      </c>
      <c r="Y245" s="1"/>
    </row>
    <row r="246" spans="1:25" ht="14.25" customHeight="1">
      <c r="A246" s="1"/>
      <c r="B246" s="1">
        <v>228</v>
      </c>
      <c r="C246" s="1" t="s">
        <v>380</v>
      </c>
      <c r="D246" s="1" t="s">
        <v>356</v>
      </c>
      <c r="E246" s="1" t="s">
        <v>167</v>
      </c>
      <c r="F246" s="1" t="s">
        <v>130</v>
      </c>
      <c r="G246" s="1" t="s">
        <v>927</v>
      </c>
      <c r="H246" s="1" t="s">
        <v>19</v>
      </c>
      <c r="I246" s="1" t="s">
        <v>151</v>
      </c>
      <c r="J246" s="1" t="s">
        <v>163</v>
      </c>
      <c r="K246" s="1" t="s">
        <v>59</v>
      </c>
      <c r="L246" s="1"/>
      <c r="M246" s="1"/>
      <c r="N246" s="1" t="str">
        <f t="shared" si="33"/>
        <v>No</v>
      </c>
      <c r="O246" s="1">
        <f t="shared" si="34"/>
        <v>13</v>
      </c>
      <c r="P246" s="1">
        <f t="shared" si="35"/>
        <v>51</v>
      </c>
      <c r="Q246" s="1">
        <f t="shared" si="41"/>
        <v>10</v>
      </c>
      <c r="R246" s="1">
        <f t="shared" si="41"/>
        <v>1</v>
      </c>
      <c r="S246" s="29">
        <f t="shared" si="41"/>
        <v>117.64</v>
      </c>
      <c r="T246" s="1" t="str">
        <f t="shared" si="36"/>
        <v>lbw</v>
      </c>
      <c r="U246" s="1" t="str">
        <f t="shared" si="37"/>
        <v>2</v>
      </c>
      <c r="V246" s="1" t="str">
        <f t="shared" si="38"/>
        <v xml:space="preserve"> West Indies</v>
      </c>
      <c r="W246" s="1" t="str">
        <f t="shared" si="39"/>
        <v>Ahmedabad</v>
      </c>
      <c r="X246" s="1" t="str">
        <f t="shared" si="40"/>
        <v>Yes</v>
      </c>
      <c r="Y246" s="1"/>
    </row>
    <row r="247" spans="1:25" ht="14.25" customHeight="1">
      <c r="A247" s="1"/>
      <c r="B247" s="1">
        <v>229</v>
      </c>
      <c r="C247" s="1" t="s">
        <v>202</v>
      </c>
      <c r="D247" s="1" t="s">
        <v>189</v>
      </c>
      <c r="E247" s="1" t="s">
        <v>131</v>
      </c>
      <c r="F247" s="1" t="s">
        <v>131</v>
      </c>
      <c r="G247" s="1" t="s">
        <v>168</v>
      </c>
      <c r="H247" s="1" t="s">
        <v>24</v>
      </c>
      <c r="I247" s="1" t="s">
        <v>130</v>
      </c>
      <c r="J247" s="1" t="s">
        <v>163</v>
      </c>
      <c r="K247" s="1" t="s">
        <v>59</v>
      </c>
      <c r="L247" s="1"/>
      <c r="M247" s="1"/>
      <c r="N247" s="1" t="str">
        <f t="shared" si="33"/>
        <v>No</v>
      </c>
      <c r="O247" s="1">
        <f t="shared" si="34"/>
        <v>76</v>
      </c>
      <c r="P247" s="1">
        <f t="shared" si="35"/>
        <v>8</v>
      </c>
      <c r="Q247" s="1">
        <f t="shared" si="41"/>
        <v>0</v>
      </c>
      <c r="R247" s="1">
        <f t="shared" si="41"/>
        <v>0</v>
      </c>
      <c r="S247" s="29">
        <f t="shared" si="41"/>
        <v>62.5</v>
      </c>
      <c r="T247" s="1" t="str">
        <f t="shared" si="36"/>
        <v>caught</v>
      </c>
      <c r="U247" s="1" t="str">
        <f t="shared" si="37"/>
        <v>1</v>
      </c>
      <c r="V247" s="1" t="str">
        <f t="shared" si="38"/>
        <v xml:space="preserve"> West Indies</v>
      </c>
      <c r="W247" s="1" t="str">
        <f t="shared" si="39"/>
        <v>Ahmedabad</v>
      </c>
      <c r="X247" s="1" t="str">
        <f t="shared" si="40"/>
        <v>Yes</v>
      </c>
      <c r="Y247" s="1"/>
    </row>
    <row r="248" spans="1:25" ht="14.25" customHeight="1">
      <c r="A248" s="1"/>
      <c r="B248" s="1">
        <v>230</v>
      </c>
      <c r="C248" s="1" t="s">
        <v>325</v>
      </c>
      <c r="D248" s="1" t="s">
        <v>283</v>
      </c>
      <c r="E248" s="1" t="s">
        <v>148</v>
      </c>
      <c r="F248" s="1" t="s">
        <v>131</v>
      </c>
      <c r="G248" s="1" t="s">
        <v>641</v>
      </c>
      <c r="H248" s="1" t="s">
        <v>29</v>
      </c>
      <c r="I248" s="1" t="s">
        <v>130</v>
      </c>
      <c r="J248" s="1" t="s">
        <v>163</v>
      </c>
      <c r="K248" s="1" t="s">
        <v>59</v>
      </c>
      <c r="L248" s="1"/>
      <c r="M248" s="1"/>
      <c r="N248" s="1" t="str">
        <f t="shared" si="33"/>
        <v>No</v>
      </c>
      <c r="O248" s="1">
        <f t="shared" si="34"/>
        <v>0</v>
      </c>
      <c r="P248" s="1">
        <f t="shared" si="35"/>
        <v>15</v>
      </c>
      <c r="Q248" s="1">
        <f t="shared" si="41"/>
        <v>3</v>
      </c>
      <c r="R248" s="1">
        <f t="shared" si="41"/>
        <v>0</v>
      </c>
      <c r="S248" s="29">
        <f t="shared" si="41"/>
        <v>86.66</v>
      </c>
      <c r="T248" s="1" t="str">
        <f t="shared" si="36"/>
        <v>bowled</v>
      </c>
      <c r="U248" s="1" t="str">
        <f t="shared" si="37"/>
        <v>1</v>
      </c>
      <c r="V248" s="1" t="str">
        <f t="shared" si="38"/>
        <v xml:space="preserve"> West Indies</v>
      </c>
      <c r="W248" s="1" t="str">
        <f t="shared" si="39"/>
        <v>Ahmedabad</v>
      </c>
      <c r="X248" s="1" t="str">
        <f t="shared" si="40"/>
        <v>Yes</v>
      </c>
      <c r="Y248" s="1"/>
    </row>
    <row r="249" spans="1:25" ht="14.25" customHeight="1">
      <c r="A249" s="1"/>
      <c r="B249" s="1">
        <v>231</v>
      </c>
      <c r="C249" s="1" t="s">
        <v>412</v>
      </c>
      <c r="D249" s="1" t="s">
        <v>582</v>
      </c>
      <c r="E249" s="1" t="s">
        <v>144</v>
      </c>
      <c r="F249" s="1" t="s">
        <v>202</v>
      </c>
      <c r="G249" s="1" t="s">
        <v>928</v>
      </c>
      <c r="H249" s="1" t="s">
        <v>32</v>
      </c>
      <c r="I249" s="1" t="s">
        <v>151</v>
      </c>
      <c r="J249" s="1" t="s">
        <v>234</v>
      </c>
      <c r="K249" s="1" t="s">
        <v>81</v>
      </c>
      <c r="L249" s="1"/>
      <c r="M249" s="1"/>
      <c r="N249" s="1" t="str">
        <f t="shared" si="33"/>
        <v>No</v>
      </c>
      <c r="O249" s="1">
        <f t="shared" si="34"/>
        <v>17</v>
      </c>
      <c r="P249" s="1">
        <f t="shared" si="35"/>
        <v>58</v>
      </c>
      <c r="Q249" s="1">
        <f t="shared" si="41"/>
        <v>7</v>
      </c>
      <c r="R249" s="1">
        <f t="shared" si="41"/>
        <v>5</v>
      </c>
      <c r="S249" s="29">
        <f t="shared" si="41"/>
        <v>131.03</v>
      </c>
      <c r="T249" s="1" t="str">
        <f t="shared" si="36"/>
        <v>not out</v>
      </c>
      <c r="U249" s="1" t="str">
        <f t="shared" si="37"/>
        <v>2</v>
      </c>
      <c r="V249" s="1" t="str">
        <f t="shared" si="38"/>
        <v xml:space="preserve"> England</v>
      </c>
      <c r="W249" s="1" t="str">
        <f t="shared" si="39"/>
        <v>The Oval</v>
      </c>
      <c r="X249" s="1" t="str">
        <f t="shared" si="40"/>
        <v>No</v>
      </c>
      <c r="Y249" s="1"/>
    </row>
    <row r="250" spans="1:25" ht="14.25" customHeight="1">
      <c r="A250" s="1"/>
      <c r="B250" s="1">
        <v>232</v>
      </c>
      <c r="C250" s="1" t="s">
        <v>131</v>
      </c>
      <c r="D250" s="1" t="s">
        <v>167</v>
      </c>
      <c r="E250" s="1" t="s">
        <v>131</v>
      </c>
      <c r="F250" s="1" t="s">
        <v>131</v>
      </c>
      <c r="G250" s="1" t="s">
        <v>210</v>
      </c>
      <c r="H250" s="1" t="s">
        <v>19</v>
      </c>
      <c r="I250" s="1" t="s">
        <v>151</v>
      </c>
      <c r="J250" s="1" t="s">
        <v>234</v>
      </c>
      <c r="K250" s="1" t="s">
        <v>82</v>
      </c>
      <c r="L250" s="1"/>
      <c r="M250" s="1"/>
      <c r="N250" s="1" t="str">
        <f t="shared" si="33"/>
        <v>No</v>
      </c>
      <c r="O250" s="1">
        <f t="shared" si="34"/>
        <v>27</v>
      </c>
      <c r="P250" s="1">
        <f t="shared" si="35"/>
        <v>10</v>
      </c>
      <c r="Q250" s="1">
        <f t="shared" si="41"/>
        <v>0</v>
      </c>
      <c r="R250" s="1">
        <f t="shared" si="41"/>
        <v>0</v>
      </c>
      <c r="S250" s="29">
        <f t="shared" si="41"/>
        <v>0</v>
      </c>
      <c r="T250" s="1" t="str">
        <f t="shared" si="36"/>
        <v>lbw</v>
      </c>
      <c r="U250" s="1" t="str">
        <f t="shared" si="37"/>
        <v>2</v>
      </c>
      <c r="V250" s="1" t="str">
        <f t="shared" si="38"/>
        <v xml:space="preserve"> England</v>
      </c>
      <c r="W250" s="1" t="str">
        <f t="shared" si="39"/>
        <v>Lord's</v>
      </c>
      <c r="X250" s="1" t="str">
        <f t="shared" si="40"/>
        <v>Yes</v>
      </c>
      <c r="Y250" s="1"/>
    </row>
    <row r="251" spans="1:25" ht="14.25" customHeight="1">
      <c r="A251" s="1"/>
      <c r="B251" s="1">
        <v>233</v>
      </c>
      <c r="C251" s="1" t="s">
        <v>306</v>
      </c>
      <c r="D251" s="1" t="s">
        <v>306</v>
      </c>
      <c r="E251" s="1" t="s">
        <v>140</v>
      </c>
      <c r="F251" s="1" t="s">
        <v>131</v>
      </c>
      <c r="G251" s="1" t="s">
        <v>152</v>
      </c>
      <c r="H251" s="1" t="s">
        <v>24</v>
      </c>
      <c r="I251" s="1" t="s">
        <v>151</v>
      </c>
      <c r="J251" s="1" t="s">
        <v>234</v>
      </c>
      <c r="K251" s="1" t="s">
        <v>115</v>
      </c>
      <c r="L251" s="1"/>
      <c r="M251" s="1"/>
      <c r="N251" s="1" t="str">
        <f t="shared" si="33"/>
        <v>No</v>
      </c>
      <c r="O251" s="1">
        <f t="shared" si="34"/>
        <v>51</v>
      </c>
      <c r="P251" s="1">
        <f t="shared" si="35"/>
        <v>17</v>
      </c>
      <c r="Q251" s="1">
        <f t="shared" si="41"/>
        <v>4</v>
      </c>
      <c r="R251" s="1">
        <f t="shared" si="41"/>
        <v>0</v>
      </c>
      <c r="S251" s="29">
        <f t="shared" si="41"/>
        <v>100</v>
      </c>
      <c r="T251" s="1" t="str">
        <f t="shared" si="36"/>
        <v>caught</v>
      </c>
      <c r="U251" s="1" t="str">
        <f t="shared" si="37"/>
        <v>2</v>
      </c>
      <c r="V251" s="1" t="str">
        <f t="shared" si="38"/>
        <v xml:space="preserve"> England</v>
      </c>
      <c r="W251" s="1" t="str">
        <f t="shared" si="39"/>
        <v>Manchester</v>
      </c>
      <c r="X251" s="1" t="str">
        <f t="shared" si="40"/>
        <v>Yes</v>
      </c>
      <c r="Y251" s="1"/>
    </row>
    <row r="252" spans="1:25" ht="14.25" customHeight="1">
      <c r="A252" s="1"/>
      <c r="B252" s="1">
        <v>234</v>
      </c>
      <c r="C252" s="1" t="s">
        <v>169</v>
      </c>
      <c r="D252" s="1" t="s">
        <v>146</v>
      </c>
      <c r="E252" s="1" t="s">
        <v>140</v>
      </c>
      <c r="F252" s="1" t="s">
        <v>130</v>
      </c>
      <c r="G252" s="1" t="s">
        <v>929</v>
      </c>
      <c r="H252" s="1" t="s">
        <v>29</v>
      </c>
      <c r="I252" s="1" t="s">
        <v>130</v>
      </c>
      <c r="J252" s="1" t="s">
        <v>182</v>
      </c>
      <c r="K252" s="1" t="s">
        <v>53</v>
      </c>
      <c r="L252" s="1"/>
      <c r="M252" s="1"/>
      <c r="N252" s="1" t="str">
        <f t="shared" si="33"/>
        <v>No</v>
      </c>
      <c r="O252" s="1">
        <f t="shared" si="34"/>
        <v>83</v>
      </c>
      <c r="P252" s="1">
        <f t="shared" si="35"/>
        <v>31</v>
      </c>
      <c r="Q252" s="1">
        <f t="shared" si="41"/>
        <v>4</v>
      </c>
      <c r="R252" s="1">
        <f t="shared" si="41"/>
        <v>1</v>
      </c>
      <c r="S252" s="29">
        <f t="shared" si="41"/>
        <v>87.09</v>
      </c>
      <c r="T252" s="1" t="str">
        <f t="shared" si="36"/>
        <v>bowled</v>
      </c>
      <c r="U252" s="1" t="str">
        <f t="shared" si="37"/>
        <v>1</v>
      </c>
      <c r="V252" s="1" t="str">
        <f t="shared" si="38"/>
        <v xml:space="preserve"> Bangladesh</v>
      </c>
      <c r="W252" s="1" t="str">
        <f t="shared" si="39"/>
        <v>Mirpur</v>
      </c>
      <c r="X252" s="1" t="str">
        <f t="shared" si="40"/>
        <v>Yes</v>
      </c>
      <c r="Y252" s="1"/>
    </row>
    <row r="253" spans="1:25" ht="14.25" customHeight="1">
      <c r="A253" s="1"/>
      <c r="B253" s="1">
        <v>235</v>
      </c>
      <c r="C253" s="1" t="s">
        <v>735</v>
      </c>
      <c r="D253" s="1" t="s">
        <v>207</v>
      </c>
      <c r="E253" s="1" t="s">
        <v>148</v>
      </c>
      <c r="F253" s="1" t="s">
        <v>202</v>
      </c>
      <c r="G253" s="1" t="s">
        <v>930</v>
      </c>
      <c r="H253" s="1" t="s">
        <v>32</v>
      </c>
      <c r="I253" s="1" t="s">
        <v>151</v>
      </c>
      <c r="J253" s="1" t="s">
        <v>182</v>
      </c>
      <c r="K253" s="1" t="s">
        <v>53</v>
      </c>
      <c r="L253" s="1"/>
      <c r="M253" s="1"/>
      <c r="N253" s="1" t="str">
        <f t="shared" si="33"/>
        <v>No</v>
      </c>
      <c r="O253" s="1">
        <f t="shared" si="34"/>
        <v>17</v>
      </c>
      <c r="P253" s="1">
        <f t="shared" si="35"/>
        <v>28</v>
      </c>
      <c r="Q253" s="1">
        <f t="shared" si="41"/>
        <v>3</v>
      </c>
      <c r="R253" s="1">
        <f t="shared" si="41"/>
        <v>5</v>
      </c>
      <c r="S253" s="29">
        <f t="shared" si="41"/>
        <v>182.14</v>
      </c>
      <c r="T253" s="1" t="str">
        <f t="shared" si="36"/>
        <v>not out</v>
      </c>
      <c r="U253" s="1" t="str">
        <f t="shared" si="37"/>
        <v>2</v>
      </c>
      <c r="V253" s="1" t="str">
        <f t="shared" si="38"/>
        <v xml:space="preserve"> Bangladesh</v>
      </c>
      <c r="W253" s="1" t="str">
        <f t="shared" si="39"/>
        <v>Mirpur</v>
      </c>
      <c r="X253" s="1" t="str">
        <f t="shared" si="40"/>
        <v>No</v>
      </c>
      <c r="Y253" s="1"/>
    </row>
    <row r="254" spans="1:25" ht="14.25" customHeight="1">
      <c r="A254" s="1"/>
      <c r="B254" s="1">
        <v>236</v>
      </c>
      <c r="C254" s="1" t="s">
        <v>231</v>
      </c>
      <c r="D254" s="1" t="s">
        <v>135</v>
      </c>
      <c r="E254" s="1" t="s">
        <v>161</v>
      </c>
      <c r="F254" s="1" t="s">
        <v>148</v>
      </c>
      <c r="G254" s="1" t="s">
        <v>931</v>
      </c>
      <c r="H254" s="1" t="s">
        <v>29</v>
      </c>
      <c r="I254" s="1" t="s">
        <v>130</v>
      </c>
      <c r="J254" s="1" t="s">
        <v>133</v>
      </c>
      <c r="K254" s="1" t="s">
        <v>66</v>
      </c>
      <c r="L254" s="1"/>
      <c r="M254" s="1"/>
      <c r="N254" s="1" t="str">
        <f t="shared" si="33"/>
        <v>No</v>
      </c>
      <c r="O254" s="1">
        <f t="shared" si="34"/>
        <v>42</v>
      </c>
      <c r="P254" s="1">
        <f t="shared" si="35"/>
        <v>67</v>
      </c>
      <c r="Q254" s="1">
        <f t="shared" si="41"/>
        <v>9</v>
      </c>
      <c r="R254" s="1">
        <f t="shared" si="41"/>
        <v>3</v>
      </c>
      <c r="S254" s="29">
        <f t="shared" si="41"/>
        <v>123.88</v>
      </c>
      <c r="T254" s="1" t="str">
        <f t="shared" si="36"/>
        <v>bowled</v>
      </c>
      <c r="U254" s="1" t="str">
        <f t="shared" si="37"/>
        <v>1</v>
      </c>
      <c r="V254" s="1" t="str">
        <f t="shared" si="38"/>
        <v xml:space="preserve"> Sri Lanka</v>
      </c>
      <c r="W254" s="1" t="str">
        <f t="shared" si="39"/>
        <v>Guwahati</v>
      </c>
      <c r="X254" s="1" t="str">
        <f t="shared" si="40"/>
        <v>Yes</v>
      </c>
      <c r="Y254" s="1"/>
    </row>
    <row r="255" spans="1:25" ht="14.25" customHeight="1">
      <c r="A255" s="1"/>
      <c r="B255" s="1">
        <v>237</v>
      </c>
      <c r="C255" s="1" t="s">
        <v>306</v>
      </c>
      <c r="D255" s="1" t="s">
        <v>246</v>
      </c>
      <c r="E255" s="1" t="s">
        <v>151</v>
      </c>
      <c r="F255" s="1" t="s">
        <v>130</v>
      </c>
      <c r="G255" s="1" t="s">
        <v>488</v>
      </c>
      <c r="H255" s="1" t="s">
        <v>24</v>
      </c>
      <c r="I255" s="1" t="s">
        <v>151</v>
      </c>
      <c r="J255" s="1" t="s">
        <v>133</v>
      </c>
      <c r="K255" s="1" t="s">
        <v>51</v>
      </c>
      <c r="L255" s="1"/>
      <c r="M255" s="1"/>
      <c r="N255" s="1" t="str">
        <f t="shared" si="33"/>
        <v>No</v>
      </c>
      <c r="O255" s="1">
        <f t="shared" si="34"/>
        <v>34</v>
      </c>
      <c r="P255" s="1">
        <f t="shared" si="35"/>
        <v>21</v>
      </c>
      <c r="Q255" s="1">
        <f t="shared" si="41"/>
        <v>2</v>
      </c>
      <c r="R255" s="1">
        <f t="shared" si="41"/>
        <v>1</v>
      </c>
      <c r="S255" s="29">
        <f t="shared" si="41"/>
        <v>80.95</v>
      </c>
      <c r="T255" s="1" t="str">
        <f t="shared" si="36"/>
        <v>caught</v>
      </c>
      <c r="U255" s="1" t="str">
        <f t="shared" si="37"/>
        <v>2</v>
      </c>
      <c r="V255" s="1" t="str">
        <f t="shared" si="38"/>
        <v xml:space="preserve"> Sri Lanka</v>
      </c>
      <c r="W255" s="1" t="str">
        <f t="shared" si="39"/>
        <v>Eden Gardens</v>
      </c>
      <c r="X255" s="1" t="str">
        <f t="shared" si="40"/>
        <v>Yes</v>
      </c>
      <c r="Y255" s="1"/>
    </row>
    <row r="256" spans="1:25" ht="14.25" customHeight="1">
      <c r="A256" s="1"/>
      <c r="B256" s="1">
        <v>238</v>
      </c>
      <c r="C256" s="1" t="s">
        <v>386</v>
      </c>
      <c r="D256" s="1" t="s">
        <v>249</v>
      </c>
      <c r="E256" s="1" t="s">
        <v>151</v>
      </c>
      <c r="F256" s="1" t="s">
        <v>148</v>
      </c>
      <c r="G256" s="1" t="s">
        <v>520</v>
      </c>
      <c r="H256" s="1" t="s">
        <v>24</v>
      </c>
      <c r="I256" s="1" t="s">
        <v>130</v>
      </c>
      <c r="J256" s="1" t="s">
        <v>133</v>
      </c>
      <c r="K256" s="1" t="s">
        <v>113</v>
      </c>
      <c r="L256" s="1"/>
      <c r="M256" s="1"/>
      <c r="N256" s="1" t="str">
        <f t="shared" si="33"/>
        <v>No</v>
      </c>
      <c r="O256" s="1">
        <f t="shared" si="34"/>
        <v>51</v>
      </c>
      <c r="P256" s="1">
        <f t="shared" si="35"/>
        <v>49</v>
      </c>
      <c r="Q256" s="1">
        <f t="shared" si="41"/>
        <v>2</v>
      </c>
      <c r="R256" s="1">
        <f t="shared" si="41"/>
        <v>3</v>
      </c>
      <c r="S256" s="29">
        <f t="shared" si="41"/>
        <v>85.71</v>
      </c>
      <c r="T256" s="1" t="str">
        <f t="shared" si="36"/>
        <v>caught</v>
      </c>
      <c r="U256" s="1" t="str">
        <f t="shared" si="37"/>
        <v>1</v>
      </c>
      <c r="V256" s="1" t="str">
        <f t="shared" si="38"/>
        <v xml:space="preserve"> Sri Lanka</v>
      </c>
      <c r="W256" s="1" t="str">
        <f t="shared" si="39"/>
        <v>Thiruvananthapuram</v>
      </c>
      <c r="X256" s="1" t="str">
        <f t="shared" si="40"/>
        <v>Yes</v>
      </c>
      <c r="Y256" s="1"/>
    </row>
    <row r="257" spans="1:25" ht="14.25" customHeight="1">
      <c r="A257" s="1"/>
      <c r="B257" s="1">
        <v>239</v>
      </c>
      <c r="C257" s="1" t="s">
        <v>208</v>
      </c>
      <c r="D257" s="1" t="s">
        <v>139</v>
      </c>
      <c r="E257" s="1" t="s">
        <v>140</v>
      </c>
      <c r="F257" s="1" t="s">
        <v>151</v>
      </c>
      <c r="G257" s="1" t="s">
        <v>932</v>
      </c>
      <c r="H257" s="1" t="s">
        <v>24</v>
      </c>
      <c r="I257" s="1" t="s">
        <v>130</v>
      </c>
      <c r="J257" s="1" t="s">
        <v>211</v>
      </c>
      <c r="K257" s="1" t="s">
        <v>85</v>
      </c>
      <c r="L257" s="1"/>
      <c r="M257" s="1"/>
      <c r="N257" s="1" t="str">
        <f t="shared" si="33"/>
        <v>No</v>
      </c>
      <c r="O257" s="1">
        <f t="shared" si="34"/>
        <v>101</v>
      </c>
      <c r="P257" s="1">
        <f t="shared" si="35"/>
        <v>38</v>
      </c>
      <c r="Q257" s="1">
        <f t="shared" si="41"/>
        <v>4</v>
      </c>
      <c r="R257" s="1">
        <f t="shared" si="41"/>
        <v>2</v>
      </c>
      <c r="S257" s="29">
        <f t="shared" si="41"/>
        <v>89.47</v>
      </c>
      <c r="T257" s="1" t="str">
        <f t="shared" si="36"/>
        <v>caught</v>
      </c>
      <c r="U257" s="1" t="str">
        <f t="shared" si="37"/>
        <v>1</v>
      </c>
      <c r="V257" s="1" t="str">
        <f t="shared" si="38"/>
        <v xml:space="preserve"> New Zealand</v>
      </c>
      <c r="W257" s="1" t="str">
        <f t="shared" si="39"/>
        <v>Hyderabad</v>
      </c>
      <c r="X257" s="1" t="str">
        <f t="shared" si="40"/>
        <v>Yes</v>
      </c>
      <c r="Y257" s="1"/>
    </row>
    <row r="258" spans="1:25" ht="14.25" customHeight="1">
      <c r="A258" s="1"/>
      <c r="B258" s="1">
        <v>240</v>
      </c>
      <c r="C258" s="1" t="s">
        <v>356</v>
      </c>
      <c r="D258" s="1" t="s">
        <v>360</v>
      </c>
      <c r="E258" s="1" t="s">
        <v>144</v>
      </c>
      <c r="F258" s="1" t="s">
        <v>151</v>
      </c>
      <c r="G258" s="1" t="s">
        <v>933</v>
      </c>
      <c r="H258" s="1" t="s">
        <v>19</v>
      </c>
      <c r="I258" s="1" t="s">
        <v>151</v>
      </c>
      <c r="J258" s="1" t="s">
        <v>211</v>
      </c>
      <c r="K258" s="1" t="s">
        <v>119</v>
      </c>
      <c r="L258" s="1"/>
      <c r="M258" s="1"/>
      <c r="N258" s="1" t="str">
        <f t="shared" si="33"/>
        <v>No</v>
      </c>
      <c r="O258" s="1">
        <f t="shared" si="34"/>
        <v>13</v>
      </c>
      <c r="P258" s="1">
        <f t="shared" si="35"/>
        <v>50</v>
      </c>
      <c r="Q258" s="1">
        <f t="shared" si="41"/>
        <v>7</v>
      </c>
      <c r="R258" s="1">
        <f t="shared" si="41"/>
        <v>2</v>
      </c>
      <c r="S258" s="29">
        <f t="shared" si="41"/>
        <v>102</v>
      </c>
      <c r="T258" s="1" t="str">
        <f t="shared" si="36"/>
        <v>lbw</v>
      </c>
      <c r="U258" s="1" t="str">
        <f t="shared" si="37"/>
        <v>2</v>
      </c>
      <c r="V258" s="1" t="str">
        <f t="shared" si="38"/>
        <v xml:space="preserve"> New Zealand</v>
      </c>
      <c r="W258" s="1" t="str">
        <f t="shared" si="39"/>
        <v>Raipur</v>
      </c>
      <c r="X258" s="1" t="str">
        <f t="shared" si="40"/>
        <v>Yes</v>
      </c>
      <c r="Y258" s="1"/>
    </row>
    <row r="259" spans="1:25" ht="14.25" customHeight="1">
      <c r="A259" s="1"/>
      <c r="B259" s="1">
        <v>241</v>
      </c>
      <c r="C259" s="1" t="s">
        <v>413</v>
      </c>
      <c r="D259" s="1" t="s">
        <v>277</v>
      </c>
      <c r="E259" s="1" t="s">
        <v>161</v>
      </c>
      <c r="F259" s="1" t="s">
        <v>136</v>
      </c>
      <c r="G259" s="1" t="s">
        <v>934</v>
      </c>
      <c r="H259" s="1" t="s">
        <v>29</v>
      </c>
      <c r="I259" s="1" t="s">
        <v>130</v>
      </c>
      <c r="J259" s="1" t="s">
        <v>211</v>
      </c>
      <c r="K259" s="1" t="s">
        <v>87</v>
      </c>
      <c r="L259" s="1"/>
      <c r="M259" s="1"/>
      <c r="N259" s="1" t="str">
        <f t="shared" si="33"/>
        <v>No</v>
      </c>
      <c r="O259" s="1">
        <f t="shared" si="34"/>
        <v>30</v>
      </c>
      <c r="P259" s="1">
        <f t="shared" si="35"/>
        <v>85</v>
      </c>
      <c r="Q259" s="1">
        <f t="shared" si="41"/>
        <v>9</v>
      </c>
      <c r="R259" s="1">
        <f t="shared" si="41"/>
        <v>6</v>
      </c>
      <c r="S259" s="29">
        <f t="shared" si="41"/>
        <v>118.82</v>
      </c>
      <c r="T259" s="1" t="str">
        <f t="shared" si="36"/>
        <v>bowled</v>
      </c>
      <c r="U259" s="1" t="str">
        <f t="shared" si="37"/>
        <v>1</v>
      </c>
      <c r="V259" s="1" t="str">
        <f t="shared" si="38"/>
        <v xml:space="preserve"> New Zealand</v>
      </c>
      <c r="W259" s="1" t="str">
        <f t="shared" si="39"/>
        <v>Indore</v>
      </c>
      <c r="X259" s="1" t="str">
        <f t="shared" si="40"/>
        <v>Yes</v>
      </c>
      <c r="Y259" s="1"/>
    </row>
    <row r="260" spans="1:25" ht="14.25" customHeight="1">
      <c r="A260" s="1"/>
      <c r="B260" s="1">
        <v>242</v>
      </c>
      <c r="C260" s="1" t="s">
        <v>325</v>
      </c>
      <c r="D260" s="1" t="s">
        <v>283</v>
      </c>
      <c r="E260" s="1" t="s">
        <v>151</v>
      </c>
      <c r="F260" s="1" t="s">
        <v>131</v>
      </c>
      <c r="G260" s="1" t="s">
        <v>641</v>
      </c>
      <c r="H260" s="1" t="s">
        <v>24</v>
      </c>
      <c r="I260" s="1" t="s">
        <v>130</v>
      </c>
      <c r="J260" s="1" t="s">
        <v>158</v>
      </c>
      <c r="K260" s="1" t="s">
        <v>65</v>
      </c>
      <c r="L260" s="1"/>
      <c r="M260" s="1"/>
      <c r="N260" s="1" t="str">
        <f t="shared" si="33"/>
        <v>No</v>
      </c>
      <c r="O260" s="1">
        <f t="shared" si="34"/>
        <v>12</v>
      </c>
      <c r="P260" s="1">
        <f t="shared" si="35"/>
        <v>15</v>
      </c>
      <c r="Q260" s="1">
        <f t="shared" si="41"/>
        <v>2</v>
      </c>
      <c r="R260" s="1">
        <f t="shared" si="41"/>
        <v>0</v>
      </c>
      <c r="S260" s="29">
        <f t="shared" si="41"/>
        <v>86.66</v>
      </c>
      <c r="T260" s="1" t="str">
        <f t="shared" si="36"/>
        <v>caught</v>
      </c>
      <c r="U260" s="1" t="str">
        <f t="shared" si="37"/>
        <v>1</v>
      </c>
      <c r="V260" s="1" t="str">
        <f t="shared" si="38"/>
        <v xml:space="preserve"> Australia</v>
      </c>
      <c r="W260" s="1" t="str">
        <f t="shared" si="39"/>
        <v>Visakhapatnam</v>
      </c>
      <c r="X260" s="1" t="str">
        <f t="shared" si="40"/>
        <v>Yes</v>
      </c>
      <c r="Y260" s="1"/>
    </row>
    <row r="261" spans="1:25" ht="14.25" customHeight="1">
      <c r="A261" s="1"/>
      <c r="B261" s="1">
        <v>243</v>
      </c>
      <c r="C261" s="1" t="s">
        <v>164</v>
      </c>
      <c r="D261" s="1" t="s">
        <v>306</v>
      </c>
      <c r="E261" s="1" t="s">
        <v>151</v>
      </c>
      <c r="F261" s="1" t="s">
        <v>151</v>
      </c>
      <c r="G261" s="1" t="s">
        <v>935</v>
      </c>
      <c r="H261" s="1" t="s">
        <v>24</v>
      </c>
      <c r="I261" s="1" t="s">
        <v>151</v>
      </c>
      <c r="J261" s="1" t="s">
        <v>158</v>
      </c>
      <c r="K261" s="1" t="s">
        <v>68</v>
      </c>
      <c r="L261" s="1"/>
      <c r="M261" s="1"/>
      <c r="N261" s="1" t="str">
        <f t="shared" si="33"/>
        <v>No</v>
      </c>
      <c r="O261" s="1">
        <f t="shared" si="34"/>
        <v>11</v>
      </c>
      <c r="P261" s="1">
        <f t="shared" si="35"/>
        <v>17</v>
      </c>
      <c r="Q261" s="1">
        <f t="shared" si="41"/>
        <v>2</v>
      </c>
      <c r="R261" s="1">
        <f t="shared" si="41"/>
        <v>2</v>
      </c>
      <c r="S261" s="29">
        <f t="shared" si="41"/>
        <v>176.47</v>
      </c>
      <c r="T261" s="1" t="str">
        <f t="shared" si="36"/>
        <v>caught</v>
      </c>
      <c r="U261" s="1" t="str">
        <f t="shared" si="37"/>
        <v>2</v>
      </c>
      <c r="V261" s="1" t="str">
        <f t="shared" si="38"/>
        <v xml:space="preserve"> Australia</v>
      </c>
      <c r="W261" s="1" t="str">
        <f t="shared" si="39"/>
        <v>Chennai</v>
      </c>
      <c r="X261" s="1" t="str">
        <f t="shared" si="40"/>
        <v>Yes</v>
      </c>
      <c r="Y261" s="1"/>
    </row>
    <row r="262" spans="1:25" ht="14.25" customHeight="1">
      <c r="A262" s="1"/>
      <c r="B262" s="1">
        <v>244</v>
      </c>
      <c r="C262" s="1" t="s">
        <v>696</v>
      </c>
      <c r="D262" s="1" t="s">
        <v>170</v>
      </c>
      <c r="E262" s="1" t="s">
        <v>151</v>
      </c>
      <c r="F262" s="1" t="s">
        <v>131</v>
      </c>
      <c r="G262" s="1" t="s">
        <v>538</v>
      </c>
      <c r="H262" s="1" t="s">
        <v>32</v>
      </c>
      <c r="I262" s="1" t="s">
        <v>151</v>
      </c>
      <c r="J262" s="1" t="s">
        <v>163</v>
      </c>
      <c r="K262" s="1" t="s">
        <v>120</v>
      </c>
      <c r="L262" s="1"/>
      <c r="M262" s="1"/>
      <c r="N262" s="1" t="str">
        <f t="shared" si="33"/>
        <v>No</v>
      </c>
      <c r="O262" s="1">
        <f t="shared" si="34"/>
        <v>74</v>
      </c>
      <c r="P262" s="1">
        <f t="shared" si="35"/>
        <v>19</v>
      </c>
      <c r="Q262" s="1">
        <f t="shared" si="41"/>
        <v>2</v>
      </c>
      <c r="R262" s="1">
        <f t="shared" si="41"/>
        <v>0</v>
      </c>
      <c r="S262" s="29">
        <f t="shared" si="41"/>
        <v>63.15</v>
      </c>
      <c r="T262" s="1" t="str">
        <f t="shared" si="36"/>
        <v>not out</v>
      </c>
      <c r="U262" s="1" t="str">
        <f t="shared" si="37"/>
        <v>2</v>
      </c>
      <c r="V262" s="1" t="str">
        <f t="shared" si="38"/>
        <v xml:space="preserve"> West Indies</v>
      </c>
      <c r="W262" s="1" t="str">
        <f t="shared" si="39"/>
        <v>Bridgetown</v>
      </c>
      <c r="X262" s="1" t="str">
        <f t="shared" si="40"/>
        <v>No</v>
      </c>
      <c r="Y262" s="1"/>
    </row>
    <row r="263" spans="1:25" ht="14.25" customHeight="1">
      <c r="A263" s="1"/>
      <c r="B263" s="1">
        <v>245</v>
      </c>
      <c r="C263" s="1" t="s">
        <v>176</v>
      </c>
      <c r="D263" s="1" t="s">
        <v>129</v>
      </c>
      <c r="E263" s="1" t="s">
        <v>151</v>
      </c>
      <c r="F263" s="1" t="s">
        <v>131</v>
      </c>
      <c r="G263" s="1" t="s">
        <v>204</v>
      </c>
      <c r="H263" s="1" t="s">
        <v>29</v>
      </c>
      <c r="I263" s="1" t="s">
        <v>130</v>
      </c>
      <c r="J263" s="1" t="s">
        <v>156</v>
      </c>
      <c r="K263" s="1" t="s">
        <v>95</v>
      </c>
      <c r="L263" s="1"/>
      <c r="M263" s="1"/>
      <c r="N263" s="1" t="str">
        <f t="shared" si="33"/>
        <v>No</v>
      </c>
      <c r="O263" s="1">
        <f t="shared" si="34"/>
        <v>56</v>
      </c>
      <c r="P263" s="1">
        <f t="shared" si="35"/>
        <v>22</v>
      </c>
      <c r="Q263" s="1">
        <f t="shared" si="41"/>
        <v>2</v>
      </c>
      <c r="R263" s="1">
        <f t="shared" si="41"/>
        <v>0</v>
      </c>
      <c r="S263" s="29">
        <f t="shared" si="41"/>
        <v>50</v>
      </c>
      <c r="T263" s="1" t="str">
        <f t="shared" si="36"/>
        <v>bowled</v>
      </c>
      <c r="U263" s="1" t="str">
        <f t="shared" si="37"/>
        <v>1</v>
      </c>
      <c r="V263" s="1" t="str">
        <f t="shared" si="38"/>
        <v xml:space="preserve"> Pakistan</v>
      </c>
      <c r="W263" s="1" t="str">
        <f t="shared" si="39"/>
        <v>Pallekele</v>
      </c>
      <c r="X263" s="1" t="str">
        <f t="shared" si="40"/>
        <v>Yes</v>
      </c>
      <c r="Y263" s="1"/>
    </row>
    <row r="264" spans="1:25" ht="14.25" customHeight="1">
      <c r="A264" s="1"/>
      <c r="B264" s="1">
        <v>246</v>
      </c>
      <c r="C264" s="1" t="s">
        <v>936</v>
      </c>
      <c r="D264" s="1" t="s">
        <v>241</v>
      </c>
      <c r="E264" s="1" t="s">
        <v>136</v>
      </c>
      <c r="F264" s="1" t="s">
        <v>202</v>
      </c>
      <c r="G264" s="1" t="s">
        <v>937</v>
      </c>
      <c r="H264" s="1" t="s">
        <v>32</v>
      </c>
      <c r="I264" s="1" t="s">
        <v>151</v>
      </c>
      <c r="J264" s="1" t="s">
        <v>504</v>
      </c>
      <c r="K264" s="1" t="s">
        <v>95</v>
      </c>
      <c r="L264" s="1"/>
      <c r="M264" s="1"/>
      <c r="N264" s="1" t="str">
        <f t="shared" si="33"/>
        <v>No</v>
      </c>
      <c r="O264" s="1">
        <f t="shared" si="34"/>
        <v>53</v>
      </c>
      <c r="P264" s="1">
        <f t="shared" si="35"/>
        <v>59</v>
      </c>
      <c r="Q264" s="1">
        <f t="shared" si="41"/>
        <v>6</v>
      </c>
      <c r="R264" s="1">
        <f t="shared" si="41"/>
        <v>5</v>
      </c>
      <c r="S264" s="29">
        <f t="shared" si="41"/>
        <v>125.42</v>
      </c>
      <c r="T264" s="1" t="str">
        <f t="shared" si="36"/>
        <v>not out</v>
      </c>
      <c r="U264" s="1" t="str">
        <f t="shared" si="37"/>
        <v>2</v>
      </c>
      <c r="V264" s="1" t="str">
        <f t="shared" si="38"/>
        <v xml:space="preserve"> Nepal</v>
      </c>
      <c r="W264" s="1" t="str">
        <f t="shared" si="39"/>
        <v>Pallekele</v>
      </c>
      <c r="X264" s="1" t="str">
        <f t="shared" si="40"/>
        <v>No</v>
      </c>
      <c r="Y264" s="1"/>
    </row>
    <row r="265" spans="1:25" ht="14.25" customHeight="1">
      <c r="A265" s="1"/>
      <c r="B265" s="1">
        <v>247</v>
      </c>
      <c r="C265" s="1" t="s">
        <v>452</v>
      </c>
      <c r="D265" s="1" t="s">
        <v>249</v>
      </c>
      <c r="E265" s="1" t="s">
        <v>136</v>
      </c>
      <c r="F265" s="1" t="s">
        <v>140</v>
      </c>
      <c r="G265" s="1" t="s">
        <v>266</v>
      </c>
      <c r="H265" s="1" t="s">
        <v>24</v>
      </c>
      <c r="I265" s="1" t="s">
        <v>130</v>
      </c>
      <c r="J265" s="1" t="s">
        <v>156</v>
      </c>
      <c r="K265" s="1" t="s">
        <v>27</v>
      </c>
      <c r="L265" s="1"/>
      <c r="M265" s="1"/>
      <c r="N265" s="1" t="str">
        <f t="shared" si="33"/>
        <v>No</v>
      </c>
      <c r="O265" s="1">
        <f t="shared" si="34"/>
        <v>0</v>
      </c>
      <c r="P265" s="1">
        <f t="shared" si="35"/>
        <v>49</v>
      </c>
      <c r="Q265" s="1">
        <f t="shared" si="41"/>
        <v>6</v>
      </c>
      <c r="R265" s="1">
        <f t="shared" si="41"/>
        <v>4</v>
      </c>
      <c r="S265" s="29">
        <f t="shared" si="41"/>
        <v>114.28</v>
      </c>
      <c r="T265" s="1" t="str">
        <f t="shared" si="36"/>
        <v>caught</v>
      </c>
      <c r="U265" s="1" t="str">
        <f t="shared" si="37"/>
        <v>1</v>
      </c>
      <c r="V265" s="1" t="str">
        <f t="shared" si="38"/>
        <v xml:space="preserve"> Pakistan</v>
      </c>
      <c r="W265" s="1" t="str">
        <f t="shared" si="39"/>
        <v>Colombo (RPS)</v>
      </c>
      <c r="X265" s="1" t="str">
        <f t="shared" si="40"/>
        <v>Yes</v>
      </c>
      <c r="Y265" s="1"/>
    </row>
    <row r="266" spans="1:25" ht="14.25" customHeight="1">
      <c r="A266" s="1"/>
      <c r="B266" s="1">
        <v>248</v>
      </c>
      <c r="C266" s="1" t="s">
        <v>235</v>
      </c>
      <c r="D266" s="1" t="s">
        <v>355</v>
      </c>
      <c r="E266" s="1" t="s">
        <v>144</v>
      </c>
      <c r="F266" s="1" t="s">
        <v>151</v>
      </c>
      <c r="G266" s="1" t="s">
        <v>938</v>
      </c>
      <c r="H266" s="1" t="s">
        <v>29</v>
      </c>
      <c r="I266" s="1" t="s">
        <v>130</v>
      </c>
      <c r="J266" s="1" t="s">
        <v>133</v>
      </c>
      <c r="K266" s="1" t="s">
        <v>27</v>
      </c>
      <c r="L266" s="1"/>
      <c r="M266" s="1"/>
      <c r="N266" s="1" t="str">
        <f t="shared" si="33"/>
        <v>No</v>
      </c>
      <c r="O266" s="1" t="str">
        <f t="shared" si="34"/>
        <v>NA</v>
      </c>
      <c r="P266" s="1">
        <f t="shared" si="35"/>
        <v>48</v>
      </c>
      <c r="Q266" s="1">
        <f t="shared" si="41"/>
        <v>7</v>
      </c>
      <c r="R266" s="1">
        <f t="shared" si="41"/>
        <v>2</v>
      </c>
      <c r="S266" s="29">
        <f t="shared" si="41"/>
        <v>110.41</v>
      </c>
      <c r="T266" s="1" t="str">
        <f t="shared" si="36"/>
        <v>bowled</v>
      </c>
      <c r="U266" s="1" t="str">
        <f t="shared" si="37"/>
        <v>1</v>
      </c>
      <c r="V266" s="1" t="str">
        <f t="shared" si="38"/>
        <v xml:space="preserve"> Sri Lanka</v>
      </c>
      <c r="W266" s="1" t="str">
        <f t="shared" si="39"/>
        <v>Colombo (RPS)</v>
      </c>
      <c r="X266" s="1" t="str">
        <f t="shared" si="40"/>
        <v>Yes</v>
      </c>
      <c r="Y266" s="1"/>
    </row>
    <row r="267" spans="1:25" ht="14.25" customHeight="1">
      <c r="A267" s="1"/>
      <c r="B267" s="1">
        <v>249</v>
      </c>
      <c r="C267" s="1" t="s">
        <v>131</v>
      </c>
      <c r="D267" s="1" t="s">
        <v>151</v>
      </c>
      <c r="E267" s="1" t="s">
        <v>131</v>
      </c>
      <c r="F267" s="1" t="s">
        <v>131</v>
      </c>
      <c r="G267" s="1" t="s">
        <v>210</v>
      </c>
      <c r="H267" s="1" t="s">
        <v>24</v>
      </c>
      <c r="I267" s="1" t="s">
        <v>151</v>
      </c>
      <c r="J267" s="1" t="s">
        <v>182</v>
      </c>
      <c r="K267" s="1" t="s">
        <v>27</v>
      </c>
      <c r="L267" s="1"/>
      <c r="M267" s="1"/>
      <c r="N267" s="1" t="str">
        <f t="shared" si="33"/>
        <v>No</v>
      </c>
      <c r="O267" s="1">
        <f t="shared" si="34"/>
        <v>81</v>
      </c>
      <c r="P267" s="1">
        <f t="shared" si="35"/>
        <v>2</v>
      </c>
      <c r="Q267" s="1">
        <f t="shared" si="41"/>
        <v>0</v>
      </c>
      <c r="R267" s="1">
        <f t="shared" si="41"/>
        <v>0</v>
      </c>
      <c r="S267" s="29">
        <f t="shared" si="41"/>
        <v>0</v>
      </c>
      <c r="T267" s="1" t="str">
        <f t="shared" si="36"/>
        <v>caught</v>
      </c>
      <c r="U267" s="1" t="str">
        <f t="shared" si="37"/>
        <v>2</v>
      </c>
      <c r="V267" s="1" t="str">
        <f t="shared" si="38"/>
        <v xml:space="preserve"> Bangladesh</v>
      </c>
      <c r="W267" s="1" t="str">
        <f t="shared" si="39"/>
        <v>Colombo (RPS)</v>
      </c>
      <c r="X267" s="1" t="str">
        <f t="shared" si="40"/>
        <v>Yes</v>
      </c>
      <c r="Y267" s="1"/>
    </row>
    <row r="268" spans="1:25" ht="14.25" customHeight="1">
      <c r="A268" s="1"/>
      <c r="B268" s="1">
        <v>250</v>
      </c>
      <c r="C268" s="1" t="s">
        <v>57</v>
      </c>
      <c r="D268" s="1" t="s">
        <v>157</v>
      </c>
      <c r="E268" s="1" t="s">
        <v>157</v>
      </c>
      <c r="F268" s="1" t="s">
        <v>157</v>
      </c>
      <c r="G268" s="1" t="s">
        <v>157</v>
      </c>
      <c r="H268" s="1" t="s">
        <v>157</v>
      </c>
      <c r="I268" s="1" t="s">
        <v>151</v>
      </c>
      <c r="J268" s="1" t="s">
        <v>133</v>
      </c>
      <c r="K268" s="1" t="s">
        <v>27</v>
      </c>
      <c r="L268" s="1"/>
      <c r="M268" s="1"/>
      <c r="N268" s="1" t="str">
        <f t="shared" si="33"/>
        <v>Yes</v>
      </c>
      <c r="O268" s="1">
        <f t="shared" si="34"/>
        <v>0</v>
      </c>
      <c r="P268" s="1" t="str">
        <f t="shared" si="35"/>
        <v>NA</v>
      </c>
      <c r="Q268" s="1" t="str">
        <f t="shared" si="41"/>
        <v>NA</v>
      </c>
      <c r="R268" s="1" t="str">
        <f t="shared" si="41"/>
        <v>NA</v>
      </c>
      <c r="S268" s="29" t="str">
        <f t="shared" si="41"/>
        <v>NA</v>
      </c>
      <c r="T268" s="1" t="str">
        <f t="shared" si="36"/>
        <v>NA</v>
      </c>
      <c r="U268" s="1" t="str">
        <f t="shared" si="37"/>
        <v>2</v>
      </c>
      <c r="V268" s="1" t="str">
        <f t="shared" si="38"/>
        <v xml:space="preserve"> Sri Lanka</v>
      </c>
      <c r="W268" s="1" t="str">
        <f t="shared" si="39"/>
        <v>Colombo (RPS)</v>
      </c>
      <c r="X268" s="1" t="str">
        <f t="shared" si="40"/>
        <v>No</v>
      </c>
      <c r="Y268" s="1"/>
    </row>
    <row r="269" spans="1:25" ht="14.25" customHeight="1">
      <c r="A269" s="1"/>
      <c r="B269" s="1">
        <v>251</v>
      </c>
      <c r="C269" s="1" t="s">
        <v>250</v>
      </c>
      <c r="D269" s="1" t="s">
        <v>192</v>
      </c>
      <c r="E269" s="1" t="s">
        <v>202</v>
      </c>
      <c r="F269" s="1" t="s">
        <v>136</v>
      </c>
      <c r="G269" s="1" t="s">
        <v>171</v>
      </c>
      <c r="H269" s="1" t="s">
        <v>24</v>
      </c>
      <c r="I269" s="1" t="s">
        <v>151</v>
      </c>
      <c r="J269" s="1" t="s">
        <v>158</v>
      </c>
      <c r="K269" s="1" t="s">
        <v>48</v>
      </c>
      <c r="L269" s="1"/>
      <c r="M269" s="1"/>
      <c r="N269" s="1" t="str">
        <f t="shared" si="33"/>
        <v>No</v>
      </c>
      <c r="O269" s="1">
        <f t="shared" si="34"/>
        <v>131</v>
      </c>
      <c r="P269" s="1">
        <f t="shared" si="35"/>
        <v>57</v>
      </c>
      <c r="Q269" s="1">
        <f t="shared" si="41"/>
        <v>5</v>
      </c>
      <c r="R269" s="1">
        <f t="shared" si="41"/>
        <v>6</v>
      </c>
      <c r="S269" s="29">
        <f t="shared" si="41"/>
        <v>142.1</v>
      </c>
      <c r="T269" s="1" t="str">
        <f t="shared" si="36"/>
        <v>caught</v>
      </c>
      <c r="U269" s="1" t="str">
        <f t="shared" si="37"/>
        <v>2</v>
      </c>
      <c r="V269" s="1" t="str">
        <f t="shared" si="38"/>
        <v xml:space="preserve"> Australia</v>
      </c>
      <c r="W269" s="1" t="str">
        <f t="shared" si="39"/>
        <v>Rajkot</v>
      </c>
      <c r="X269" s="1" t="str">
        <f t="shared" si="40"/>
        <v>Yes</v>
      </c>
      <c r="Y269" s="1"/>
    </row>
    <row r="270" spans="1:25" ht="14.25" customHeight="1">
      <c r="A270" s="1"/>
      <c r="B270" s="1">
        <v>252</v>
      </c>
      <c r="C270" s="1" t="s">
        <v>131</v>
      </c>
      <c r="D270" s="1" t="s">
        <v>136</v>
      </c>
      <c r="E270" s="1" t="s">
        <v>131</v>
      </c>
      <c r="F270" s="1" t="s">
        <v>131</v>
      </c>
      <c r="G270" s="1" t="s">
        <v>210</v>
      </c>
      <c r="H270" s="1" t="s">
        <v>19</v>
      </c>
      <c r="I270" s="1" t="s">
        <v>151</v>
      </c>
      <c r="J270" s="1" t="s">
        <v>158</v>
      </c>
      <c r="K270" s="1" t="s">
        <v>68</v>
      </c>
      <c r="L270" s="1"/>
      <c r="M270" s="1"/>
      <c r="N270" s="1" t="str">
        <f t="shared" si="33"/>
        <v>No</v>
      </c>
      <c r="O270" s="1">
        <f t="shared" si="34"/>
        <v>86</v>
      </c>
      <c r="P270" s="1">
        <f t="shared" si="35"/>
        <v>6</v>
      </c>
      <c r="Q270" s="1">
        <f t="shared" si="41"/>
        <v>0</v>
      </c>
      <c r="R270" s="1">
        <f t="shared" si="41"/>
        <v>0</v>
      </c>
      <c r="S270" s="29">
        <f t="shared" si="41"/>
        <v>0</v>
      </c>
      <c r="T270" s="1" t="str">
        <f t="shared" si="36"/>
        <v>lbw</v>
      </c>
      <c r="U270" s="1" t="str">
        <f t="shared" si="37"/>
        <v>2</v>
      </c>
      <c r="V270" s="1" t="str">
        <f t="shared" si="38"/>
        <v xml:space="preserve"> Australia</v>
      </c>
      <c r="W270" s="1" t="str">
        <f t="shared" si="39"/>
        <v>Chennai</v>
      </c>
      <c r="X270" s="1" t="str">
        <f t="shared" si="40"/>
        <v>Yes</v>
      </c>
      <c r="Y270" s="1"/>
    </row>
    <row r="271" spans="1:25" ht="14.25" customHeight="1">
      <c r="A271" s="1"/>
      <c r="B271" s="1">
        <v>253</v>
      </c>
      <c r="C271" s="1" t="s">
        <v>429</v>
      </c>
      <c r="D271" s="1" t="s">
        <v>340</v>
      </c>
      <c r="E271" s="1" t="s">
        <v>153</v>
      </c>
      <c r="F271" s="1" t="s">
        <v>202</v>
      </c>
      <c r="G271" s="1" t="s">
        <v>939</v>
      </c>
      <c r="H271" s="1" t="s">
        <v>29</v>
      </c>
      <c r="I271" s="1" t="s">
        <v>151</v>
      </c>
      <c r="J271" s="1" t="s">
        <v>358</v>
      </c>
      <c r="K271" s="1" t="s">
        <v>52</v>
      </c>
      <c r="L271" s="1"/>
      <c r="M271" s="1"/>
      <c r="N271" s="1" t="str">
        <f t="shared" si="33"/>
        <v>No</v>
      </c>
      <c r="O271" s="1">
        <f t="shared" si="34"/>
        <v>48</v>
      </c>
      <c r="P271" s="1">
        <f t="shared" si="35"/>
        <v>84</v>
      </c>
      <c r="Q271" s="1">
        <f t="shared" si="41"/>
        <v>16</v>
      </c>
      <c r="R271" s="1">
        <f t="shared" si="41"/>
        <v>5</v>
      </c>
      <c r="S271" s="29">
        <f t="shared" si="41"/>
        <v>155.94999999999999</v>
      </c>
      <c r="T271" s="1" t="str">
        <f t="shared" si="36"/>
        <v>bowled</v>
      </c>
      <c r="U271" s="1" t="str">
        <f t="shared" si="37"/>
        <v>2</v>
      </c>
      <c r="V271" s="1" t="str">
        <f t="shared" si="38"/>
        <v xml:space="preserve"> Afghanistan</v>
      </c>
      <c r="W271" s="1" t="str">
        <f t="shared" si="39"/>
        <v>Delhi</v>
      </c>
      <c r="X271" s="1" t="str">
        <f t="shared" si="40"/>
        <v>Yes</v>
      </c>
      <c r="Y271" s="1"/>
    </row>
    <row r="272" spans="1:25" ht="14.25" customHeight="1">
      <c r="A272" s="1"/>
      <c r="B272" s="1">
        <v>254</v>
      </c>
      <c r="C272" s="1" t="s">
        <v>288</v>
      </c>
      <c r="D272" s="1" t="s">
        <v>262</v>
      </c>
      <c r="E272" s="1" t="s">
        <v>136</v>
      </c>
      <c r="F272" s="1" t="s">
        <v>136</v>
      </c>
      <c r="G272" s="1" t="s">
        <v>940</v>
      </c>
      <c r="H272" s="1" t="s">
        <v>24</v>
      </c>
      <c r="I272" s="1" t="s">
        <v>151</v>
      </c>
      <c r="J272" s="1" t="s">
        <v>156</v>
      </c>
      <c r="K272" s="1" t="s">
        <v>59</v>
      </c>
      <c r="L272" s="1"/>
      <c r="M272" s="1"/>
      <c r="N272" s="1" t="str">
        <f t="shared" si="33"/>
        <v>No</v>
      </c>
      <c r="O272" s="1">
        <f t="shared" si="34"/>
        <v>46</v>
      </c>
      <c r="P272" s="1">
        <f t="shared" si="35"/>
        <v>63</v>
      </c>
      <c r="Q272" s="1">
        <f t="shared" si="41"/>
        <v>6</v>
      </c>
      <c r="R272" s="1">
        <f t="shared" si="41"/>
        <v>6</v>
      </c>
      <c r="S272" s="29">
        <f t="shared" si="41"/>
        <v>136.5</v>
      </c>
      <c r="T272" s="1" t="str">
        <f t="shared" si="36"/>
        <v>caught</v>
      </c>
      <c r="U272" s="1" t="str">
        <f t="shared" si="37"/>
        <v>2</v>
      </c>
      <c r="V272" s="1" t="str">
        <f t="shared" si="38"/>
        <v xml:space="preserve"> Pakistan</v>
      </c>
      <c r="W272" s="1" t="str">
        <f t="shared" si="39"/>
        <v>Ahmedabad</v>
      </c>
      <c r="X272" s="1" t="str">
        <f t="shared" si="40"/>
        <v>Yes</v>
      </c>
      <c r="Y272" s="1"/>
    </row>
    <row r="273" spans="1:25" ht="14.25" customHeight="1">
      <c r="A273" s="1"/>
      <c r="B273" s="1">
        <v>255</v>
      </c>
      <c r="C273" s="1" t="s">
        <v>355</v>
      </c>
      <c r="D273" s="1" t="s">
        <v>359</v>
      </c>
      <c r="E273" s="1" t="s">
        <v>144</v>
      </c>
      <c r="F273" s="1" t="s">
        <v>151</v>
      </c>
      <c r="G273" s="1" t="s">
        <v>349</v>
      </c>
      <c r="H273" s="1" t="s">
        <v>24</v>
      </c>
      <c r="I273" s="1" t="s">
        <v>151</v>
      </c>
      <c r="J273" s="1" t="s">
        <v>182</v>
      </c>
      <c r="K273" s="1" t="s">
        <v>100</v>
      </c>
      <c r="L273" s="1"/>
      <c r="M273" s="1"/>
      <c r="N273" s="1" t="str">
        <f t="shared" si="33"/>
        <v>No</v>
      </c>
      <c r="O273" s="1">
        <f t="shared" si="34"/>
        <v>87</v>
      </c>
      <c r="P273" s="1">
        <f t="shared" si="35"/>
        <v>40</v>
      </c>
      <c r="Q273" s="1">
        <f t="shared" si="41"/>
        <v>7</v>
      </c>
      <c r="R273" s="1">
        <f t="shared" si="41"/>
        <v>2</v>
      </c>
      <c r="S273" s="29">
        <f t="shared" si="41"/>
        <v>120</v>
      </c>
      <c r="T273" s="1" t="str">
        <f t="shared" si="36"/>
        <v>caught</v>
      </c>
      <c r="U273" s="1" t="str">
        <f t="shared" si="37"/>
        <v>2</v>
      </c>
      <c r="V273" s="1" t="str">
        <f t="shared" si="38"/>
        <v xml:space="preserve"> Bangladesh</v>
      </c>
      <c r="W273" s="1" t="str">
        <f t="shared" si="39"/>
        <v>Pune</v>
      </c>
      <c r="X273" s="1" t="str">
        <f t="shared" si="40"/>
        <v>Yes</v>
      </c>
      <c r="Y273" s="1"/>
    </row>
    <row r="274" spans="1:25" ht="14.25" customHeight="1">
      <c r="A274" s="1"/>
      <c r="B274" s="1">
        <v>256</v>
      </c>
      <c r="C274" s="1" t="s">
        <v>147</v>
      </c>
      <c r="D274" s="1" t="s">
        <v>359</v>
      </c>
      <c r="E274" s="1" t="s">
        <v>140</v>
      </c>
      <c r="F274" s="1" t="s">
        <v>140</v>
      </c>
      <c r="G274" s="1" t="s">
        <v>941</v>
      </c>
      <c r="H274" s="1" t="s">
        <v>29</v>
      </c>
      <c r="I274" s="1" t="s">
        <v>151</v>
      </c>
      <c r="J274" s="1" t="s">
        <v>211</v>
      </c>
      <c r="K274" s="1" t="s">
        <v>98</v>
      </c>
      <c r="L274" s="1"/>
      <c r="M274" s="1"/>
      <c r="N274" s="1" t="str">
        <f t="shared" si="33"/>
        <v>No</v>
      </c>
      <c r="O274" s="1">
        <f t="shared" si="34"/>
        <v>4</v>
      </c>
      <c r="P274" s="1">
        <f t="shared" si="35"/>
        <v>40</v>
      </c>
      <c r="Q274" s="1">
        <f t="shared" si="41"/>
        <v>4</v>
      </c>
      <c r="R274" s="1">
        <f t="shared" si="41"/>
        <v>4</v>
      </c>
      <c r="S274" s="29">
        <f t="shared" si="41"/>
        <v>115</v>
      </c>
      <c r="T274" s="1" t="str">
        <f t="shared" si="36"/>
        <v>bowled</v>
      </c>
      <c r="U274" s="1" t="str">
        <f t="shared" si="37"/>
        <v>2</v>
      </c>
      <c r="V274" s="1" t="str">
        <f t="shared" si="38"/>
        <v xml:space="preserve"> New Zealand</v>
      </c>
      <c r="W274" s="1" t="str">
        <f t="shared" si="39"/>
        <v>Dharamsala</v>
      </c>
      <c r="X274" s="1" t="str">
        <f t="shared" si="40"/>
        <v>Yes</v>
      </c>
      <c r="Y274" s="1"/>
    </row>
    <row r="275" spans="1:25" ht="14.25" customHeight="1">
      <c r="A275" s="1"/>
      <c r="B275" s="1">
        <v>257</v>
      </c>
      <c r="C275" s="1" t="s">
        <v>421</v>
      </c>
      <c r="D275" s="1" t="s">
        <v>413</v>
      </c>
      <c r="E275" s="1" t="s">
        <v>167</v>
      </c>
      <c r="F275" s="1" t="s">
        <v>148</v>
      </c>
      <c r="G275" s="1" t="s">
        <v>942</v>
      </c>
      <c r="H275" s="1" t="s">
        <v>24</v>
      </c>
      <c r="I275" s="1" t="s">
        <v>130</v>
      </c>
      <c r="J275" s="1" t="s">
        <v>234</v>
      </c>
      <c r="K275" s="1" t="s">
        <v>122</v>
      </c>
      <c r="L275" s="1"/>
      <c r="M275" s="1"/>
      <c r="N275" s="1" t="str">
        <f t="shared" ref="N275:N291" si="42">IF(OR(C275="DNB",C275="TDNB"),"Yes","No")</f>
        <v>No</v>
      </c>
      <c r="O275" s="1">
        <f t="shared" ref="O275:O289" si="43">IF(N277="Yes", "NA",SUBSTITUTE(C277,"*","")*1)</f>
        <v>40</v>
      </c>
      <c r="P275" s="1">
        <f t="shared" si="35"/>
        <v>101</v>
      </c>
      <c r="Q275" s="1">
        <f t="shared" si="41"/>
        <v>10</v>
      </c>
      <c r="R275" s="1">
        <f t="shared" si="41"/>
        <v>3</v>
      </c>
      <c r="S275" s="29">
        <f t="shared" si="41"/>
        <v>86.13</v>
      </c>
      <c r="T275" s="1" t="str">
        <f t="shared" si="36"/>
        <v>caught</v>
      </c>
      <c r="U275" s="1" t="str">
        <f t="shared" si="37"/>
        <v>1</v>
      </c>
      <c r="V275" s="1" t="str">
        <f t="shared" si="38"/>
        <v xml:space="preserve"> England</v>
      </c>
      <c r="W275" s="1" t="str">
        <f t="shared" si="39"/>
        <v>Lucknow</v>
      </c>
      <c r="X275" s="1" t="str">
        <f t="shared" si="40"/>
        <v>Yes</v>
      </c>
      <c r="Y275" s="1"/>
    </row>
    <row r="276" spans="1:25" ht="14.25" customHeight="1">
      <c r="A276" s="1"/>
      <c r="B276" s="1">
        <v>258</v>
      </c>
      <c r="C276" s="1" t="s">
        <v>140</v>
      </c>
      <c r="D276" s="1" t="s">
        <v>151</v>
      </c>
      <c r="E276" s="1" t="s">
        <v>130</v>
      </c>
      <c r="F276" s="1" t="s">
        <v>131</v>
      </c>
      <c r="G276" s="1" t="s">
        <v>427</v>
      </c>
      <c r="H276" s="1" t="s">
        <v>29</v>
      </c>
      <c r="I276" s="1" t="s">
        <v>130</v>
      </c>
      <c r="J276" s="1" t="s">
        <v>133</v>
      </c>
      <c r="K276" s="1" t="s">
        <v>75</v>
      </c>
      <c r="L276" s="1"/>
      <c r="M276" s="1"/>
      <c r="N276" s="1" t="str">
        <f t="shared" si="42"/>
        <v>No</v>
      </c>
      <c r="O276" s="1">
        <f t="shared" si="43"/>
        <v>61</v>
      </c>
      <c r="P276" s="1">
        <f t="shared" ref="P276:P291" si="44">IF(D276="-","NA",D276*1)</f>
        <v>2</v>
      </c>
      <c r="Q276" s="1">
        <f t="shared" si="41"/>
        <v>1</v>
      </c>
      <c r="R276" s="1">
        <f t="shared" si="41"/>
        <v>0</v>
      </c>
      <c r="S276" s="29">
        <f t="shared" si="41"/>
        <v>200</v>
      </c>
      <c r="T276" s="1" t="str">
        <f t="shared" ref="T276:T291" si="45">IF(H276="-","NA",H276)</f>
        <v>bowled</v>
      </c>
      <c r="U276" s="1" t="str">
        <f t="shared" ref="U276:U291" si="46">I276</f>
        <v>1</v>
      </c>
      <c r="V276" s="1" t="str">
        <f t="shared" ref="V276:V291" si="47">SUBSTITUTE(J276,"v","")</f>
        <v xml:space="preserve"> Sri Lanka</v>
      </c>
      <c r="W276" s="1" t="str">
        <f t="shared" ref="W276:W291" si="48">K276</f>
        <v>Wankhede</v>
      </c>
      <c r="X276" s="1" t="str">
        <f t="shared" ref="X276:X291" si="49">IF(N276="Yes","No",IF(T276="not out","No","Yes"))</f>
        <v>Yes</v>
      </c>
      <c r="Y276" s="1"/>
    </row>
    <row r="277" spans="1:25" ht="14.25" customHeight="1">
      <c r="A277" s="1"/>
      <c r="B277" s="1">
        <v>259</v>
      </c>
      <c r="C277" s="1" t="s">
        <v>359</v>
      </c>
      <c r="D277" s="1" t="s">
        <v>154</v>
      </c>
      <c r="E277" s="1" t="s">
        <v>136</v>
      </c>
      <c r="F277" s="1" t="s">
        <v>151</v>
      </c>
      <c r="G277" s="1" t="s">
        <v>923</v>
      </c>
      <c r="H277" s="1" t="s">
        <v>24</v>
      </c>
      <c r="I277" s="1" t="s">
        <v>130</v>
      </c>
      <c r="J277" s="1" t="s">
        <v>191</v>
      </c>
      <c r="K277" s="1" t="s">
        <v>51</v>
      </c>
      <c r="L277" s="1"/>
      <c r="M277" s="1"/>
      <c r="N277" s="1" t="str">
        <f t="shared" si="42"/>
        <v>No</v>
      </c>
      <c r="O277" s="1">
        <f t="shared" si="43"/>
        <v>47</v>
      </c>
      <c r="P277" s="1">
        <f t="shared" si="44"/>
        <v>24</v>
      </c>
      <c r="Q277" s="1">
        <f t="shared" si="41"/>
        <v>6</v>
      </c>
      <c r="R277" s="1">
        <f t="shared" si="41"/>
        <v>2</v>
      </c>
      <c r="S277" s="29">
        <f t="shared" si="41"/>
        <v>166.66</v>
      </c>
      <c r="T277" s="1" t="str">
        <f t="shared" si="45"/>
        <v>caught</v>
      </c>
      <c r="U277" s="1" t="str">
        <f t="shared" si="46"/>
        <v>1</v>
      </c>
      <c r="V277" s="1" t="str">
        <f t="shared" si="47"/>
        <v xml:space="preserve"> South Africa</v>
      </c>
      <c r="W277" s="1" t="str">
        <f t="shared" si="48"/>
        <v>Eden Gardens</v>
      </c>
      <c r="X277" s="1" t="str">
        <f t="shared" si="49"/>
        <v>Yes</v>
      </c>
      <c r="Y277" s="1"/>
    </row>
    <row r="278" spans="1:25" ht="14.25" customHeight="1">
      <c r="A278" s="1"/>
      <c r="B278" s="1">
        <v>260</v>
      </c>
      <c r="C278" s="1" t="s">
        <v>334</v>
      </c>
      <c r="D278" s="1" t="s">
        <v>142</v>
      </c>
      <c r="E278" s="1" t="s">
        <v>189</v>
      </c>
      <c r="F278" s="1" t="s">
        <v>151</v>
      </c>
      <c r="G278" s="1" t="s">
        <v>943</v>
      </c>
      <c r="H278" s="1" t="s">
        <v>24</v>
      </c>
      <c r="I278" s="1" t="s">
        <v>130</v>
      </c>
      <c r="J278" s="1" t="s">
        <v>240</v>
      </c>
      <c r="K278" s="1" t="s">
        <v>67</v>
      </c>
      <c r="L278" s="1"/>
      <c r="M278" s="1"/>
      <c r="N278" s="1" t="str">
        <f t="shared" si="42"/>
        <v>No</v>
      </c>
      <c r="O278" s="1">
        <f t="shared" si="43"/>
        <v>47</v>
      </c>
      <c r="P278" s="1">
        <f t="shared" si="44"/>
        <v>54</v>
      </c>
      <c r="Q278" s="1">
        <f t="shared" si="41"/>
        <v>8</v>
      </c>
      <c r="R278" s="1">
        <f t="shared" si="41"/>
        <v>2</v>
      </c>
      <c r="S278" s="29">
        <f t="shared" si="41"/>
        <v>112.96</v>
      </c>
      <c r="T278" s="1" t="str">
        <f t="shared" si="45"/>
        <v>caught</v>
      </c>
      <c r="U278" s="1" t="str">
        <f t="shared" si="46"/>
        <v>1</v>
      </c>
      <c r="V278" s="1" t="str">
        <f t="shared" si="47"/>
        <v xml:space="preserve"> Netherlands</v>
      </c>
      <c r="W278" s="1" t="str">
        <f t="shared" si="48"/>
        <v>Bengaluru</v>
      </c>
      <c r="X278" s="1" t="str">
        <f t="shared" si="49"/>
        <v>Yes</v>
      </c>
      <c r="Y278" s="1"/>
    </row>
    <row r="279" spans="1:25" ht="14.25" customHeight="1">
      <c r="A279" s="1"/>
      <c r="B279" s="1">
        <v>261</v>
      </c>
      <c r="C279" s="1" t="s">
        <v>419</v>
      </c>
      <c r="D279" s="1" t="s">
        <v>200</v>
      </c>
      <c r="E279" s="1" t="s">
        <v>140</v>
      </c>
      <c r="F279" s="1" t="s">
        <v>140</v>
      </c>
      <c r="G279" s="1" t="s">
        <v>944</v>
      </c>
      <c r="H279" s="1" t="s">
        <v>24</v>
      </c>
      <c r="I279" s="1" t="s">
        <v>130</v>
      </c>
      <c r="J279" s="1" t="s">
        <v>211</v>
      </c>
      <c r="K279" s="1" t="s">
        <v>75</v>
      </c>
      <c r="L279" s="1"/>
      <c r="M279" s="1"/>
      <c r="N279" s="1" t="str">
        <f t="shared" si="42"/>
        <v>No</v>
      </c>
      <c r="O279" s="1">
        <f t="shared" si="43"/>
        <v>58</v>
      </c>
      <c r="P279" s="1">
        <f t="shared" si="44"/>
        <v>29</v>
      </c>
      <c r="Q279" s="1">
        <f t="shared" si="41"/>
        <v>4</v>
      </c>
      <c r="R279" s="1">
        <f t="shared" si="41"/>
        <v>4</v>
      </c>
      <c r="S279" s="29">
        <f t="shared" si="41"/>
        <v>162.06</v>
      </c>
      <c r="T279" s="1" t="str">
        <f t="shared" si="45"/>
        <v>caught</v>
      </c>
      <c r="U279" s="1" t="str">
        <f t="shared" si="46"/>
        <v>1</v>
      </c>
      <c r="V279" s="1" t="str">
        <f t="shared" si="47"/>
        <v xml:space="preserve"> New Zealand</v>
      </c>
      <c r="W279" s="1" t="str">
        <f t="shared" si="48"/>
        <v>Wankhede</v>
      </c>
      <c r="X279" s="1" t="str">
        <f t="shared" si="49"/>
        <v>Yes</v>
      </c>
      <c r="Y279" s="1"/>
    </row>
    <row r="280" spans="1:25" ht="14.25" customHeight="1">
      <c r="A280" s="1"/>
      <c r="B280" s="1">
        <v>262</v>
      </c>
      <c r="C280" s="1" t="s">
        <v>419</v>
      </c>
      <c r="D280" s="1" t="s">
        <v>146</v>
      </c>
      <c r="E280" s="1" t="s">
        <v>140</v>
      </c>
      <c r="F280" s="1" t="s">
        <v>148</v>
      </c>
      <c r="G280" s="1" t="s">
        <v>945</v>
      </c>
      <c r="H280" s="1" t="s">
        <v>24</v>
      </c>
      <c r="I280" s="1" t="s">
        <v>130</v>
      </c>
      <c r="J280" s="1" t="s">
        <v>158</v>
      </c>
      <c r="K280" s="1" t="s">
        <v>59</v>
      </c>
      <c r="L280" s="1"/>
      <c r="M280" s="1"/>
      <c r="N280" s="1" t="str">
        <f t="shared" si="42"/>
        <v>No</v>
      </c>
      <c r="O280" s="1">
        <f t="shared" si="43"/>
        <v>64</v>
      </c>
      <c r="P280" s="1">
        <f t="shared" si="44"/>
        <v>31</v>
      </c>
      <c r="Q280" s="1">
        <f t="shared" si="41"/>
        <v>4</v>
      </c>
      <c r="R280" s="1">
        <f t="shared" si="41"/>
        <v>3</v>
      </c>
      <c r="S280" s="29">
        <f t="shared" si="41"/>
        <v>151.61000000000001</v>
      </c>
      <c r="T280" s="1" t="str">
        <f t="shared" si="45"/>
        <v>caught</v>
      </c>
      <c r="U280" s="1" t="str">
        <f t="shared" si="46"/>
        <v>1</v>
      </c>
      <c r="V280" s="1" t="str">
        <f t="shared" si="47"/>
        <v xml:space="preserve"> Australia</v>
      </c>
      <c r="W280" s="1" t="str">
        <f t="shared" si="48"/>
        <v>Ahmedabad</v>
      </c>
      <c r="X280" s="1" t="str">
        <f t="shared" si="49"/>
        <v>Yes</v>
      </c>
      <c r="Y280" s="1"/>
    </row>
    <row r="281" spans="1:25" ht="14.25" customHeight="1">
      <c r="A281" s="1"/>
      <c r="B281" s="1">
        <v>263</v>
      </c>
      <c r="C281" s="1" t="s">
        <v>582</v>
      </c>
      <c r="D281" s="1" t="s">
        <v>419</v>
      </c>
      <c r="E281" s="1" t="s">
        <v>144</v>
      </c>
      <c r="F281" s="1" t="s">
        <v>148</v>
      </c>
      <c r="G281" s="1" t="s">
        <v>946</v>
      </c>
      <c r="H281" s="1" t="s">
        <v>19</v>
      </c>
      <c r="I281" s="1" t="s">
        <v>151</v>
      </c>
      <c r="J281" s="1" t="s">
        <v>133</v>
      </c>
      <c r="K281" s="1" t="s">
        <v>27</v>
      </c>
      <c r="L281" s="1"/>
      <c r="M281" s="1"/>
      <c r="N281" s="1" t="str">
        <f t="shared" si="42"/>
        <v>No</v>
      </c>
      <c r="O281" s="1">
        <f t="shared" si="43"/>
        <v>35</v>
      </c>
      <c r="P281" s="1">
        <f t="shared" si="44"/>
        <v>47</v>
      </c>
      <c r="Q281" s="1">
        <f t="shared" si="41"/>
        <v>7</v>
      </c>
      <c r="R281" s="1">
        <f t="shared" si="41"/>
        <v>3</v>
      </c>
      <c r="S281" s="29">
        <f t="shared" si="41"/>
        <v>123.4</v>
      </c>
      <c r="T281" s="1" t="str">
        <f t="shared" si="45"/>
        <v>lbw</v>
      </c>
      <c r="U281" s="1" t="str">
        <f t="shared" si="46"/>
        <v>2</v>
      </c>
      <c r="V281" s="1" t="str">
        <f t="shared" si="47"/>
        <v xml:space="preserve"> Sri Lanka</v>
      </c>
      <c r="W281" s="1" t="str">
        <f t="shared" si="48"/>
        <v>Colombo (RPS)</v>
      </c>
      <c r="X281" s="1" t="str">
        <f t="shared" si="49"/>
        <v>Yes</v>
      </c>
      <c r="Y281" s="1"/>
    </row>
    <row r="282" spans="1:25" ht="14.25" customHeight="1">
      <c r="A282" s="1"/>
      <c r="B282" s="1">
        <v>264</v>
      </c>
      <c r="C282" s="1" t="s">
        <v>218</v>
      </c>
      <c r="D282" s="1" t="s">
        <v>369</v>
      </c>
      <c r="E282" s="1" t="s">
        <v>202</v>
      </c>
      <c r="F282" s="1" t="s">
        <v>140</v>
      </c>
      <c r="G282" s="1" t="s">
        <v>784</v>
      </c>
      <c r="H282" s="1" t="s">
        <v>24</v>
      </c>
      <c r="I282" s="1" t="s">
        <v>151</v>
      </c>
      <c r="J282" s="1" t="s">
        <v>133</v>
      </c>
      <c r="K282" s="1" t="s">
        <v>27</v>
      </c>
      <c r="L282" s="1"/>
      <c r="M282" s="1"/>
      <c r="N282" s="1" t="str">
        <f t="shared" si="42"/>
        <v>No</v>
      </c>
      <c r="O282" s="1">
        <f t="shared" si="43"/>
        <v>2</v>
      </c>
      <c r="P282" s="1">
        <f t="shared" si="44"/>
        <v>44</v>
      </c>
      <c r="Q282" s="1">
        <f t="shared" si="41"/>
        <v>5</v>
      </c>
      <c r="R282" s="1">
        <f t="shared" si="41"/>
        <v>4</v>
      </c>
      <c r="S282" s="29">
        <f t="shared" si="41"/>
        <v>145.44999999999999</v>
      </c>
      <c r="T282" s="1" t="str">
        <f t="shared" si="45"/>
        <v>caught</v>
      </c>
      <c r="U282" s="1" t="str">
        <f t="shared" si="46"/>
        <v>2</v>
      </c>
      <c r="V282" s="1" t="str">
        <f t="shared" si="47"/>
        <v xml:space="preserve"> Sri Lanka</v>
      </c>
      <c r="W282" s="1" t="str">
        <f t="shared" si="48"/>
        <v>Colombo (RPS)</v>
      </c>
      <c r="X282" s="1" t="str">
        <f t="shared" si="49"/>
        <v>Yes</v>
      </c>
      <c r="Y282" s="1"/>
    </row>
    <row r="283" spans="1:25" ht="14.25" customHeight="1">
      <c r="A283" s="1"/>
      <c r="B283" s="1">
        <v>265</v>
      </c>
      <c r="C283" s="1" t="s">
        <v>248</v>
      </c>
      <c r="D283" s="1" t="s">
        <v>238</v>
      </c>
      <c r="E283" s="1" t="s">
        <v>136</v>
      </c>
      <c r="F283" s="1" t="s">
        <v>130</v>
      </c>
      <c r="G283" s="1" t="s">
        <v>947</v>
      </c>
      <c r="H283" s="1" t="s">
        <v>24</v>
      </c>
      <c r="I283" s="1" t="s">
        <v>151</v>
      </c>
      <c r="J283" s="1" t="s">
        <v>133</v>
      </c>
      <c r="K283" s="1" t="s">
        <v>27</v>
      </c>
      <c r="L283" s="1"/>
      <c r="M283" s="1"/>
      <c r="N283" s="1" t="str">
        <f t="shared" si="42"/>
        <v>No</v>
      </c>
      <c r="O283" s="1">
        <f t="shared" si="43"/>
        <v>119</v>
      </c>
      <c r="P283" s="1">
        <f t="shared" si="44"/>
        <v>20</v>
      </c>
      <c r="Q283" s="1">
        <f t="shared" si="41"/>
        <v>6</v>
      </c>
      <c r="R283" s="1">
        <f t="shared" si="41"/>
        <v>1</v>
      </c>
      <c r="S283" s="29">
        <f t="shared" si="41"/>
        <v>175</v>
      </c>
      <c r="T283" s="1" t="str">
        <f t="shared" si="45"/>
        <v>caught</v>
      </c>
      <c r="U283" s="1" t="str">
        <f t="shared" si="46"/>
        <v>2</v>
      </c>
      <c r="V283" s="1" t="str">
        <f t="shared" si="47"/>
        <v xml:space="preserve"> Sri Lanka</v>
      </c>
      <c r="W283" s="1" t="str">
        <f t="shared" si="48"/>
        <v>Colombo (RPS)</v>
      </c>
      <c r="X283" s="1" t="str">
        <f t="shared" si="49"/>
        <v>Yes</v>
      </c>
      <c r="Y283" s="1"/>
    </row>
    <row r="284" spans="1:25" ht="14.25" customHeight="1">
      <c r="A284" s="1"/>
      <c r="B284" s="1">
        <v>266</v>
      </c>
      <c r="C284" s="1" t="s">
        <v>151</v>
      </c>
      <c r="D284" s="1" t="s">
        <v>144</v>
      </c>
      <c r="E284" s="1" t="s">
        <v>131</v>
      </c>
      <c r="F284" s="1" t="s">
        <v>131</v>
      </c>
      <c r="G284" s="1" t="s">
        <v>539</v>
      </c>
      <c r="H284" s="1" t="s">
        <v>24</v>
      </c>
      <c r="I284" s="1" t="s">
        <v>151</v>
      </c>
      <c r="J284" s="1" t="s">
        <v>234</v>
      </c>
      <c r="K284" s="1" t="s">
        <v>50</v>
      </c>
      <c r="L284" s="1"/>
      <c r="M284" s="1"/>
      <c r="N284" s="1" t="str">
        <f t="shared" si="42"/>
        <v>No</v>
      </c>
      <c r="O284" s="1">
        <f t="shared" si="43"/>
        <v>1</v>
      </c>
      <c r="P284" s="1">
        <f t="shared" si="44"/>
        <v>7</v>
      </c>
      <c r="Q284" s="1">
        <f t="shared" si="41"/>
        <v>0</v>
      </c>
      <c r="R284" s="1">
        <f t="shared" si="41"/>
        <v>0</v>
      </c>
      <c r="S284" s="29">
        <f t="shared" si="41"/>
        <v>28.57</v>
      </c>
      <c r="T284" s="1" t="str">
        <f t="shared" si="45"/>
        <v>caught</v>
      </c>
      <c r="U284" s="1" t="str">
        <f t="shared" si="46"/>
        <v>2</v>
      </c>
      <c r="V284" s="1" t="str">
        <f t="shared" si="47"/>
        <v xml:space="preserve"> England</v>
      </c>
      <c r="W284" s="1" t="str">
        <f t="shared" si="48"/>
        <v>Nagpur</v>
      </c>
      <c r="X284" s="1" t="str">
        <f t="shared" si="49"/>
        <v>Yes</v>
      </c>
      <c r="Y284" s="1"/>
    </row>
    <row r="285" spans="1:25" ht="14.25" customHeight="1">
      <c r="A285" s="1"/>
      <c r="B285" s="1">
        <v>267</v>
      </c>
      <c r="C285" s="1" t="s">
        <v>302</v>
      </c>
      <c r="D285" s="1" t="s">
        <v>835</v>
      </c>
      <c r="E285" s="1" t="s">
        <v>128</v>
      </c>
      <c r="F285" s="1" t="s">
        <v>144</v>
      </c>
      <c r="G285" s="1" t="s">
        <v>948</v>
      </c>
      <c r="H285" s="1" t="s">
        <v>24</v>
      </c>
      <c r="I285" s="1" t="s">
        <v>151</v>
      </c>
      <c r="J285" s="1" t="s">
        <v>234</v>
      </c>
      <c r="K285" s="1" t="s">
        <v>86</v>
      </c>
      <c r="L285" s="1"/>
      <c r="M285" s="1"/>
      <c r="N285" s="1" t="str">
        <f t="shared" si="42"/>
        <v>No</v>
      </c>
      <c r="O285" s="1">
        <f t="shared" si="43"/>
        <v>41</v>
      </c>
      <c r="P285" s="1">
        <f t="shared" si="44"/>
        <v>90</v>
      </c>
      <c r="Q285" s="1">
        <f t="shared" si="41"/>
        <v>12</v>
      </c>
      <c r="R285" s="1">
        <f t="shared" si="41"/>
        <v>7</v>
      </c>
      <c r="S285" s="29">
        <f t="shared" si="41"/>
        <v>132.22</v>
      </c>
      <c r="T285" s="1" t="str">
        <f t="shared" si="45"/>
        <v>caught</v>
      </c>
      <c r="U285" s="1" t="str">
        <f t="shared" si="46"/>
        <v>2</v>
      </c>
      <c r="V285" s="1" t="str">
        <f t="shared" si="47"/>
        <v xml:space="preserve"> England</v>
      </c>
      <c r="W285" s="1" t="str">
        <f t="shared" si="48"/>
        <v>Cuttack</v>
      </c>
      <c r="X285" s="1" t="str">
        <f t="shared" si="49"/>
        <v>Yes</v>
      </c>
      <c r="Y285" s="1"/>
    </row>
    <row r="286" spans="1:25" ht="14.25" customHeight="1">
      <c r="A286" s="1"/>
      <c r="B286" s="1">
        <v>268</v>
      </c>
      <c r="C286" s="1" t="s">
        <v>130</v>
      </c>
      <c r="D286" s="1" t="s">
        <v>151</v>
      </c>
      <c r="E286" s="1" t="s">
        <v>131</v>
      </c>
      <c r="F286" s="1" t="s">
        <v>131</v>
      </c>
      <c r="G286" s="1" t="s">
        <v>204</v>
      </c>
      <c r="H286" s="1" t="s">
        <v>24</v>
      </c>
      <c r="I286" s="1" t="s">
        <v>130</v>
      </c>
      <c r="J286" s="1" t="s">
        <v>234</v>
      </c>
      <c r="K286" s="1" t="s">
        <v>59</v>
      </c>
      <c r="L286" s="1"/>
      <c r="M286" s="1"/>
      <c r="N286" s="1" t="str">
        <f t="shared" si="42"/>
        <v>No</v>
      </c>
      <c r="O286" s="1">
        <f t="shared" si="43"/>
        <v>20</v>
      </c>
      <c r="P286" s="1">
        <f t="shared" si="44"/>
        <v>2</v>
      </c>
      <c r="Q286" s="1">
        <f t="shared" si="41"/>
        <v>0</v>
      </c>
      <c r="R286" s="1">
        <f t="shared" si="41"/>
        <v>0</v>
      </c>
      <c r="S286" s="29">
        <f t="shared" si="41"/>
        <v>50</v>
      </c>
      <c r="T286" s="1" t="str">
        <f t="shared" si="45"/>
        <v>caught</v>
      </c>
      <c r="U286" s="1" t="str">
        <f t="shared" si="46"/>
        <v>1</v>
      </c>
      <c r="V286" s="1" t="str">
        <f t="shared" si="47"/>
        <v xml:space="preserve"> England</v>
      </c>
      <c r="W286" s="1" t="str">
        <f t="shared" si="48"/>
        <v>Ahmedabad</v>
      </c>
      <c r="X286" s="1" t="str">
        <f t="shared" si="49"/>
        <v>Yes</v>
      </c>
      <c r="Y286" s="1"/>
    </row>
    <row r="287" spans="1:25" ht="14.25" customHeight="1">
      <c r="A287" s="1"/>
      <c r="B287" s="1">
        <v>269</v>
      </c>
      <c r="C287" s="1" t="s">
        <v>165</v>
      </c>
      <c r="D287" s="1" t="s">
        <v>258</v>
      </c>
      <c r="E287" s="1" t="s">
        <v>144</v>
      </c>
      <c r="F287" s="1" t="s">
        <v>131</v>
      </c>
      <c r="G287" s="1" t="s">
        <v>949</v>
      </c>
      <c r="H287" s="1" t="s">
        <v>24</v>
      </c>
      <c r="I287" s="1" t="s">
        <v>151</v>
      </c>
      <c r="J287" s="1" t="s">
        <v>182</v>
      </c>
      <c r="K287" s="1" t="s">
        <v>123</v>
      </c>
      <c r="L287" s="1"/>
      <c r="M287" s="1"/>
      <c r="N287" s="1" t="str">
        <f t="shared" si="42"/>
        <v>No</v>
      </c>
      <c r="O287" s="1">
        <f t="shared" si="43"/>
        <v>15</v>
      </c>
      <c r="P287" s="1">
        <f t="shared" si="44"/>
        <v>36</v>
      </c>
      <c r="Q287" s="1">
        <f t="shared" si="41"/>
        <v>7</v>
      </c>
      <c r="R287" s="1">
        <f t="shared" si="41"/>
        <v>0</v>
      </c>
      <c r="S287" s="29">
        <f t="shared" si="41"/>
        <v>113.88</v>
      </c>
      <c r="T287" s="1" t="str">
        <f t="shared" si="45"/>
        <v>caught</v>
      </c>
      <c r="U287" s="1" t="str">
        <f t="shared" si="46"/>
        <v>2</v>
      </c>
      <c r="V287" s="1" t="str">
        <f t="shared" si="47"/>
        <v xml:space="preserve"> Bangladesh</v>
      </c>
      <c r="W287" s="1" t="str">
        <f t="shared" si="48"/>
        <v>Dubai (DICS)</v>
      </c>
      <c r="X287" s="1" t="str">
        <f t="shared" si="49"/>
        <v>Yes</v>
      </c>
      <c r="Y287" s="1"/>
    </row>
    <row r="288" spans="1:25" ht="14.25" customHeight="1">
      <c r="A288" s="1"/>
      <c r="B288" s="1">
        <v>270</v>
      </c>
      <c r="C288" s="1" t="s">
        <v>238</v>
      </c>
      <c r="D288" s="1" t="s">
        <v>283</v>
      </c>
      <c r="E288" s="1" t="s">
        <v>148</v>
      </c>
      <c r="F288" s="1" t="s">
        <v>130</v>
      </c>
      <c r="G288" s="1" t="s">
        <v>502</v>
      </c>
      <c r="H288" s="1" t="s">
        <v>29</v>
      </c>
      <c r="I288" s="1" t="s">
        <v>151</v>
      </c>
      <c r="J288" s="1" t="s">
        <v>156</v>
      </c>
      <c r="K288" s="1" t="s">
        <v>123</v>
      </c>
      <c r="L288" s="1"/>
      <c r="M288" s="1"/>
      <c r="N288" s="1" t="str">
        <f t="shared" si="42"/>
        <v>No</v>
      </c>
      <c r="O288" s="1">
        <f t="shared" si="43"/>
        <v>28</v>
      </c>
      <c r="P288" s="1">
        <f t="shared" si="44"/>
        <v>15</v>
      </c>
      <c r="Q288" s="1">
        <f t="shared" si="41"/>
        <v>3</v>
      </c>
      <c r="R288" s="1">
        <f t="shared" si="41"/>
        <v>1</v>
      </c>
      <c r="S288" s="29">
        <f t="shared" si="41"/>
        <v>133.33000000000001</v>
      </c>
      <c r="T288" s="1" t="str">
        <f t="shared" si="45"/>
        <v>bowled</v>
      </c>
      <c r="U288" s="1" t="str">
        <f t="shared" si="46"/>
        <v>2</v>
      </c>
      <c r="V288" s="1" t="str">
        <f t="shared" si="47"/>
        <v xml:space="preserve"> Pakistan</v>
      </c>
      <c r="W288" s="1" t="str">
        <f t="shared" si="48"/>
        <v>Dubai (DICS)</v>
      </c>
      <c r="X288" s="1" t="str">
        <f t="shared" si="49"/>
        <v>Yes</v>
      </c>
      <c r="Y288" s="1"/>
    </row>
    <row r="289" spans="1:25" ht="14.25" customHeight="1">
      <c r="A289" s="1"/>
      <c r="B289" s="1">
        <v>271</v>
      </c>
      <c r="C289" s="1" t="s">
        <v>283</v>
      </c>
      <c r="D289" s="1" t="s">
        <v>306</v>
      </c>
      <c r="E289" s="1" t="s">
        <v>130</v>
      </c>
      <c r="F289" s="1" t="s">
        <v>130</v>
      </c>
      <c r="G289" s="1" t="s">
        <v>406</v>
      </c>
      <c r="H289" s="1" t="s">
        <v>24</v>
      </c>
      <c r="I289" s="1" t="s">
        <v>130</v>
      </c>
      <c r="J289" s="1" t="s">
        <v>211</v>
      </c>
      <c r="K289" s="1" t="s">
        <v>123</v>
      </c>
      <c r="L289" s="1"/>
      <c r="M289" s="1"/>
      <c r="N289" s="1" t="str">
        <f t="shared" si="42"/>
        <v>No</v>
      </c>
      <c r="O289" s="1">
        <f t="shared" si="43"/>
        <v>76</v>
      </c>
      <c r="P289" s="1">
        <f t="shared" si="44"/>
        <v>17</v>
      </c>
      <c r="Q289" s="1">
        <f t="shared" si="41"/>
        <v>1</v>
      </c>
      <c r="R289" s="1">
        <f t="shared" si="41"/>
        <v>1</v>
      </c>
      <c r="S289" s="29">
        <f t="shared" si="41"/>
        <v>88.23</v>
      </c>
      <c r="T289" s="1" t="str">
        <f t="shared" si="45"/>
        <v>caught</v>
      </c>
      <c r="U289" s="1" t="str">
        <f t="shared" si="46"/>
        <v>1</v>
      </c>
      <c r="V289" s="1" t="str">
        <f t="shared" si="47"/>
        <v xml:space="preserve"> New Zealand</v>
      </c>
      <c r="W289" s="1" t="str">
        <f t="shared" si="48"/>
        <v>Dubai (DICS)</v>
      </c>
      <c r="X289" s="1" t="str">
        <f t="shared" si="49"/>
        <v>Yes</v>
      </c>
      <c r="Y289" s="1"/>
    </row>
    <row r="290" spans="1:25" ht="14.25" customHeight="1">
      <c r="A290" s="1"/>
      <c r="B290" s="1">
        <v>272</v>
      </c>
      <c r="C290" s="1" t="s">
        <v>207</v>
      </c>
      <c r="D290" s="1" t="s">
        <v>200</v>
      </c>
      <c r="E290" s="1" t="s">
        <v>148</v>
      </c>
      <c r="F290" s="1" t="s">
        <v>130</v>
      </c>
      <c r="G290" s="1" t="s">
        <v>850</v>
      </c>
      <c r="H290" s="1" t="s">
        <v>19</v>
      </c>
      <c r="I290" s="1" t="s">
        <v>151</v>
      </c>
      <c r="J290" s="1" t="s">
        <v>158</v>
      </c>
      <c r="K290" s="1" t="s">
        <v>123</v>
      </c>
      <c r="L290" s="1"/>
      <c r="M290" s="1"/>
      <c r="N290" s="1" t="str">
        <f t="shared" si="42"/>
        <v>No</v>
      </c>
      <c r="O290" s="1">
        <f>IF(N290="Yes", "NA",SUBSTITUTE(C290,"*","")*1)</f>
        <v>28</v>
      </c>
      <c r="P290" s="1">
        <f t="shared" si="44"/>
        <v>29</v>
      </c>
      <c r="Q290" s="1">
        <f t="shared" si="41"/>
        <v>3</v>
      </c>
      <c r="R290" s="1">
        <f t="shared" si="41"/>
        <v>1</v>
      </c>
      <c r="S290" s="29">
        <f t="shared" si="41"/>
        <v>96.55</v>
      </c>
      <c r="T290" s="1" t="str">
        <f t="shared" si="45"/>
        <v>lbw</v>
      </c>
      <c r="U290" s="1" t="str">
        <f t="shared" si="46"/>
        <v>2</v>
      </c>
      <c r="V290" s="1" t="str">
        <f t="shared" si="47"/>
        <v xml:space="preserve"> Australia</v>
      </c>
      <c r="W290" s="1" t="str">
        <f t="shared" si="48"/>
        <v>Dubai (DICS)</v>
      </c>
      <c r="X290" s="1" t="str">
        <f t="shared" si="49"/>
        <v>Yes</v>
      </c>
      <c r="Y290" s="1"/>
    </row>
    <row r="291" spans="1:25" ht="14.25" customHeight="1">
      <c r="A291" s="1"/>
      <c r="B291" s="1">
        <v>273</v>
      </c>
      <c r="C291" s="1" t="s">
        <v>242</v>
      </c>
      <c r="D291" s="1" t="s">
        <v>231</v>
      </c>
      <c r="E291" s="1" t="s">
        <v>144</v>
      </c>
      <c r="F291" s="1" t="s">
        <v>148</v>
      </c>
      <c r="G291" s="1" t="s">
        <v>950</v>
      </c>
      <c r="H291" s="1" t="s">
        <v>63</v>
      </c>
      <c r="I291" s="1" t="s">
        <v>151</v>
      </c>
      <c r="J291" s="1" t="s">
        <v>211</v>
      </c>
      <c r="K291" s="1" t="s">
        <v>123</v>
      </c>
      <c r="L291" s="1"/>
      <c r="M291" s="1"/>
      <c r="N291" s="1" t="str">
        <f t="shared" si="42"/>
        <v>No</v>
      </c>
      <c r="O291" s="1">
        <f>IF(N291="Yes", "NA",SUBSTITUTE(C291,"*","")*1)</f>
        <v>76</v>
      </c>
      <c r="P291" s="1">
        <f t="shared" si="44"/>
        <v>83</v>
      </c>
      <c r="Q291" s="1">
        <f t="shared" ref="Q291:S291" si="50">IF(E291="-","NA",E291*1)</f>
        <v>7</v>
      </c>
      <c r="R291" s="1">
        <f t="shared" si="50"/>
        <v>3</v>
      </c>
      <c r="S291" s="29">
        <f t="shared" si="50"/>
        <v>91.56</v>
      </c>
      <c r="T291" s="1" t="str">
        <f t="shared" si="45"/>
        <v>stumped</v>
      </c>
      <c r="U291" s="1" t="str">
        <f t="shared" si="46"/>
        <v>2</v>
      </c>
      <c r="V291" s="1" t="str">
        <f t="shared" si="47"/>
        <v xml:space="preserve"> New Zealand</v>
      </c>
      <c r="W291" s="1" t="str">
        <f t="shared" si="48"/>
        <v>Dubai (DICS)</v>
      </c>
      <c r="X291" s="1" t="str">
        <f t="shared" si="49"/>
        <v>Yes</v>
      </c>
      <c r="Y291" s="1"/>
    </row>
    <row r="292" spans="1:25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</sheetData>
  <autoFilter ref="N18:X18" xr:uid="{00000000-0001-0000-0300-000000000000}"/>
  <mergeCells count="5">
    <mergeCell ref="B1:B3"/>
    <mergeCell ref="D2:G2"/>
    <mergeCell ref="B16:K16"/>
    <mergeCell ref="N16:X16"/>
    <mergeCell ref="Q2:V2"/>
  </mergeCells>
  <pageMargins left="0.7" right="0.7" top="0.75" bottom="0.75" header="0" footer="0"/>
  <pageSetup orientation="landscape"/>
  <ignoredErrors>
    <ignoredError sqref="V19:V291" formula="1"/>
  </ignoredErrors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7"/>
  <sheetViews>
    <sheetView showGridLines="0" workbookViewId="0">
      <selection activeCell="R11" sqref="R11"/>
    </sheetView>
  </sheetViews>
  <sheetFormatPr defaultColWidth="14.44140625" defaultRowHeight="15" customHeight="1"/>
  <cols>
    <col min="1" max="1" width="4" customWidth="1"/>
    <col min="2" max="2" width="14.88671875" customWidth="1"/>
    <col min="3" max="3" width="8.6640625" customWidth="1"/>
    <col min="4" max="4" width="12.5546875" customWidth="1"/>
    <col min="5" max="8" width="8.6640625" customWidth="1"/>
    <col min="9" max="9" width="9.33203125" customWidth="1"/>
    <col min="10" max="10" width="14.33203125" customWidth="1"/>
    <col min="11" max="11" width="20.33203125" customWidth="1"/>
    <col min="12" max="12" width="1.88671875" customWidth="1"/>
    <col min="13" max="13" width="8.6640625" customWidth="1"/>
    <col min="14" max="14" width="25.33203125" customWidth="1"/>
    <col min="15" max="15" width="8.6640625" customWidth="1"/>
    <col min="16" max="16" width="14.6640625" customWidth="1"/>
    <col min="17" max="18" width="8.6640625" customWidth="1"/>
    <col min="19" max="19" width="8.6640625" style="33" customWidth="1"/>
    <col min="20" max="20" width="15.21875" customWidth="1"/>
    <col min="21" max="21" width="12.109375" customWidth="1"/>
    <col min="22" max="22" width="14.77734375" customWidth="1"/>
    <col min="23" max="23" width="11.88671875" customWidth="1"/>
    <col min="24" max="25" width="8.6640625" customWidth="1"/>
  </cols>
  <sheetData>
    <row r="1" spans="1:25" ht="14.25" customHeight="1">
      <c r="A1" s="1"/>
      <c r="B1" s="4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1329</v>
      </c>
      <c r="O1" s="1"/>
      <c r="P1" s="1"/>
      <c r="Q1" s="1"/>
      <c r="R1" s="1"/>
      <c r="S1" s="29"/>
      <c r="T1" s="1"/>
      <c r="U1" s="1"/>
      <c r="V1" s="1"/>
      <c r="W1" s="1"/>
      <c r="X1" s="1"/>
      <c r="Y1" s="1"/>
    </row>
    <row r="2" spans="1:25" ht="14.25" customHeight="1">
      <c r="A2" s="1"/>
      <c r="B2" s="45"/>
      <c r="C2" s="1" t="s">
        <v>0</v>
      </c>
      <c r="D2" s="46" t="s">
        <v>1202</v>
      </c>
      <c r="E2" s="47"/>
      <c r="F2" s="47"/>
      <c r="G2" s="48"/>
      <c r="H2" s="1"/>
      <c r="K2" s="1"/>
      <c r="L2" s="1"/>
      <c r="M2" s="1"/>
      <c r="N2" s="25" t="s">
        <v>18</v>
      </c>
      <c r="O2" s="24" t="s">
        <v>1326</v>
      </c>
      <c r="P2" s="1"/>
      <c r="Q2" s="49" t="s">
        <v>1331</v>
      </c>
      <c r="R2" s="49"/>
      <c r="S2" s="49"/>
      <c r="T2" s="49"/>
      <c r="U2" s="49"/>
      <c r="V2" s="49"/>
      <c r="W2" s="1"/>
      <c r="X2" s="1"/>
      <c r="Y2" s="1"/>
    </row>
    <row r="3" spans="1:25" ht="14.25" customHeight="1">
      <c r="A3" s="1"/>
      <c r="B3" s="45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2" t="s">
        <v>23</v>
      </c>
      <c r="O3" s="10">
        <f>COUNT(B18:B367)</f>
        <v>55</v>
      </c>
      <c r="P3" s="1"/>
      <c r="Q3" s="1"/>
      <c r="R3" s="1"/>
      <c r="S3" s="29"/>
      <c r="T3" s="1"/>
      <c r="U3" s="1"/>
      <c r="V3" s="1"/>
      <c r="W3" s="1"/>
      <c r="X3" s="1"/>
      <c r="Y3" s="1"/>
    </row>
    <row r="4" spans="1:25" ht="14.25" customHeight="1">
      <c r="A4" s="1"/>
      <c r="B4" s="4" t="s">
        <v>2</v>
      </c>
      <c r="C4" s="5">
        <f>SUM(O19:O73)/ COUNTIF(X19:X73,"Yes")</f>
        <v>59.531914893617021</v>
      </c>
      <c r="D4" s="5">
        <f>AVERAGE(P19:P73)</f>
        <v>50.672727272727272</v>
      </c>
      <c r="E4" s="5">
        <f t="shared" ref="E4:F4" si="0">AVERAGE(Q19:Q73)</f>
        <v>5.6909090909090905</v>
      </c>
      <c r="F4" s="5">
        <f t="shared" si="0"/>
        <v>1.0727272727272728</v>
      </c>
      <c r="G4" s="21">
        <f>SUM(O19:O73)/SUM(P19:P73)</f>
        <v>1.0039468963042699</v>
      </c>
      <c r="H4" s="6"/>
      <c r="I4" s="6"/>
      <c r="J4" s="6"/>
      <c r="K4" s="7"/>
      <c r="L4" s="3"/>
      <c r="M4" s="1"/>
      <c r="N4" s="2" t="s">
        <v>25</v>
      </c>
      <c r="O4" s="10">
        <f>MAX(O18:O367)</f>
        <v>208</v>
      </c>
      <c r="P4" s="1"/>
      <c r="Q4" s="1"/>
      <c r="R4" s="1"/>
      <c r="S4" s="29"/>
      <c r="T4" s="1"/>
      <c r="U4" s="1"/>
      <c r="V4" s="1"/>
      <c r="W4" s="1"/>
      <c r="X4" s="1"/>
      <c r="Y4" s="1"/>
    </row>
    <row r="5" spans="1:25" ht="14.25" customHeight="1">
      <c r="A5" s="1"/>
      <c r="B5" s="8" t="s">
        <v>3</v>
      </c>
      <c r="C5" s="9">
        <f>MEDIAN(O19:O73)</f>
        <v>40</v>
      </c>
      <c r="D5" s="9">
        <f t="shared" ref="D5:G5" si="1">MEDIAN(P19:P73)</f>
        <v>49</v>
      </c>
      <c r="E5" s="9">
        <f t="shared" si="1"/>
        <v>5</v>
      </c>
      <c r="F5" s="9">
        <f t="shared" si="1"/>
        <v>0</v>
      </c>
      <c r="G5" s="9">
        <f t="shared" si="1"/>
        <v>90.62</v>
      </c>
      <c r="H5" s="10"/>
      <c r="I5" s="10"/>
      <c r="J5" s="10"/>
      <c r="K5" s="11"/>
      <c r="L5" s="3"/>
      <c r="M5" s="3"/>
      <c r="N5" s="2" t="s">
        <v>28</v>
      </c>
      <c r="O5" s="10">
        <f>COUNTIF(O18:O367,0)</f>
        <v>1</v>
      </c>
      <c r="P5" s="1"/>
      <c r="Q5" s="1"/>
      <c r="R5" s="1"/>
      <c r="S5" s="29"/>
      <c r="T5" s="1"/>
      <c r="U5" s="1"/>
      <c r="V5" s="1"/>
      <c r="W5" s="1"/>
      <c r="X5" s="1"/>
      <c r="Y5" s="1"/>
    </row>
    <row r="6" spans="1:25" ht="14.25" customHeight="1">
      <c r="A6" s="1"/>
      <c r="B6" s="8" t="s">
        <v>4</v>
      </c>
      <c r="C6" s="9"/>
      <c r="D6" s="9"/>
      <c r="E6" s="9"/>
      <c r="F6" s="9"/>
      <c r="G6" s="9"/>
      <c r="H6" s="10"/>
      <c r="I6" s="10"/>
      <c r="J6" s="10"/>
      <c r="K6" s="20"/>
      <c r="L6" s="1"/>
      <c r="M6" s="1"/>
      <c r="N6" s="2" t="s">
        <v>30</v>
      </c>
      <c r="O6" s="10">
        <f>COUNTIF(O18:O367, "&gt;=100")</f>
        <v>8</v>
      </c>
      <c r="P6" s="1"/>
      <c r="Q6" s="1"/>
      <c r="R6" s="1"/>
      <c r="S6" s="29"/>
      <c r="T6" s="1"/>
      <c r="U6" s="1"/>
      <c r="V6" s="1"/>
      <c r="W6" s="1"/>
      <c r="X6" s="1"/>
      <c r="Y6" s="1"/>
    </row>
    <row r="7" spans="1:25" ht="14.25" customHeight="1">
      <c r="A7" s="1"/>
      <c r="B7" s="8" t="s">
        <v>5</v>
      </c>
      <c r="C7" s="9">
        <f>_xlfn.STDEV.S(O19:O73)</f>
        <v>41.879480764342212</v>
      </c>
      <c r="D7" s="9">
        <f t="shared" ref="D7:G7" si="2">_xlfn.STDEV.S(P19:P73)</f>
        <v>35.136798556422477</v>
      </c>
      <c r="E7" s="9">
        <f t="shared" si="2"/>
        <v>4.5658666260785639</v>
      </c>
      <c r="F7" s="9">
        <f t="shared" si="2"/>
        <v>1.7411633558198472</v>
      </c>
      <c r="G7" s="9">
        <f t="shared" si="2"/>
        <v>34.832538947009695</v>
      </c>
      <c r="H7" s="10"/>
      <c r="I7" s="10"/>
      <c r="J7" s="10"/>
      <c r="K7" s="11"/>
      <c r="L7" s="1"/>
      <c r="M7" s="1"/>
      <c r="N7" s="2" t="s">
        <v>31</v>
      </c>
      <c r="O7" s="10">
        <f>COUNTIFS(O18:O367, "&gt;=50", O18:O367, "&lt;=100")</f>
        <v>15</v>
      </c>
      <c r="P7" s="1"/>
      <c r="Q7" s="1"/>
      <c r="R7" s="1"/>
      <c r="S7" s="29"/>
      <c r="T7" s="1"/>
      <c r="U7" s="1"/>
      <c r="V7" s="1"/>
      <c r="W7" s="1"/>
      <c r="X7" s="1"/>
      <c r="Y7" s="1"/>
    </row>
    <row r="8" spans="1:25" ht="14.25" customHeight="1">
      <c r="A8" s="1"/>
      <c r="B8" s="8" t="s">
        <v>6</v>
      </c>
      <c r="C8" s="9">
        <f>SKEW(O19:O73)</f>
        <v>1.2572507858454534</v>
      </c>
      <c r="D8" s="9">
        <f>SKEW(P19:P73)</f>
        <v>0.83180685965637691</v>
      </c>
      <c r="E8" s="9">
        <f t="shared" ref="E8:G8" si="3">SKEW(Q19:Q73)</f>
        <v>0.79394755874691847</v>
      </c>
      <c r="F8" s="9">
        <f t="shared" si="3"/>
        <v>2.3964716579882803</v>
      </c>
      <c r="G8" s="9">
        <f t="shared" si="3"/>
        <v>-2.918678256883564E-2</v>
      </c>
      <c r="H8" s="10"/>
      <c r="I8" s="10"/>
      <c r="J8" s="10"/>
      <c r="K8" s="11"/>
      <c r="L8" s="1"/>
      <c r="M8" s="1"/>
      <c r="N8" s="2" t="s">
        <v>34</v>
      </c>
      <c r="O8" s="10">
        <f>SUM(Q18:Q367)*4+SUM(R18:R367)*6</f>
        <v>1606</v>
      </c>
      <c r="P8" s="1"/>
      <c r="Q8" s="1"/>
      <c r="R8" s="1"/>
      <c r="S8" s="29"/>
      <c r="T8" s="1"/>
      <c r="U8" s="1"/>
      <c r="V8" s="1"/>
      <c r="W8" s="1"/>
      <c r="X8" s="1"/>
      <c r="Y8" s="1"/>
    </row>
    <row r="9" spans="1:25" ht="14.25" customHeight="1">
      <c r="A9" s="1"/>
      <c r="B9" s="12" t="s">
        <v>7</v>
      </c>
      <c r="C9" s="13">
        <f>KURT(O19:O73)</f>
        <v>2.2019063106359176</v>
      </c>
      <c r="D9" s="13">
        <f t="shared" ref="D9:G9" si="4">KURT(P19:P73)</f>
        <v>0.21666832395007907</v>
      </c>
      <c r="E9" s="13">
        <f t="shared" si="4"/>
        <v>0.15706598300094132</v>
      </c>
      <c r="F9" s="13">
        <f t="shared" si="4"/>
        <v>7.3174216882157914</v>
      </c>
      <c r="G9" s="13">
        <f t="shared" si="4"/>
        <v>0.12561466927624831</v>
      </c>
      <c r="H9" s="14"/>
      <c r="I9" s="14"/>
      <c r="J9" s="14"/>
      <c r="K9" s="15"/>
      <c r="L9" s="1"/>
      <c r="M9" s="1"/>
      <c r="N9" s="2" t="s">
        <v>37</v>
      </c>
      <c r="O9" s="18">
        <f>O8/SUM(O18:O367)</f>
        <v>0.57398141529664048</v>
      </c>
      <c r="P9" s="1"/>
      <c r="Q9" s="1"/>
      <c r="R9" s="1"/>
      <c r="S9" s="29"/>
      <c r="T9" s="1"/>
      <c r="U9" s="1"/>
      <c r="V9" s="1"/>
      <c r="W9" s="1"/>
      <c r="X9" s="1"/>
      <c r="Y9" s="1"/>
    </row>
    <row r="10" spans="1:25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 t="s">
        <v>41</v>
      </c>
      <c r="O10" s="18">
        <f>C7/C4</f>
        <v>0.70347948388995141</v>
      </c>
      <c r="P10" s="1"/>
      <c r="Q10" s="1"/>
      <c r="R10" s="1"/>
      <c r="S10" s="29"/>
      <c r="T10" s="1"/>
      <c r="U10" s="1"/>
      <c r="V10" s="1"/>
      <c r="W10" s="1"/>
      <c r="X10" s="1"/>
      <c r="Y10" s="1"/>
    </row>
    <row r="11" spans="1:25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29"/>
      <c r="T11" s="1"/>
      <c r="U11" s="1"/>
      <c r="V11" s="1"/>
      <c r="W11" s="1"/>
      <c r="X11" s="1"/>
      <c r="Y11" s="1"/>
    </row>
    <row r="12" spans="1:25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 t="s">
        <v>47</v>
      </c>
      <c r="O12" s="18">
        <f>COUNTIF(T18:T367, "run out")/COUNTIF(X18:X367, "Yes")</f>
        <v>2.1276595744680851E-2</v>
      </c>
      <c r="P12" s="1"/>
      <c r="Q12" s="1"/>
      <c r="R12" s="1"/>
      <c r="S12" s="29"/>
      <c r="T12" s="1"/>
      <c r="U12" s="1"/>
      <c r="V12" s="1"/>
      <c r="W12" s="1"/>
      <c r="X12" s="1"/>
      <c r="Y12" s="1"/>
    </row>
    <row r="13" spans="1:25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 t="s">
        <v>49</v>
      </c>
      <c r="O13" s="10">
        <f>SUMIFS(R19:R73,V19:V73, "*Sri Lanka")</f>
        <v>4</v>
      </c>
      <c r="P13" s="1"/>
      <c r="Q13" s="1"/>
      <c r="R13" s="1"/>
      <c r="S13" s="29"/>
      <c r="T13" s="1"/>
      <c r="U13" s="1"/>
      <c r="V13" s="1"/>
      <c r="W13" s="1"/>
      <c r="X13" s="1"/>
      <c r="Y13" s="1"/>
    </row>
    <row r="14" spans="1:25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29"/>
      <c r="T14" s="1"/>
      <c r="U14" s="1"/>
      <c r="V14" s="1"/>
      <c r="W14" s="1"/>
      <c r="X14" s="1"/>
      <c r="Y14" s="1"/>
    </row>
    <row r="15" spans="1:2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9"/>
      <c r="T15" s="1"/>
      <c r="U15" s="1"/>
      <c r="V15" s="1"/>
      <c r="W15" s="1"/>
      <c r="X15" s="1"/>
      <c r="Y15" s="1"/>
    </row>
    <row r="16" spans="1:25" ht="14.25" customHeight="1">
      <c r="A16" s="1"/>
      <c r="B16" s="49" t="s">
        <v>125</v>
      </c>
      <c r="C16" s="49"/>
      <c r="D16" s="49"/>
      <c r="E16" s="49"/>
      <c r="F16" s="49"/>
      <c r="G16" s="49"/>
      <c r="H16" s="49"/>
      <c r="I16" s="49"/>
      <c r="J16" s="49"/>
      <c r="K16" s="49"/>
      <c r="L16" s="1"/>
      <c r="M16" s="1"/>
      <c r="N16" s="49" t="s">
        <v>126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1"/>
    </row>
    <row r="17" spans="1:25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29"/>
      <c r="T17" s="1"/>
      <c r="U17" s="1"/>
      <c r="V17" s="1"/>
      <c r="W17" s="1"/>
      <c r="X17" s="1"/>
      <c r="Y17" s="1"/>
    </row>
    <row r="18" spans="1:25" ht="14.25" customHeight="1">
      <c r="A18" s="1"/>
      <c r="B18" s="16" t="s">
        <v>127</v>
      </c>
      <c r="C18" s="16" t="s">
        <v>9</v>
      </c>
      <c r="D18" s="16" t="s">
        <v>10</v>
      </c>
      <c r="E18" s="16" t="s">
        <v>11</v>
      </c>
      <c r="F18" s="16" t="s">
        <v>12</v>
      </c>
      <c r="G18" s="16" t="s">
        <v>13</v>
      </c>
      <c r="H18" s="16" t="s">
        <v>14</v>
      </c>
      <c r="I18" s="16" t="s">
        <v>529</v>
      </c>
      <c r="J18" s="16" t="s">
        <v>15</v>
      </c>
      <c r="K18" s="16" t="s">
        <v>16</v>
      </c>
      <c r="L18" s="19"/>
      <c r="M18" s="1"/>
      <c r="N18" s="23" t="s">
        <v>57</v>
      </c>
      <c r="O18" s="23" t="s">
        <v>9</v>
      </c>
      <c r="P18" s="23" t="s">
        <v>10</v>
      </c>
      <c r="Q18" s="23" t="s">
        <v>11</v>
      </c>
      <c r="R18" s="16" t="s">
        <v>12</v>
      </c>
      <c r="S18" s="30" t="s">
        <v>13</v>
      </c>
      <c r="T18" s="16" t="s">
        <v>14</v>
      </c>
      <c r="U18" s="16" t="s">
        <v>529</v>
      </c>
      <c r="V18" s="16" t="s">
        <v>15</v>
      </c>
      <c r="W18" s="16" t="s">
        <v>16</v>
      </c>
      <c r="X18" s="16" t="s">
        <v>17</v>
      </c>
      <c r="Y18" s="1"/>
    </row>
    <row r="19" spans="1:25" ht="14.25" customHeight="1">
      <c r="A19" s="1"/>
      <c r="B19" s="1">
        <v>1</v>
      </c>
      <c r="C19" s="1" t="s">
        <v>161</v>
      </c>
      <c r="D19" s="1" t="s">
        <v>246</v>
      </c>
      <c r="E19" s="1" t="s">
        <v>130</v>
      </c>
      <c r="F19" s="1" t="s">
        <v>131</v>
      </c>
      <c r="G19" s="1" t="s">
        <v>247</v>
      </c>
      <c r="H19" s="1" t="s">
        <v>24</v>
      </c>
      <c r="I19" s="1" t="s">
        <v>130</v>
      </c>
      <c r="J19" s="1" t="s">
        <v>211</v>
      </c>
      <c r="K19" s="1" t="s">
        <v>103</v>
      </c>
      <c r="L19" s="1"/>
      <c r="M19" s="1"/>
      <c r="N19" s="1" t="str">
        <f t="shared" ref="N19:N50" si="5">IF(OR(C19="DNB",C19="TDNB"),"Yes","No")</f>
        <v>No</v>
      </c>
      <c r="O19" s="1">
        <f t="shared" ref="O19:O50" si="6">IF(N21="Yes", "NA",SUBSTITUTE(C21,"*","")*1)</f>
        <v>33</v>
      </c>
      <c r="P19" s="1">
        <f>IF(D19="-","NA",D19*1)</f>
        <v>21</v>
      </c>
      <c r="Q19" s="1">
        <f t="shared" ref="Q19:S34" si="7">IF(E19="-","NA",E19*1)</f>
        <v>1</v>
      </c>
      <c r="R19" s="1">
        <f t="shared" si="7"/>
        <v>0</v>
      </c>
      <c r="S19" s="29">
        <f t="shared" si="7"/>
        <v>42.85</v>
      </c>
      <c r="T19" s="1" t="str">
        <f t="shared" ref="T19:T24" si="8">IF(H19="-","NA",H19)</f>
        <v>caught</v>
      </c>
      <c r="U19" s="1" t="str">
        <f>I19</f>
        <v>1</v>
      </c>
      <c r="V19" s="1" t="str">
        <f t="shared" ref="V19:V73" si="9">SUBSTITUTE(J19,"v","")</f>
        <v xml:space="preserve"> New Zealand</v>
      </c>
      <c r="W19" s="1" t="str">
        <f t="shared" ref="W19:W73" si="10">K19</f>
        <v>Hamilton</v>
      </c>
      <c r="X19" s="1" t="str">
        <f t="shared" ref="X19:X73" si="11">IF(N19="Yes","No",IF(T19="not out","No","Yes"))</f>
        <v>Yes</v>
      </c>
      <c r="Y19" s="1"/>
    </row>
    <row r="20" spans="1:25" ht="14.25" customHeight="1">
      <c r="A20" s="1"/>
      <c r="B20" s="1">
        <v>2</v>
      </c>
      <c r="C20" s="1" t="s">
        <v>144</v>
      </c>
      <c r="D20" s="1" t="s">
        <v>176</v>
      </c>
      <c r="E20" s="1" t="s">
        <v>130</v>
      </c>
      <c r="F20" s="1" t="s">
        <v>131</v>
      </c>
      <c r="G20" s="1" t="s">
        <v>545</v>
      </c>
      <c r="H20" s="1" t="s">
        <v>24</v>
      </c>
      <c r="I20" s="1" t="s">
        <v>130</v>
      </c>
      <c r="J20" s="1" t="s">
        <v>211</v>
      </c>
      <c r="K20" s="1" t="s">
        <v>105</v>
      </c>
      <c r="L20" s="1"/>
      <c r="M20" s="1"/>
      <c r="N20" s="1" t="str">
        <f t="shared" si="5"/>
        <v>No</v>
      </c>
      <c r="O20" s="1">
        <f t="shared" si="6"/>
        <v>64</v>
      </c>
      <c r="P20" s="1">
        <f t="shared" ref="P20:P73" si="12">IF(D20="-","NA",D20*1)</f>
        <v>11</v>
      </c>
      <c r="Q20" s="1">
        <f t="shared" si="7"/>
        <v>1</v>
      </c>
      <c r="R20" s="1">
        <f t="shared" si="7"/>
        <v>0</v>
      </c>
      <c r="S20" s="29">
        <f t="shared" si="7"/>
        <v>63.63</v>
      </c>
      <c r="T20" s="1" t="str">
        <f t="shared" si="8"/>
        <v>caught</v>
      </c>
      <c r="U20" s="1" t="str">
        <f t="shared" ref="U20:U73" si="13">I20</f>
        <v>1</v>
      </c>
      <c r="V20" s="1" t="str">
        <f t="shared" si="9"/>
        <v xml:space="preserve"> New Zealand</v>
      </c>
      <c r="W20" s="1" t="str">
        <f t="shared" si="10"/>
        <v>Wellington</v>
      </c>
      <c r="X20" s="1" t="str">
        <f t="shared" si="11"/>
        <v>Yes</v>
      </c>
      <c r="Y20" s="1"/>
    </row>
    <row r="21" spans="1:25" ht="14.25" customHeight="1">
      <c r="A21" s="1"/>
      <c r="B21" s="1">
        <v>3</v>
      </c>
      <c r="C21" s="1" t="s">
        <v>244</v>
      </c>
      <c r="D21" s="1" t="s">
        <v>436</v>
      </c>
      <c r="E21" s="1" t="s">
        <v>148</v>
      </c>
      <c r="F21" s="1" t="s">
        <v>130</v>
      </c>
      <c r="G21" s="1" t="s">
        <v>998</v>
      </c>
      <c r="H21" s="1" t="s">
        <v>19</v>
      </c>
      <c r="I21" s="1" t="s">
        <v>130</v>
      </c>
      <c r="J21" s="1" t="s">
        <v>158</v>
      </c>
      <c r="K21" s="1" t="s">
        <v>111</v>
      </c>
      <c r="L21" s="1"/>
      <c r="M21" s="1"/>
      <c r="N21" s="1" t="str">
        <f t="shared" si="5"/>
        <v>No</v>
      </c>
      <c r="O21" s="1">
        <f t="shared" si="6"/>
        <v>43</v>
      </c>
      <c r="P21" s="1">
        <f t="shared" si="12"/>
        <v>39</v>
      </c>
      <c r="Q21" s="1">
        <f t="shared" si="7"/>
        <v>3</v>
      </c>
      <c r="R21" s="1">
        <f t="shared" si="7"/>
        <v>1</v>
      </c>
      <c r="S21" s="29">
        <f t="shared" si="7"/>
        <v>84.61</v>
      </c>
      <c r="T21" s="1" t="str">
        <f t="shared" si="8"/>
        <v>lbw</v>
      </c>
      <c r="U21" s="1" t="str">
        <f t="shared" si="13"/>
        <v>1</v>
      </c>
      <c r="V21" s="1" t="str">
        <f t="shared" si="9"/>
        <v xml:space="preserve"> Australia</v>
      </c>
      <c r="W21" s="1" t="str">
        <f t="shared" si="10"/>
        <v>Canberra</v>
      </c>
      <c r="X21" s="1" t="str">
        <f t="shared" si="11"/>
        <v>Yes</v>
      </c>
      <c r="Y21" s="1"/>
    </row>
    <row r="22" spans="1:25" ht="14.25" customHeight="1">
      <c r="A22" s="1"/>
      <c r="B22" s="1">
        <v>4</v>
      </c>
      <c r="C22" s="1" t="s">
        <v>218</v>
      </c>
      <c r="D22" s="1" t="s">
        <v>235</v>
      </c>
      <c r="E22" s="1" t="s">
        <v>136</v>
      </c>
      <c r="F22" s="1" t="s">
        <v>151</v>
      </c>
      <c r="G22" s="1" t="s">
        <v>1203</v>
      </c>
      <c r="H22" s="1" t="s">
        <v>26</v>
      </c>
      <c r="I22" s="1" t="s">
        <v>130</v>
      </c>
      <c r="J22" s="1" t="s">
        <v>163</v>
      </c>
      <c r="K22" s="1" t="s">
        <v>76</v>
      </c>
      <c r="L22" s="1"/>
      <c r="M22" s="1"/>
      <c r="N22" s="1" t="str">
        <f t="shared" si="5"/>
        <v>No</v>
      </c>
      <c r="O22" s="1">
        <f t="shared" si="6"/>
        <v>98</v>
      </c>
      <c r="P22" s="1">
        <f t="shared" si="12"/>
        <v>53</v>
      </c>
      <c r="Q22" s="1">
        <f t="shared" si="7"/>
        <v>6</v>
      </c>
      <c r="R22" s="1">
        <f t="shared" si="7"/>
        <v>2</v>
      </c>
      <c r="S22" s="29">
        <f t="shared" si="7"/>
        <v>120.75</v>
      </c>
      <c r="T22" s="1" t="str">
        <f t="shared" si="8"/>
        <v>run out</v>
      </c>
      <c r="U22" s="1" t="str">
        <f t="shared" si="13"/>
        <v>1</v>
      </c>
      <c r="V22" s="1" t="str">
        <f t="shared" si="9"/>
        <v xml:space="preserve"> West Indies</v>
      </c>
      <c r="W22" s="1" t="str">
        <f t="shared" si="10"/>
        <v>Port of Spain</v>
      </c>
      <c r="X22" s="1" t="str">
        <f t="shared" si="11"/>
        <v>Yes</v>
      </c>
      <c r="Y22" s="1"/>
    </row>
    <row r="23" spans="1:25" ht="14.25" customHeight="1">
      <c r="A23" s="1"/>
      <c r="B23" s="1">
        <v>5</v>
      </c>
      <c r="C23" s="1" t="s">
        <v>321</v>
      </c>
      <c r="D23" s="1" t="s">
        <v>249</v>
      </c>
      <c r="E23" s="1" t="s">
        <v>202</v>
      </c>
      <c r="F23" s="1" t="s">
        <v>131</v>
      </c>
      <c r="G23" s="1" t="s">
        <v>1204</v>
      </c>
      <c r="H23" s="1" t="s">
        <v>24</v>
      </c>
      <c r="I23" s="1" t="s">
        <v>151</v>
      </c>
      <c r="J23" s="1" t="s">
        <v>163</v>
      </c>
      <c r="K23" s="1" t="s">
        <v>76</v>
      </c>
      <c r="L23" s="1"/>
      <c r="M23" s="1"/>
      <c r="N23" s="1" t="str">
        <f t="shared" si="5"/>
        <v>No</v>
      </c>
      <c r="O23" s="1">
        <f t="shared" si="6"/>
        <v>82</v>
      </c>
      <c r="P23" s="1">
        <f t="shared" si="12"/>
        <v>49</v>
      </c>
      <c r="Q23" s="1">
        <f t="shared" si="7"/>
        <v>5</v>
      </c>
      <c r="R23" s="1">
        <f t="shared" si="7"/>
        <v>0</v>
      </c>
      <c r="S23" s="29">
        <f t="shared" si="7"/>
        <v>87.75</v>
      </c>
      <c r="T23" s="1" t="str">
        <f t="shared" si="8"/>
        <v>caught</v>
      </c>
      <c r="U23" s="1" t="str">
        <f t="shared" si="13"/>
        <v>2</v>
      </c>
      <c r="V23" s="1" t="str">
        <f t="shared" si="9"/>
        <v xml:space="preserve"> West Indies</v>
      </c>
      <c r="W23" s="1" t="str">
        <f t="shared" si="10"/>
        <v>Port of Spain</v>
      </c>
      <c r="X23" s="1" t="str">
        <f t="shared" si="11"/>
        <v>Yes</v>
      </c>
      <c r="Y23" s="1"/>
    </row>
    <row r="24" spans="1:25" ht="14.25" customHeight="1">
      <c r="A24" s="1"/>
      <c r="B24" s="1">
        <v>6</v>
      </c>
      <c r="C24" s="1" t="s">
        <v>1205</v>
      </c>
      <c r="D24" s="1" t="s">
        <v>265</v>
      </c>
      <c r="E24" s="1" t="s">
        <v>144</v>
      </c>
      <c r="F24" s="1" t="s">
        <v>151</v>
      </c>
      <c r="G24" s="1" t="s">
        <v>152</v>
      </c>
      <c r="H24" s="1" t="s">
        <v>32</v>
      </c>
      <c r="I24" s="1" t="s">
        <v>130</v>
      </c>
      <c r="J24" s="1" t="s">
        <v>163</v>
      </c>
      <c r="K24" s="1" t="s">
        <v>76</v>
      </c>
      <c r="L24" s="1"/>
      <c r="M24" s="1"/>
      <c r="N24" s="1" t="str">
        <f t="shared" si="5"/>
        <v>No</v>
      </c>
      <c r="O24" s="1">
        <f t="shared" si="6"/>
        <v>33</v>
      </c>
      <c r="P24" s="1">
        <f t="shared" si="12"/>
        <v>98</v>
      </c>
      <c r="Q24" s="1">
        <f t="shared" si="7"/>
        <v>7</v>
      </c>
      <c r="R24" s="1">
        <f t="shared" si="7"/>
        <v>2</v>
      </c>
      <c r="S24" s="29">
        <f t="shared" si="7"/>
        <v>100</v>
      </c>
      <c r="T24" s="1" t="str">
        <f t="shared" si="8"/>
        <v>not out</v>
      </c>
      <c r="U24" s="1" t="str">
        <f t="shared" si="13"/>
        <v>1</v>
      </c>
      <c r="V24" s="1" t="str">
        <f t="shared" si="9"/>
        <v xml:space="preserve"> West Indies</v>
      </c>
      <c r="W24" s="1" t="str">
        <f t="shared" si="10"/>
        <v>Port of Spain</v>
      </c>
      <c r="X24" s="1" t="str">
        <f t="shared" si="11"/>
        <v>No</v>
      </c>
      <c r="Y24" s="1"/>
    </row>
    <row r="25" spans="1:25" ht="14.25" customHeight="1">
      <c r="A25" s="1"/>
      <c r="B25" s="1">
        <v>7</v>
      </c>
      <c r="C25" s="1" t="s">
        <v>425</v>
      </c>
      <c r="D25" s="1" t="s">
        <v>454</v>
      </c>
      <c r="E25" s="1" t="s">
        <v>167</v>
      </c>
      <c r="F25" s="1" t="s">
        <v>130</v>
      </c>
      <c r="G25" s="1" t="s">
        <v>949</v>
      </c>
      <c r="H25" s="1" t="s">
        <v>32</v>
      </c>
      <c r="I25" s="1" t="s">
        <v>151</v>
      </c>
      <c r="J25" s="1" t="s">
        <v>195</v>
      </c>
      <c r="K25" s="1" t="s">
        <v>62</v>
      </c>
      <c r="L25" s="1"/>
      <c r="M25" s="1"/>
      <c r="N25" s="1" t="str">
        <f t="shared" si="5"/>
        <v>No</v>
      </c>
      <c r="O25" s="1">
        <f t="shared" si="6"/>
        <v>130</v>
      </c>
      <c r="P25" s="1">
        <f t="shared" si="12"/>
        <v>72</v>
      </c>
      <c r="Q25" s="1">
        <f t="shared" si="7"/>
        <v>10</v>
      </c>
      <c r="R25" s="1">
        <f t="shared" si="7"/>
        <v>1</v>
      </c>
      <c r="S25" s="29">
        <f t="shared" si="7"/>
        <v>113.88</v>
      </c>
      <c r="T25" s="1" t="str">
        <f t="shared" ref="T25:T73" si="14">IF(H25="-","NA",H25)</f>
        <v>not out</v>
      </c>
      <c r="U25" s="1" t="str">
        <f t="shared" si="13"/>
        <v>2</v>
      </c>
      <c r="V25" s="1" t="str">
        <f t="shared" si="9"/>
        <v xml:space="preserve"> Zimbabwe</v>
      </c>
      <c r="W25" s="1" t="str">
        <f t="shared" si="10"/>
        <v>Harare</v>
      </c>
      <c r="X25" s="1" t="str">
        <f t="shared" si="11"/>
        <v>No</v>
      </c>
      <c r="Y25" s="1"/>
    </row>
    <row r="26" spans="1:25" ht="14.25" customHeight="1">
      <c r="A26" s="1"/>
      <c r="B26" s="1">
        <v>8</v>
      </c>
      <c r="C26" s="1" t="s">
        <v>244</v>
      </c>
      <c r="D26" s="1" t="s">
        <v>208</v>
      </c>
      <c r="E26" s="1" t="s">
        <v>136</v>
      </c>
      <c r="F26" s="1" t="s">
        <v>131</v>
      </c>
      <c r="G26" s="1" t="s">
        <v>1002</v>
      </c>
      <c r="H26" s="1" t="s">
        <v>24</v>
      </c>
      <c r="I26" s="1" t="s">
        <v>151</v>
      </c>
      <c r="J26" s="1" t="s">
        <v>195</v>
      </c>
      <c r="K26" s="1" t="s">
        <v>62</v>
      </c>
      <c r="L26" s="1"/>
      <c r="M26" s="1"/>
      <c r="N26" s="1" t="str">
        <f t="shared" si="5"/>
        <v>No</v>
      </c>
      <c r="O26" s="1">
        <f t="shared" si="6"/>
        <v>3</v>
      </c>
      <c r="P26" s="1">
        <f t="shared" si="12"/>
        <v>34</v>
      </c>
      <c r="Q26" s="1">
        <f t="shared" si="7"/>
        <v>6</v>
      </c>
      <c r="R26" s="1">
        <f t="shared" si="7"/>
        <v>0</v>
      </c>
      <c r="S26" s="29">
        <f t="shared" si="7"/>
        <v>97.05</v>
      </c>
      <c r="T26" s="1" t="str">
        <f t="shared" si="14"/>
        <v>caught</v>
      </c>
      <c r="U26" s="1" t="str">
        <f t="shared" si="13"/>
        <v>2</v>
      </c>
      <c r="V26" s="1" t="str">
        <f t="shared" si="9"/>
        <v xml:space="preserve"> Zimbabwe</v>
      </c>
      <c r="W26" s="1" t="str">
        <f t="shared" si="10"/>
        <v>Harare</v>
      </c>
      <c r="X26" s="1" t="str">
        <f t="shared" si="11"/>
        <v>Yes</v>
      </c>
      <c r="Y26" s="1"/>
    </row>
    <row r="27" spans="1:25" ht="14.25" customHeight="1">
      <c r="A27" s="1"/>
      <c r="B27" s="1">
        <v>9</v>
      </c>
      <c r="C27" s="1" t="s">
        <v>663</v>
      </c>
      <c r="D27" s="1" t="s">
        <v>395</v>
      </c>
      <c r="E27" s="1" t="s">
        <v>283</v>
      </c>
      <c r="F27" s="1" t="s">
        <v>130</v>
      </c>
      <c r="G27" s="1" t="s">
        <v>1206</v>
      </c>
      <c r="H27" s="1" t="s">
        <v>24</v>
      </c>
      <c r="I27" s="1" t="s">
        <v>130</v>
      </c>
      <c r="J27" s="1" t="s">
        <v>195</v>
      </c>
      <c r="K27" s="1" t="s">
        <v>62</v>
      </c>
      <c r="L27" s="1"/>
      <c r="M27" s="1"/>
      <c r="N27" s="1" t="str">
        <f t="shared" si="5"/>
        <v>No</v>
      </c>
      <c r="O27" s="1">
        <f t="shared" si="6"/>
        <v>28</v>
      </c>
      <c r="P27" s="1">
        <f t="shared" si="12"/>
        <v>97</v>
      </c>
      <c r="Q27" s="1">
        <f t="shared" si="7"/>
        <v>15</v>
      </c>
      <c r="R27" s="1">
        <f t="shared" si="7"/>
        <v>1</v>
      </c>
      <c r="S27" s="29">
        <f t="shared" si="7"/>
        <v>134.02000000000001</v>
      </c>
      <c r="T27" s="1" t="str">
        <f t="shared" si="14"/>
        <v>caught</v>
      </c>
      <c r="U27" s="1" t="str">
        <f t="shared" si="13"/>
        <v>1</v>
      </c>
      <c r="V27" s="1" t="str">
        <f t="shared" si="9"/>
        <v xml:space="preserve"> Zimbabwe</v>
      </c>
      <c r="W27" s="1" t="str">
        <f t="shared" si="10"/>
        <v>Harare</v>
      </c>
      <c r="X27" s="1" t="str">
        <f t="shared" si="11"/>
        <v>Yes</v>
      </c>
      <c r="Y27" s="1"/>
    </row>
    <row r="28" spans="1:25" ht="14.25" customHeight="1">
      <c r="A28" s="1"/>
      <c r="B28" s="1">
        <v>10</v>
      </c>
      <c r="C28" s="1" t="s">
        <v>148</v>
      </c>
      <c r="D28" s="1" t="s">
        <v>144</v>
      </c>
      <c r="E28" s="1" t="s">
        <v>131</v>
      </c>
      <c r="F28" s="1" t="s">
        <v>131</v>
      </c>
      <c r="G28" s="1" t="s">
        <v>247</v>
      </c>
      <c r="H28" s="1" t="s">
        <v>29</v>
      </c>
      <c r="I28" s="1" t="s">
        <v>151</v>
      </c>
      <c r="J28" s="1" t="s">
        <v>191</v>
      </c>
      <c r="K28" s="1" t="s">
        <v>122</v>
      </c>
      <c r="L28" s="1"/>
      <c r="M28" s="1"/>
      <c r="N28" s="1" t="str">
        <f t="shared" si="5"/>
        <v>No</v>
      </c>
      <c r="O28" s="1">
        <f t="shared" si="6"/>
        <v>49</v>
      </c>
      <c r="P28" s="1">
        <f t="shared" si="12"/>
        <v>7</v>
      </c>
      <c r="Q28" s="1">
        <f t="shared" si="7"/>
        <v>0</v>
      </c>
      <c r="R28" s="1">
        <f t="shared" si="7"/>
        <v>0</v>
      </c>
      <c r="S28" s="29">
        <f t="shared" si="7"/>
        <v>42.85</v>
      </c>
      <c r="T28" s="1" t="str">
        <f t="shared" si="14"/>
        <v>bowled</v>
      </c>
      <c r="U28" s="1" t="str">
        <f t="shared" si="13"/>
        <v>2</v>
      </c>
      <c r="V28" s="1" t="str">
        <f t="shared" si="9"/>
        <v xml:space="preserve"> South Africa</v>
      </c>
      <c r="W28" s="1" t="str">
        <f t="shared" si="10"/>
        <v>Lucknow</v>
      </c>
      <c r="X28" s="1" t="str">
        <f t="shared" si="11"/>
        <v>Yes</v>
      </c>
      <c r="Y28" s="1"/>
    </row>
    <row r="29" spans="1:25" ht="14.25" customHeight="1">
      <c r="A29" s="1"/>
      <c r="B29" s="1">
        <v>11</v>
      </c>
      <c r="C29" s="1" t="s">
        <v>207</v>
      </c>
      <c r="D29" s="1" t="s">
        <v>313</v>
      </c>
      <c r="E29" s="1" t="s">
        <v>202</v>
      </c>
      <c r="F29" s="1" t="s">
        <v>131</v>
      </c>
      <c r="G29" s="1" t="s">
        <v>875</v>
      </c>
      <c r="H29" s="1" t="s">
        <v>24</v>
      </c>
      <c r="I29" s="1" t="s">
        <v>151</v>
      </c>
      <c r="J29" s="1" t="s">
        <v>191</v>
      </c>
      <c r="K29" s="1" t="s">
        <v>97</v>
      </c>
      <c r="L29" s="1"/>
      <c r="M29" s="1"/>
      <c r="N29" s="1" t="str">
        <f t="shared" si="5"/>
        <v>No</v>
      </c>
      <c r="O29" s="1">
        <f t="shared" si="6"/>
        <v>50</v>
      </c>
      <c r="P29" s="1">
        <f t="shared" si="12"/>
        <v>26</v>
      </c>
      <c r="Q29" s="1">
        <f t="shared" si="7"/>
        <v>5</v>
      </c>
      <c r="R29" s="1">
        <f t="shared" si="7"/>
        <v>0</v>
      </c>
      <c r="S29" s="29">
        <f t="shared" si="7"/>
        <v>107.69</v>
      </c>
      <c r="T29" s="1" t="str">
        <f t="shared" si="14"/>
        <v>caught</v>
      </c>
      <c r="U29" s="1" t="str">
        <f t="shared" si="13"/>
        <v>2</v>
      </c>
      <c r="V29" s="1" t="str">
        <f t="shared" si="9"/>
        <v xml:space="preserve"> South Africa</v>
      </c>
      <c r="W29" s="1" t="str">
        <f t="shared" si="10"/>
        <v>Ranchi</v>
      </c>
      <c r="X29" s="1" t="str">
        <f t="shared" si="11"/>
        <v>Yes</v>
      </c>
      <c r="Y29" s="1"/>
    </row>
    <row r="30" spans="1:25" ht="14.25" customHeight="1">
      <c r="A30" s="1"/>
      <c r="B30" s="1">
        <v>12</v>
      </c>
      <c r="C30" s="1" t="s">
        <v>249</v>
      </c>
      <c r="D30" s="1" t="s">
        <v>192</v>
      </c>
      <c r="E30" s="1" t="s">
        <v>189</v>
      </c>
      <c r="F30" s="1" t="s">
        <v>131</v>
      </c>
      <c r="G30" s="1" t="s">
        <v>1207</v>
      </c>
      <c r="H30" s="1" t="s">
        <v>19</v>
      </c>
      <c r="I30" s="1" t="s">
        <v>151</v>
      </c>
      <c r="J30" s="1" t="s">
        <v>191</v>
      </c>
      <c r="K30" s="1" t="s">
        <v>52</v>
      </c>
      <c r="L30" s="1"/>
      <c r="M30" s="1"/>
      <c r="N30" s="1" t="str">
        <f t="shared" si="5"/>
        <v>No</v>
      </c>
      <c r="O30" s="1">
        <f t="shared" si="6"/>
        <v>45</v>
      </c>
      <c r="P30" s="1">
        <f t="shared" si="12"/>
        <v>57</v>
      </c>
      <c r="Q30" s="1">
        <f t="shared" si="7"/>
        <v>8</v>
      </c>
      <c r="R30" s="1">
        <f t="shared" si="7"/>
        <v>0</v>
      </c>
      <c r="S30" s="29">
        <f t="shared" si="7"/>
        <v>85.96</v>
      </c>
      <c r="T30" s="1" t="str">
        <f t="shared" si="14"/>
        <v>lbw</v>
      </c>
      <c r="U30" s="1" t="str">
        <f t="shared" si="13"/>
        <v>2</v>
      </c>
      <c r="V30" s="1" t="str">
        <f t="shared" si="9"/>
        <v xml:space="preserve"> South Africa</v>
      </c>
      <c r="W30" s="1" t="str">
        <f t="shared" si="10"/>
        <v>Delhi</v>
      </c>
      <c r="X30" s="1" t="str">
        <f t="shared" si="11"/>
        <v>Yes</v>
      </c>
      <c r="Y30" s="1"/>
    </row>
    <row r="31" spans="1:25" ht="14.25" customHeight="1">
      <c r="A31" s="1"/>
      <c r="B31" s="1">
        <v>13</v>
      </c>
      <c r="C31" s="1" t="s">
        <v>360</v>
      </c>
      <c r="D31" s="1" t="s">
        <v>172</v>
      </c>
      <c r="E31" s="1" t="s">
        <v>130</v>
      </c>
      <c r="F31" s="1" t="s">
        <v>148</v>
      </c>
      <c r="G31" s="1" t="s">
        <v>575</v>
      </c>
      <c r="H31" s="1" t="s">
        <v>24</v>
      </c>
      <c r="I31" s="1" t="s">
        <v>130</v>
      </c>
      <c r="J31" s="1" t="s">
        <v>211</v>
      </c>
      <c r="K31" s="1" t="s">
        <v>104</v>
      </c>
      <c r="L31" s="1"/>
      <c r="M31" s="1"/>
      <c r="N31" s="1" t="str">
        <f t="shared" si="5"/>
        <v>No</v>
      </c>
      <c r="O31" s="1">
        <f t="shared" si="6"/>
        <v>13</v>
      </c>
      <c r="P31" s="1">
        <f t="shared" si="12"/>
        <v>65</v>
      </c>
      <c r="Q31" s="1">
        <f t="shared" si="7"/>
        <v>1</v>
      </c>
      <c r="R31" s="1">
        <f t="shared" si="7"/>
        <v>3</v>
      </c>
      <c r="S31" s="29">
        <f t="shared" si="7"/>
        <v>76.92</v>
      </c>
      <c r="T31" s="1" t="str">
        <f t="shared" si="14"/>
        <v>caught</v>
      </c>
      <c r="U31" s="1" t="str">
        <f t="shared" si="13"/>
        <v>1</v>
      </c>
      <c r="V31" s="1" t="str">
        <f t="shared" si="9"/>
        <v xml:space="preserve"> New Zealand</v>
      </c>
      <c r="W31" s="1" t="str">
        <f t="shared" si="10"/>
        <v>Auckland</v>
      </c>
      <c r="X31" s="1" t="str">
        <f t="shared" si="11"/>
        <v>Yes</v>
      </c>
      <c r="Y31" s="1"/>
    </row>
    <row r="32" spans="1:25" ht="14.25" customHeight="1">
      <c r="A32" s="1"/>
      <c r="B32" s="1">
        <v>14</v>
      </c>
      <c r="C32" s="1" t="s">
        <v>554</v>
      </c>
      <c r="D32" s="1" t="s">
        <v>386</v>
      </c>
      <c r="E32" s="1" t="s">
        <v>140</v>
      </c>
      <c r="F32" s="1" t="s">
        <v>130</v>
      </c>
      <c r="G32" s="1" t="s">
        <v>1013</v>
      </c>
      <c r="H32" s="1" t="s">
        <v>32</v>
      </c>
      <c r="I32" s="1" t="s">
        <v>130</v>
      </c>
      <c r="J32" s="1" t="s">
        <v>211</v>
      </c>
      <c r="K32" s="1" t="s">
        <v>103</v>
      </c>
      <c r="L32" s="1"/>
      <c r="M32" s="1"/>
      <c r="N32" s="1" t="str">
        <f t="shared" si="5"/>
        <v>No</v>
      </c>
      <c r="O32" s="1">
        <f t="shared" si="6"/>
        <v>70</v>
      </c>
      <c r="P32" s="1">
        <f t="shared" si="12"/>
        <v>42</v>
      </c>
      <c r="Q32" s="1">
        <f t="shared" si="7"/>
        <v>4</v>
      </c>
      <c r="R32" s="1">
        <f t="shared" si="7"/>
        <v>1</v>
      </c>
      <c r="S32" s="29">
        <f t="shared" si="7"/>
        <v>107.14</v>
      </c>
      <c r="T32" s="1" t="str">
        <f t="shared" si="14"/>
        <v>not out</v>
      </c>
      <c r="U32" s="1" t="str">
        <f t="shared" si="13"/>
        <v>1</v>
      </c>
      <c r="V32" s="1" t="str">
        <f t="shared" si="9"/>
        <v xml:space="preserve"> New Zealand</v>
      </c>
      <c r="W32" s="1" t="str">
        <f t="shared" si="10"/>
        <v>Hamilton</v>
      </c>
      <c r="X32" s="1" t="str">
        <f t="shared" si="11"/>
        <v>No</v>
      </c>
      <c r="Y32" s="1"/>
    </row>
    <row r="33" spans="1:25" ht="14.25" customHeight="1">
      <c r="A33" s="1"/>
      <c r="B33" s="1">
        <v>15</v>
      </c>
      <c r="C33" s="1" t="s">
        <v>325</v>
      </c>
      <c r="D33" s="1" t="s">
        <v>129</v>
      </c>
      <c r="E33" s="1" t="s">
        <v>151</v>
      </c>
      <c r="F33" s="1" t="s">
        <v>131</v>
      </c>
      <c r="G33" s="1" t="s">
        <v>1208</v>
      </c>
      <c r="H33" s="1" t="s">
        <v>24</v>
      </c>
      <c r="I33" s="1" t="s">
        <v>130</v>
      </c>
      <c r="J33" s="1" t="s">
        <v>211</v>
      </c>
      <c r="K33" s="1" t="s">
        <v>662</v>
      </c>
      <c r="L33" s="1"/>
      <c r="M33" s="1"/>
      <c r="N33" s="1" t="str">
        <f t="shared" si="5"/>
        <v>No</v>
      </c>
      <c r="O33" s="1">
        <f t="shared" si="6"/>
        <v>21</v>
      </c>
      <c r="P33" s="1">
        <f t="shared" si="12"/>
        <v>22</v>
      </c>
      <c r="Q33" s="1">
        <f t="shared" si="7"/>
        <v>2</v>
      </c>
      <c r="R33" s="1">
        <f t="shared" si="7"/>
        <v>0</v>
      </c>
      <c r="S33" s="29">
        <f t="shared" si="7"/>
        <v>59.09</v>
      </c>
      <c r="T33" s="1" t="str">
        <f t="shared" si="14"/>
        <v>caught</v>
      </c>
      <c r="U33" s="1" t="str">
        <f t="shared" si="13"/>
        <v>1</v>
      </c>
      <c r="V33" s="1" t="str">
        <f t="shared" si="9"/>
        <v xml:space="preserve"> New Zealand</v>
      </c>
      <c r="W33" s="1" t="str">
        <f t="shared" si="10"/>
        <v>Christchurch</v>
      </c>
      <c r="X33" s="1" t="str">
        <f t="shared" si="11"/>
        <v>Yes</v>
      </c>
      <c r="Y33" s="1"/>
    </row>
    <row r="34" spans="1:25" ht="14.25" customHeight="1">
      <c r="A34" s="1"/>
      <c r="B34" s="1">
        <v>16</v>
      </c>
      <c r="C34" s="1" t="s">
        <v>222</v>
      </c>
      <c r="D34" s="1" t="s">
        <v>380</v>
      </c>
      <c r="E34" s="1" t="s">
        <v>176</v>
      </c>
      <c r="F34" s="1" t="s">
        <v>131</v>
      </c>
      <c r="G34" s="1" t="s">
        <v>267</v>
      </c>
      <c r="H34" s="1" t="s">
        <v>19</v>
      </c>
      <c r="I34" s="1" t="s">
        <v>130</v>
      </c>
      <c r="J34" s="1" t="s">
        <v>133</v>
      </c>
      <c r="K34" s="1" t="s">
        <v>66</v>
      </c>
      <c r="L34" s="1"/>
      <c r="M34" s="1"/>
      <c r="N34" s="1" t="str">
        <f t="shared" si="5"/>
        <v>No</v>
      </c>
      <c r="O34" s="1">
        <f t="shared" si="6"/>
        <v>116</v>
      </c>
      <c r="P34" s="1">
        <f t="shared" si="12"/>
        <v>60</v>
      </c>
      <c r="Q34" s="1">
        <f t="shared" si="7"/>
        <v>11</v>
      </c>
      <c r="R34" s="1">
        <f t="shared" si="7"/>
        <v>0</v>
      </c>
      <c r="S34" s="29">
        <f t="shared" si="7"/>
        <v>116.66</v>
      </c>
      <c r="T34" s="1" t="str">
        <f t="shared" si="14"/>
        <v>lbw</v>
      </c>
      <c r="U34" s="1" t="str">
        <f t="shared" si="13"/>
        <v>1</v>
      </c>
      <c r="V34" s="1" t="str">
        <f t="shared" si="9"/>
        <v xml:space="preserve"> Sri Lanka</v>
      </c>
      <c r="W34" s="1" t="str">
        <f t="shared" si="10"/>
        <v>Guwahati</v>
      </c>
      <c r="X34" s="1" t="str">
        <f t="shared" si="11"/>
        <v>Yes</v>
      </c>
      <c r="Y34" s="1"/>
    </row>
    <row r="35" spans="1:25" ht="14.25" customHeight="1">
      <c r="A35" s="1"/>
      <c r="B35" s="1">
        <v>17</v>
      </c>
      <c r="C35" s="1" t="s">
        <v>246</v>
      </c>
      <c r="D35" s="1" t="s">
        <v>128</v>
      </c>
      <c r="E35" s="1" t="s">
        <v>202</v>
      </c>
      <c r="F35" s="1" t="s">
        <v>131</v>
      </c>
      <c r="G35" s="1" t="s">
        <v>947</v>
      </c>
      <c r="H35" s="1" t="s">
        <v>24</v>
      </c>
      <c r="I35" s="1" t="s">
        <v>151</v>
      </c>
      <c r="J35" s="1" t="s">
        <v>133</v>
      </c>
      <c r="K35" s="1" t="s">
        <v>51</v>
      </c>
      <c r="L35" s="1"/>
      <c r="M35" s="1"/>
      <c r="N35" s="1" t="str">
        <f t="shared" si="5"/>
        <v>No</v>
      </c>
      <c r="O35" s="1">
        <f t="shared" si="6"/>
        <v>208</v>
      </c>
      <c r="P35" s="1">
        <f t="shared" si="12"/>
        <v>12</v>
      </c>
      <c r="Q35" s="1">
        <f t="shared" ref="Q35:S73" si="15">IF(E35="-","NA",E35*1)</f>
        <v>5</v>
      </c>
      <c r="R35" s="1">
        <f t="shared" si="15"/>
        <v>0</v>
      </c>
      <c r="S35" s="29">
        <f t="shared" si="15"/>
        <v>175</v>
      </c>
      <c r="T35" s="1" t="str">
        <f t="shared" si="14"/>
        <v>caught</v>
      </c>
      <c r="U35" s="1" t="str">
        <f t="shared" si="13"/>
        <v>2</v>
      </c>
      <c r="V35" s="1" t="str">
        <f t="shared" si="9"/>
        <v xml:space="preserve"> Sri Lanka</v>
      </c>
      <c r="W35" s="1" t="str">
        <f t="shared" si="10"/>
        <v>Eden Gardens</v>
      </c>
      <c r="X35" s="1" t="str">
        <f t="shared" si="11"/>
        <v>Yes</v>
      </c>
      <c r="Y35" s="1"/>
    </row>
    <row r="36" spans="1:25" ht="14.25" customHeight="1">
      <c r="A36" s="1"/>
      <c r="B36" s="1">
        <v>18</v>
      </c>
      <c r="C36" s="1" t="s">
        <v>433</v>
      </c>
      <c r="D36" s="1" t="s">
        <v>395</v>
      </c>
      <c r="E36" s="1" t="s">
        <v>205</v>
      </c>
      <c r="F36" s="1" t="s">
        <v>151</v>
      </c>
      <c r="G36" s="1" t="s">
        <v>1209</v>
      </c>
      <c r="H36" s="1" t="s">
        <v>29</v>
      </c>
      <c r="I36" s="1" t="s">
        <v>130</v>
      </c>
      <c r="J36" s="1" t="s">
        <v>133</v>
      </c>
      <c r="K36" s="1" t="s">
        <v>113</v>
      </c>
      <c r="L36" s="1"/>
      <c r="M36" s="1"/>
      <c r="N36" s="1" t="str">
        <f t="shared" si="5"/>
        <v>No</v>
      </c>
      <c r="O36" s="1">
        <f t="shared" si="6"/>
        <v>40</v>
      </c>
      <c r="P36" s="1">
        <f t="shared" si="12"/>
        <v>97</v>
      </c>
      <c r="Q36" s="1">
        <f t="shared" si="15"/>
        <v>14</v>
      </c>
      <c r="R36" s="1">
        <f t="shared" si="15"/>
        <v>2</v>
      </c>
      <c r="S36" s="29">
        <f t="shared" si="15"/>
        <v>119.58</v>
      </c>
      <c r="T36" s="1" t="str">
        <f t="shared" si="14"/>
        <v>bowled</v>
      </c>
      <c r="U36" s="1" t="str">
        <f t="shared" si="13"/>
        <v>1</v>
      </c>
      <c r="V36" s="1" t="str">
        <f t="shared" si="9"/>
        <v xml:space="preserve"> Sri Lanka</v>
      </c>
      <c r="W36" s="1" t="str">
        <f t="shared" si="10"/>
        <v>Thiruvananthapuram</v>
      </c>
      <c r="X36" s="1" t="str">
        <f t="shared" si="11"/>
        <v>Yes</v>
      </c>
      <c r="Y36" s="1"/>
    </row>
    <row r="37" spans="1:25" ht="14.25" customHeight="1">
      <c r="A37" s="1"/>
      <c r="B37" s="1">
        <v>19</v>
      </c>
      <c r="C37" s="1" t="s">
        <v>1210</v>
      </c>
      <c r="D37" s="1" t="s">
        <v>1211</v>
      </c>
      <c r="E37" s="1" t="s">
        <v>170</v>
      </c>
      <c r="F37" s="1" t="s">
        <v>161</v>
      </c>
      <c r="G37" s="1" t="s">
        <v>1212</v>
      </c>
      <c r="H37" s="1" t="s">
        <v>24</v>
      </c>
      <c r="I37" s="1" t="s">
        <v>130</v>
      </c>
      <c r="J37" s="1" t="s">
        <v>211</v>
      </c>
      <c r="K37" s="1" t="s">
        <v>85</v>
      </c>
      <c r="L37" s="1"/>
      <c r="M37" s="1"/>
      <c r="N37" s="1" t="str">
        <f t="shared" si="5"/>
        <v>No</v>
      </c>
      <c r="O37" s="1">
        <f t="shared" si="6"/>
        <v>112</v>
      </c>
      <c r="P37" s="1">
        <f t="shared" si="12"/>
        <v>149</v>
      </c>
      <c r="Q37" s="1">
        <f t="shared" si="15"/>
        <v>19</v>
      </c>
      <c r="R37" s="1">
        <f t="shared" si="15"/>
        <v>9</v>
      </c>
      <c r="S37" s="29">
        <f t="shared" si="15"/>
        <v>139.59</v>
      </c>
      <c r="T37" s="1" t="str">
        <f t="shared" si="14"/>
        <v>caught</v>
      </c>
      <c r="U37" s="1" t="str">
        <f t="shared" si="13"/>
        <v>1</v>
      </c>
      <c r="V37" s="1" t="str">
        <f t="shared" si="9"/>
        <v xml:space="preserve"> New Zealand</v>
      </c>
      <c r="W37" s="1" t="str">
        <f t="shared" si="10"/>
        <v>Hyderabad</v>
      </c>
      <c r="X37" s="1" t="str">
        <f t="shared" si="11"/>
        <v>Yes</v>
      </c>
      <c r="Y37" s="1"/>
    </row>
    <row r="38" spans="1:25" ht="14.25" customHeight="1">
      <c r="A38" s="1"/>
      <c r="B38" s="1">
        <v>20</v>
      </c>
      <c r="C38" s="1" t="s">
        <v>597</v>
      </c>
      <c r="D38" s="1" t="s">
        <v>235</v>
      </c>
      <c r="E38" s="1" t="s">
        <v>136</v>
      </c>
      <c r="F38" s="1" t="s">
        <v>131</v>
      </c>
      <c r="G38" s="1" t="s">
        <v>1213</v>
      </c>
      <c r="H38" s="1" t="s">
        <v>32</v>
      </c>
      <c r="I38" s="1" t="s">
        <v>151</v>
      </c>
      <c r="J38" s="1" t="s">
        <v>211</v>
      </c>
      <c r="K38" s="1" t="s">
        <v>119</v>
      </c>
      <c r="L38" s="1"/>
      <c r="M38" s="1"/>
      <c r="N38" s="1" t="str">
        <f t="shared" si="5"/>
        <v>No</v>
      </c>
      <c r="O38" s="1">
        <f t="shared" si="6"/>
        <v>20</v>
      </c>
      <c r="P38" s="1">
        <f t="shared" si="12"/>
        <v>53</v>
      </c>
      <c r="Q38" s="1">
        <f t="shared" si="15"/>
        <v>6</v>
      </c>
      <c r="R38" s="1">
        <f t="shared" si="15"/>
        <v>0</v>
      </c>
      <c r="S38" s="29">
        <f t="shared" si="15"/>
        <v>75.47</v>
      </c>
      <c r="T38" s="1" t="str">
        <f t="shared" si="14"/>
        <v>not out</v>
      </c>
      <c r="U38" s="1" t="str">
        <f t="shared" si="13"/>
        <v>2</v>
      </c>
      <c r="V38" s="1" t="str">
        <f t="shared" si="9"/>
        <v xml:space="preserve"> New Zealand</v>
      </c>
      <c r="W38" s="1" t="str">
        <f t="shared" si="10"/>
        <v>Raipur</v>
      </c>
      <c r="X38" s="1" t="str">
        <f t="shared" si="11"/>
        <v>No</v>
      </c>
      <c r="Y38" s="1"/>
    </row>
    <row r="39" spans="1:25" ht="14.25" customHeight="1">
      <c r="A39" s="1"/>
      <c r="B39" s="1">
        <v>21</v>
      </c>
      <c r="C39" s="1" t="s">
        <v>441</v>
      </c>
      <c r="D39" s="1" t="s">
        <v>348</v>
      </c>
      <c r="E39" s="1" t="s">
        <v>325</v>
      </c>
      <c r="F39" s="1" t="s">
        <v>202</v>
      </c>
      <c r="G39" s="1" t="s">
        <v>1214</v>
      </c>
      <c r="H39" s="1" t="s">
        <v>24</v>
      </c>
      <c r="I39" s="1" t="s">
        <v>130</v>
      </c>
      <c r="J39" s="1" t="s">
        <v>211</v>
      </c>
      <c r="K39" s="1" t="s">
        <v>87</v>
      </c>
      <c r="L39" s="1"/>
      <c r="M39" s="1"/>
      <c r="N39" s="1" t="str">
        <f t="shared" si="5"/>
        <v>No</v>
      </c>
      <c r="O39" s="1">
        <f t="shared" si="6"/>
        <v>0</v>
      </c>
      <c r="P39" s="1">
        <f t="shared" si="12"/>
        <v>78</v>
      </c>
      <c r="Q39" s="1">
        <f t="shared" si="15"/>
        <v>13</v>
      </c>
      <c r="R39" s="1">
        <f t="shared" si="15"/>
        <v>5</v>
      </c>
      <c r="S39" s="29">
        <f t="shared" si="15"/>
        <v>143.58000000000001</v>
      </c>
      <c r="T39" s="1" t="str">
        <f t="shared" si="14"/>
        <v>caught</v>
      </c>
      <c r="U39" s="1" t="str">
        <f t="shared" si="13"/>
        <v>1</v>
      </c>
      <c r="V39" s="1" t="str">
        <f t="shared" si="9"/>
        <v xml:space="preserve"> New Zealand</v>
      </c>
      <c r="W39" s="1" t="str">
        <f t="shared" si="10"/>
        <v>Indore</v>
      </c>
      <c r="X39" s="1" t="str">
        <f t="shared" si="11"/>
        <v>Yes</v>
      </c>
      <c r="Y39" s="1"/>
    </row>
    <row r="40" spans="1:25" ht="14.25" customHeight="1">
      <c r="A40" s="1"/>
      <c r="B40" s="1">
        <v>22</v>
      </c>
      <c r="C40" s="1" t="s">
        <v>238</v>
      </c>
      <c r="D40" s="1" t="s">
        <v>146</v>
      </c>
      <c r="E40" s="1" t="s">
        <v>148</v>
      </c>
      <c r="F40" s="1" t="s">
        <v>131</v>
      </c>
      <c r="G40" s="1" t="s">
        <v>1215</v>
      </c>
      <c r="H40" s="1" t="s">
        <v>24</v>
      </c>
      <c r="I40" s="1" t="s">
        <v>151</v>
      </c>
      <c r="J40" s="1" t="s">
        <v>158</v>
      </c>
      <c r="K40" s="1" t="s">
        <v>75</v>
      </c>
      <c r="L40" s="1"/>
      <c r="M40" s="1"/>
      <c r="N40" s="1" t="str">
        <f t="shared" si="5"/>
        <v>No</v>
      </c>
      <c r="O40" s="1">
        <f t="shared" si="6"/>
        <v>37</v>
      </c>
      <c r="P40" s="1">
        <f t="shared" si="12"/>
        <v>31</v>
      </c>
      <c r="Q40" s="1">
        <f t="shared" si="15"/>
        <v>3</v>
      </c>
      <c r="R40" s="1">
        <f t="shared" si="15"/>
        <v>0</v>
      </c>
      <c r="S40" s="29">
        <f t="shared" si="15"/>
        <v>64.510000000000005</v>
      </c>
      <c r="T40" s="1" t="str">
        <f t="shared" si="14"/>
        <v>caught</v>
      </c>
      <c r="U40" s="1" t="str">
        <f t="shared" si="13"/>
        <v>2</v>
      </c>
      <c r="V40" s="1" t="str">
        <f t="shared" si="9"/>
        <v xml:space="preserve"> Australia</v>
      </c>
      <c r="W40" s="1" t="str">
        <f t="shared" si="10"/>
        <v>Wankhede</v>
      </c>
      <c r="X40" s="1" t="str">
        <f t="shared" si="11"/>
        <v>Yes</v>
      </c>
      <c r="Y40" s="1"/>
    </row>
    <row r="41" spans="1:25" ht="14.25" customHeight="1">
      <c r="A41" s="1"/>
      <c r="B41" s="1">
        <v>23</v>
      </c>
      <c r="C41" s="1" t="s">
        <v>131</v>
      </c>
      <c r="D41" s="1" t="s">
        <v>151</v>
      </c>
      <c r="E41" s="1" t="s">
        <v>131</v>
      </c>
      <c r="F41" s="1" t="s">
        <v>131</v>
      </c>
      <c r="G41" s="1" t="s">
        <v>210</v>
      </c>
      <c r="H41" s="1" t="s">
        <v>24</v>
      </c>
      <c r="I41" s="1" t="s">
        <v>130</v>
      </c>
      <c r="J41" s="1" t="s">
        <v>158</v>
      </c>
      <c r="K41" s="1" t="s">
        <v>65</v>
      </c>
      <c r="L41" s="1"/>
      <c r="M41" s="1"/>
      <c r="N41" s="1" t="str">
        <f t="shared" si="5"/>
        <v>No</v>
      </c>
      <c r="O41" s="1">
        <f t="shared" si="6"/>
        <v>7</v>
      </c>
      <c r="P41" s="1">
        <f t="shared" si="12"/>
        <v>2</v>
      </c>
      <c r="Q41" s="1">
        <f t="shared" si="15"/>
        <v>0</v>
      </c>
      <c r="R41" s="1">
        <f t="shared" si="15"/>
        <v>0</v>
      </c>
      <c r="S41" s="29">
        <f t="shared" si="15"/>
        <v>0</v>
      </c>
      <c r="T41" s="1" t="str">
        <f t="shared" si="14"/>
        <v>caught</v>
      </c>
      <c r="U41" s="1" t="str">
        <f t="shared" si="13"/>
        <v>1</v>
      </c>
      <c r="V41" s="1" t="str">
        <f t="shared" si="9"/>
        <v xml:space="preserve"> Australia</v>
      </c>
      <c r="W41" s="1" t="str">
        <f t="shared" si="10"/>
        <v>Visakhapatnam</v>
      </c>
      <c r="X41" s="1" t="str">
        <f t="shared" si="11"/>
        <v>Yes</v>
      </c>
      <c r="Y41" s="1"/>
    </row>
    <row r="42" spans="1:25" ht="14.25" customHeight="1">
      <c r="A42" s="1"/>
      <c r="B42" s="1">
        <v>24</v>
      </c>
      <c r="C42" s="1" t="s">
        <v>134</v>
      </c>
      <c r="D42" s="1" t="s">
        <v>249</v>
      </c>
      <c r="E42" s="1" t="s">
        <v>140</v>
      </c>
      <c r="F42" s="1" t="s">
        <v>130</v>
      </c>
      <c r="G42" s="1" t="s">
        <v>1216</v>
      </c>
      <c r="H42" s="1" t="s">
        <v>19</v>
      </c>
      <c r="I42" s="1" t="s">
        <v>151</v>
      </c>
      <c r="J42" s="1" t="s">
        <v>158</v>
      </c>
      <c r="K42" s="1" t="s">
        <v>68</v>
      </c>
      <c r="L42" s="1"/>
      <c r="M42" s="1"/>
      <c r="N42" s="1" t="str">
        <f t="shared" si="5"/>
        <v>No</v>
      </c>
      <c r="O42" s="1">
        <f t="shared" si="6"/>
        <v>34</v>
      </c>
      <c r="P42" s="1">
        <f t="shared" si="12"/>
        <v>49</v>
      </c>
      <c r="Q42" s="1">
        <f t="shared" si="15"/>
        <v>4</v>
      </c>
      <c r="R42" s="1">
        <f t="shared" si="15"/>
        <v>1</v>
      </c>
      <c r="S42" s="29">
        <f t="shared" si="15"/>
        <v>75.510000000000005</v>
      </c>
      <c r="T42" s="1" t="str">
        <f t="shared" si="14"/>
        <v>lbw</v>
      </c>
      <c r="U42" s="1" t="str">
        <f t="shared" si="13"/>
        <v>2</v>
      </c>
      <c r="V42" s="1" t="str">
        <f t="shared" si="9"/>
        <v xml:space="preserve"> Australia</v>
      </c>
      <c r="W42" s="1" t="str">
        <f t="shared" si="10"/>
        <v>Chennai</v>
      </c>
      <c r="X42" s="1" t="str">
        <f t="shared" si="11"/>
        <v>Yes</v>
      </c>
      <c r="Y42" s="1"/>
    </row>
    <row r="43" spans="1:25" ht="14.25" customHeight="1">
      <c r="A43" s="1"/>
      <c r="B43" s="1">
        <v>25</v>
      </c>
      <c r="C43" s="1" t="s">
        <v>144</v>
      </c>
      <c r="D43" s="1" t="s">
        <v>153</v>
      </c>
      <c r="E43" s="1" t="s">
        <v>130</v>
      </c>
      <c r="F43" s="1" t="s">
        <v>131</v>
      </c>
      <c r="G43" s="1" t="s">
        <v>1123</v>
      </c>
      <c r="H43" s="1" t="s">
        <v>24</v>
      </c>
      <c r="I43" s="1" t="s">
        <v>151</v>
      </c>
      <c r="J43" s="1" t="s">
        <v>163</v>
      </c>
      <c r="K43" s="1" t="s">
        <v>120</v>
      </c>
      <c r="L43" s="1"/>
      <c r="M43" s="1"/>
      <c r="N43" s="1" t="str">
        <f t="shared" si="5"/>
        <v>No</v>
      </c>
      <c r="O43" s="1">
        <f t="shared" si="6"/>
        <v>85</v>
      </c>
      <c r="P43" s="1">
        <f t="shared" si="12"/>
        <v>16</v>
      </c>
      <c r="Q43" s="1">
        <f t="shared" si="15"/>
        <v>1</v>
      </c>
      <c r="R43" s="1">
        <f t="shared" si="15"/>
        <v>0</v>
      </c>
      <c r="S43" s="29">
        <f t="shared" si="15"/>
        <v>43.75</v>
      </c>
      <c r="T43" s="1" t="str">
        <f t="shared" si="14"/>
        <v>caught</v>
      </c>
      <c r="U43" s="1" t="str">
        <f t="shared" si="13"/>
        <v>2</v>
      </c>
      <c r="V43" s="1" t="str">
        <f t="shared" si="9"/>
        <v xml:space="preserve"> West Indies</v>
      </c>
      <c r="W43" s="1" t="str">
        <f t="shared" si="10"/>
        <v>Bridgetown</v>
      </c>
      <c r="X43" s="1" t="str">
        <f t="shared" si="11"/>
        <v>Yes</v>
      </c>
      <c r="Y43" s="1"/>
    </row>
    <row r="44" spans="1:25" ht="14.25" customHeight="1">
      <c r="A44" s="1"/>
      <c r="B44" s="1">
        <v>26</v>
      </c>
      <c r="C44" s="1" t="s">
        <v>208</v>
      </c>
      <c r="D44" s="1" t="s">
        <v>249</v>
      </c>
      <c r="E44" s="1" t="s">
        <v>202</v>
      </c>
      <c r="F44" s="1" t="s">
        <v>131</v>
      </c>
      <c r="G44" s="1" t="s">
        <v>1217</v>
      </c>
      <c r="H44" s="1" t="s">
        <v>24</v>
      </c>
      <c r="I44" s="1" t="s">
        <v>130</v>
      </c>
      <c r="J44" s="1" t="s">
        <v>163</v>
      </c>
      <c r="K44" s="1" t="s">
        <v>120</v>
      </c>
      <c r="L44" s="1"/>
      <c r="M44" s="1"/>
      <c r="N44" s="1" t="str">
        <f t="shared" si="5"/>
        <v>No</v>
      </c>
      <c r="O44" s="1">
        <f t="shared" si="6"/>
        <v>10</v>
      </c>
      <c r="P44" s="1">
        <f t="shared" si="12"/>
        <v>49</v>
      </c>
      <c r="Q44" s="1">
        <f t="shared" si="15"/>
        <v>5</v>
      </c>
      <c r="R44" s="1">
        <f t="shared" si="15"/>
        <v>0</v>
      </c>
      <c r="S44" s="29">
        <f t="shared" si="15"/>
        <v>69.38</v>
      </c>
      <c r="T44" s="1" t="str">
        <f t="shared" si="14"/>
        <v>caught</v>
      </c>
      <c r="U44" s="1" t="str">
        <f t="shared" si="13"/>
        <v>1</v>
      </c>
      <c r="V44" s="1" t="str">
        <f t="shared" si="9"/>
        <v xml:space="preserve"> West Indies</v>
      </c>
      <c r="W44" s="1" t="str">
        <f t="shared" si="10"/>
        <v>Bridgetown</v>
      </c>
      <c r="X44" s="1" t="str">
        <f t="shared" si="11"/>
        <v>Yes</v>
      </c>
      <c r="Y44" s="1"/>
    </row>
    <row r="45" spans="1:25" ht="14.25" customHeight="1">
      <c r="A45" s="1"/>
      <c r="B45" s="1">
        <v>27</v>
      </c>
      <c r="C45" s="1" t="s">
        <v>277</v>
      </c>
      <c r="D45" s="1" t="s">
        <v>197</v>
      </c>
      <c r="E45" s="1" t="s">
        <v>176</v>
      </c>
      <c r="F45" s="1" t="s">
        <v>131</v>
      </c>
      <c r="G45" s="1" t="s">
        <v>1218</v>
      </c>
      <c r="H45" s="1" t="s">
        <v>24</v>
      </c>
      <c r="I45" s="1" t="s">
        <v>130</v>
      </c>
      <c r="J45" s="1" t="s">
        <v>163</v>
      </c>
      <c r="K45" s="1" t="s">
        <v>1219</v>
      </c>
      <c r="L45" s="1"/>
      <c r="M45" s="1"/>
      <c r="N45" s="1" t="str">
        <f t="shared" si="5"/>
        <v>No</v>
      </c>
      <c r="O45" s="1">
        <f t="shared" si="6"/>
        <v>67</v>
      </c>
      <c r="P45" s="1">
        <f t="shared" si="12"/>
        <v>92</v>
      </c>
      <c r="Q45" s="1">
        <f t="shared" si="15"/>
        <v>11</v>
      </c>
      <c r="R45" s="1">
        <f t="shared" si="15"/>
        <v>0</v>
      </c>
      <c r="S45" s="29">
        <f t="shared" si="15"/>
        <v>92.39</v>
      </c>
      <c r="T45" s="1" t="str">
        <f t="shared" si="14"/>
        <v>caught</v>
      </c>
      <c r="U45" s="1" t="str">
        <f t="shared" si="13"/>
        <v>1</v>
      </c>
      <c r="V45" s="1" t="str">
        <f t="shared" si="9"/>
        <v xml:space="preserve"> West Indies</v>
      </c>
      <c r="W45" s="1" t="str">
        <f t="shared" si="10"/>
        <v>Tarouba</v>
      </c>
      <c r="X45" s="1" t="str">
        <f t="shared" si="11"/>
        <v>Yes</v>
      </c>
      <c r="Y45" s="1"/>
    </row>
    <row r="46" spans="1:25" ht="14.25" customHeight="1">
      <c r="A46" s="1"/>
      <c r="B46" s="1">
        <v>28</v>
      </c>
      <c r="C46" s="1" t="s">
        <v>167</v>
      </c>
      <c r="D46" s="1" t="s">
        <v>521</v>
      </c>
      <c r="E46" s="1" t="s">
        <v>130</v>
      </c>
      <c r="F46" s="1" t="s">
        <v>131</v>
      </c>
      <c r="G46" s="1" t="s">
        <v>1185</v>
      </c>
      <c r="H46" s="1" t="s">
        <v>29</v>
      </c>
      <c r="I46" s="1" t="s">
        <v>130</v>
      </c>
      <c r="J46" s="1" t="s">
        <v>156</v>
      </c>
      <c r="K46" s="1" t="s">
        <v>95</v>
      </c>
      <c r="L46" s="1"/>
      <c r="M46" s="1"/>
      <c r="N46" s="1" t="str">
        <f t="shared" si="5"/>
        <v>No</v>
      </c>
      <c r="O46" s="1">
        <f t="shared" si="6"/>
        <v>58</v>
      </c>
      <c r="P46" s="1">
        <f t="shared" si="12"/>
        <v>32</v>
      </c>
      <c r="Q46" s="1">
        <f t="shared" si="15"/>
        <v>1</v>
      </c>
      <c r="R46" s="1">
        <f t="shared" si="15"/>
        <v>0</v>
      </c>
      <c r="S46" s="29">
        <f t="shared" si="15"/>
        <v>31.25</v>
      </c>
      <c r="T46" s="1" t="str">
        <f t="shared" si="14"/>
        <v>bowled</v>
      </c>
      <c r="U46" s="1" t="str">
        <f t="shared" si="13"/>
        <v>1</v>
      </c>
      <c r="V46" s="1" t="str">
        <f t="shared" si="9"/>
        <v xml:space="preserve"> Pakistan</v>
      </c>
      <c r="W46" s="1" t="str">
        <f t="shared" si="10"/>
        <v>Pallekele</v>
      </c>
      <c r="X46" s="1" t="str">
        <f t="shared" si="11"/>
        <v>Yes</v>
      </c>
      <c r="Y46" s="1"/>
    </row>
    <row r="47" spans="1:25" ht="14.25" customHeight="1">
      <c r="A47" s="1"/>
      <c r="B47" s="1">
        <v>29</v>
      </c>
      <c r="C47" s="1" t="s">
        <v>549</v>
      </c>
      <c r="D47" s="1" t="s">
        <v>364</v>
      </c>
      <c r="E47" s="1" t="s">
        <v>189</v>
      </c>
      <c r="F47" s="1" t="s">
        <v>130</v>
      </c>
      <c r="G47" s="1" t="s">
        <v>642</v>
      </c>
      <c r="H47" s="1" t="s">
        <v>32</v>
      </c>
      <c r="I47" s="1" t="s">
        <v>151</v>
      </c>
      <c r="J47" s="1" t="s">
        <v>504</v>
      </c>
      <c r="K47" s="1" t="s">
        <v>95</v>
      </c>
      <c r="L47" s="1"/>
      <c r="M47" s="1"/>
      <c r="N47" s="1" t="str">
        <f t="shared" si="5"/>
        <v>No</v>
      </c>
      <c r="O47" s="1">
        <f t="shared" si="6"/>
        <v>19</v>
      </c>
      <c r="P47" s="1">
        <f t="shared" si="12"/>
        <v>62</v>
      </c>
      <c r="Q47" s="1">
        <f t="shared" si="15"/>
        <v>8</v>
      </c>
      <c r="R47" s="1">
        <f t="shared" si="15"/>
        <v>1</v>
      </c>
      <c r="S47" s="29">
        <f t="shared" si="15"/>
        <v>108.06</v>
      </c>
      <c r="T47" s="1" t="str">
        <f t="shared" si="14"/>
        <v>not out</v>
      </c>
      <c r="U47" s="1" t="str">
        <f t="shared" si="13"/>
        <v>2</v>
      </c>
      <c r="V47" s="1" t="str">
        <f t="shared" si="9"/>
        <v xml:space="preserve"> Nepal</v>
      </c>
      <c r="W47" s="1" t="str">
        <f t="shared" si="10"/>
        <v>Pallekele</v>
      </c>
      <c r="X47" s="1" t="str">
        <f t="shared" si="11"/>
        <v>No</v>
      </c>
      <c r="Y47" s="1"/>
    </row>
    <row r="48" spans="1:25" ht="14.25" customHeight="1">
      <c r="A48" s="1"/>
      <c r="B48" s="1">
        <v>30</v>
      </c>
      <c r="C48" s="1" t="s">
        <v>582</v>
      </c>
      <c r="D48" s="1" t="s">
        <v>327</v>
      </c>
      <c r="E48" s="1" t="s">
        <v>167</v>
      </c>
      <c r="F48" s="1" t="s">
        <v>131</v>
      </c>
      <c r="G48" s="1" t="s">
        <v>1220</v>
      </c>
      <c r="H48" s="1" t="s">
        <v>24</v>
      </c>
      <c r="I48" s="1" t="s">
        <v>130</v>
      </c>
      <c r="J48" s="1" t="s">
        <v>156</v>
      </c>
      <c r="K48" s="1" t="s">
        <v>27</v>
      </c>
      <c r="L48" s="1"/>
      <c r="M48" s="1"/>
      <c r="N48" s="1" t="str">
        <f t="shared" si="5"/>
        <v>No</v>
      </c>
      <c r="O48" s="1">
        <f t="shared" si="6"/>
        <v>121</v>
      </c>
      <c r="P48" s="1">
        <f t="shared" si="12"/>
        <v>52</v>
      </c>
      <c r="Q48" s="1">
        <f t="shared" si="15"/>
        <v>10</v>
      </c>
      <c r="R48" s="1">
        <f t="shared" si="15"/>
        <v>0</v>
      </c>
      <c r="S48" s="29">
        <f t="shared" si="15"/>
        <v>111.53</v>
      </c>
      <c r="T48" s="1" t="str">
        <f t="shared" si="14"/>
        <v>caught</v>
      </c>
      <c r="U48" s="1" t="str">
        <f t="shared" si="13"/>
        <v>1</v>
      </c>
      <c r="V48" s="1" t="str">
        <f t="shared" si="9"/>
        <v xml:space="preserve"> Pakistan</v>
      </c>
      <c r="W48" s="1" t="str">
        <f t="shared" si="10"/>
        <v>Colombo (RPS)</v>
      </c>
      <c r="X48" s="1" t="str">
        <f t="shared" si="11"/>
        <v>Yes</v>
      </c>
      <c r="Y48" s="1"/>
    </row>
    <row r="49" spans="1:25" ht="14.25" customHeight="1">
      <c r="A49" s="1"/>
      <c r="B49" s="1">
        <v>31</v>
      </c>
      <c r="C49" s="1" t="s">
        <v>170</v>
      </c>
      <c r="D49" s="1" t="s">
        <v>138</v>
      </c>
      <c r="E49" s="1" t="s">
        <v>151</v>
      </c>
      <c r="F49" s="1" t="s">
        <v>131</v>
      </c>
      <c r="G49" s="1" t="s">
        <v>685</v>
      </c>
      <c r="H49" s="1" t="s">
        <v>29</v>
      </c>
      <c r="I49" s="1" t="s">
        <v>130</v>
      </c>
      <c r="J49" s="1" t="s">
        <v>133</v>
      </c>
      <c r="K49" s="1" t="s">
        <v>27</v>
      </c>
      <c r="L49" s="1"/>
      <c r="M49" s="1"/>
      <c r="N49" s="1" t="str">
        <f t="shared" si="5"/>
        <v>No</v>
      </c>
      <c r="O49" s="1">
        <f t="shared" si="6"/>
        <v>27</v>
      </c>
      <c r="P49" s="1">
        <f t="shared" si="12"/>
        <v>25</v>
      </c>
      <c r="Q49" s="1">
        <f t="shared" si="15"/>
        <v>2</v>
      </c>
      <c r="R49" s="1">
        <f t="shared" si="15"/>
        <v>0</v>
      </c>
      <c r="S49" s="29">
        <f t="shared" si="15"/>
        <v>76</v>
      </c>
      <c r="T49" s="1" t="str">
        <f t="shared" si="14"/>
        <v>bowled</v>
      </c>
      <c r="U49" s="1" t="str">
        <f t="shared" si="13"/>
        <v>1</v>
      </c>
      <c r="V49" s="1" t="str">
        <f t="shared" si="9"/>
        <v xml:space="preserve"> Sri Lanka</v>
      </c>
      <c r="W49" s="1" t="str">
        <f t="shared" si="10"/>
        <v>Colombo (RPS)</v>
      </c>
      <c r="X49" s="1" t="str">
        <f t="shared" si="11"/>
        <v>Yes</v>
      </c>
      <c r="Y49" s="1"/>
    </row>
    <row r="50" spans="1:25" ht="14.25" customHeight="1">
      <c r="A50" s="1"/>
      <c r="B50" s="1">
        <v>32</v>
      </c>
      <c r="C50" s="1" t="s">
        <v>214</v>
      </c>
      <c r="D50" s="1" t="s">
        <v>866</v>
      </c>
      <c r="E50" s="1" t="s">
        <v>189</v>
      </c>
      <c r="F50" s="1" t="s">
        <v>202</v>
      </c>
      <c r="G50" s="1" t="s">
        <v>1221</v>
      </c>
      <c r="H50" s="1" t="s">
        <v>24</v>
      </c>
      <c r="I50" s="1" t="s">
        <v>151</v>
      </c>
      <c r="J50" s="1" t="s">
        <v>182</v>
      </c>
      <c r="K50" s="1" t="s">
        <v>27</v>
      </c>
      <c r="L50" s="1"/>
      <c r="M50" s="1"/>
      <c r="N50" s="1" t="str">
        <f t="shared" si="5"/>
        <v>No</v>
      </c>
      <c r="O50" s="1">
        <f t="shared" si="6"/>
        <v>74</v>
      </c>
      <c r="P50" s="1">
        <f t="shared" si="12"/>
        <v>133</v>
      </c>
      <c r="Q50" s="1">
        <f t="shared" si="15"/>
        <v>8</v>
      </c>
      <c r="R50" s="1">
        <f t="shared" si="15"/>
        <v>5</v>
      </c>
      <c r="S50" s="29">
        <f t="shared" si="15"/>
        <v>90.97</v>
      </c>
      <c r="T50" s="1" t="str">
        <f t="shared" si="14"/>
        <v>caught</v>
      </c>
      <c r="U50" s="1" t="str">
        <f t="shared" si="13"/>
        <v>2</v>
      </c>
      <c r="V50" s="1" t="str">
        <f t="shared" si="9"/>
        <v xml:space="preserve"> Bangladesh</v>
      </c>
      <c r="W50" s="1" t="str">
        <f t="shared" si="10"/>
        <v>Colombo (RPS)</v>
      </c>
      <c r="X50" s="1" t="str">
        <f t="shared" si="11"/>
        <v>Yes</v>
      </c>
      <c r="Y50" s="1"/>
    </row>
    <row r="51" spans="1:25" ht="14.25" customHeight="1">
      <c r="A51" s="1"/>
      <c r="B51" s="1">
        <v>33</v>
      </c>
      <c r="C51" s="1" t="s">
        <v>1222</v>
      </c>
      <c r="D51" s="1" t="s">
        <v>170</v>
      </c>
      <c r="E51" s="1" t="s">
        <v>136</v>
      </c>
      <c r="F51" s="1" t="s">
        <v>131</v>
      </c>
      <c r="G51" s="1" t="s">
        <v>171</v>
      </c>
      <c r="H51" s="1" t="s">
        <v>32</v>
      </c>
      <c r="I51" s="1" t="s">
        <v>151</v>
      </c>
      <c r="J51" s="1" t="s">
        <v>133</v>
      </c>
      <c r="K51" s="1" t="s">
        <v>27</v>
      </c>
      <c r="L51" s="1"/>
      <c r="M51" s="1"/>
      <c r="N51" s="1" t="str">
        <f t="shared" ref="N51:N73" si="16">IF(OR(C51="DNB",C51="TDNB"),"Yes","No")</f>
        <v>No</v>
      </c>
      <c r="O51" s="1">
        <f t="shared" ref="O51:O71" si="17">IF(N53="Yes", "NA",SUBSTITUTE(C53,"*","")*1)</f>
        <v>104</v>
      </c>
      <c r="P51" s="1">
        <f t="shared" si="12"/>
        <v>19</v>
      </c>
      <c r="Q51" s="1">
        <f t="shared" si="15"/>
        <v>6</v>
      </c>
      <c r="R51" s="1">
        <f t="shared" si="15"/>
        <v>0</v>
      </c>
      <c r="S51" s="29">
        <f t="shared" si="15"/>
        <v>142.1</v>
      </c>
      <c r="T51" s="1" t="str">
        <f t="shared" si="14"/>
        <v>not out</v>
      </c>
      <c r="U51" s="1" t="str">
        <f t="shared" si="13"/>
        <v>2</v>
      </c>
      <c r="V51" s="1" t="str">
        <f t="shared" si="9"/>
        <v xml:space="preserve"> Sri Lanka</v>
      </c>
      <c r="W51" s="1" t="str">
        <f t="shared" si="10"/>
        <v>Colombo (RPS)</v>
      </c>
      <c r="X51" s="1" t="str">
        <f t="shared" si="11"/>
        <v>No</v>
      </c>
      <c r="Y51" s="1"/>
    </row>
    <row r="52" spans="1:25" ht="14.25" customHeight="1">
      <c r="A52" s="1"/>
      <c r="B52" s="1">
        <v>34</v>
      </c>
      <c r="C52" s="1" t="s">
        <v>466</v>
      </c>
      <c r="D52" s="1" t="s">
        <v>262</v>
      </c>
      <c r="E52" s="1" t="s">
        <v>136</v>
      </c>
      <c r="F52" s="1" t="s">
        <v>151</v>
      </c>
      <c r="G52" s="1" t="s">
        <v>1223</v>
      </c>
      <c r="H52" s="1" t="s">
        <v>29</v>
      </c>
      <c r="I52" s="1" t="s">
        <v>151</v>
      </c>
      <c r="J52" s="1" t="s">
        <v>158</v>
      </c>
      <c r="K52" s="1" t="s">
        <v>46</v>
      </c>
      <c r="L52" s="1"/>
      <c r="M52" s="1"/>
      <c r="N52" s="1" t="str">
        <f t="shared" si="16"/>
        <v>No</v>
      </c>
      <c r="O52" s="1">
        <f t="shared" si="17"/>
        <v>16</v>
      </c>
      <c r="P52" s="1">
        <f t="shared" si="12"/>
        <v>63</v>
      </c>
      <c r="Q52" s="1">
        <f t="shared" si="15"/>
        <v>6</v>
      </c>
      <c r="R52" s="1">
        <f t="shared" si="15"/>
        <v>2</v>
      </c>
      <c r="S52" s="29">
        <f t="shared" si="15"/>
        <v>117.46</v>
      </c>
      <c r="T52" s="1" t="str">
        <f t="shared" si="14"/>
        <v>bowled</v>
      </c>
      <c r="U52" s="1" t="str">
        <f t="shared" si="13"/>
        <v>2</v>
      </c>
      <c r="V52" s="1" t="str">
        <f t="shared" si="9"/>
        <v xml:space="preserve"> Australia</v>
      </c>
      <c r="W52" s="1" t="str">
        <f t="shared" si="10"/>
        <v>Mohali</v>
      </c>
      <c r="X52" s="1" t="str">
        <f t="shared" si="11"/>
        <v>Yes</v>
      </c>
      <c r="Y52" s="1"/>
    </row>
    <row r="53" spans="1:25" ht="14.25" customHeight="1">
      <c r="A53" s="1"/>
      <c r="B53" s="1">
        <v>35</v>
      </c>
      <c r="C53" s="1" t="s">
        <v>160</v>
      </c>
      <c r="D53" s="1" t="s">
        <v>395</v>
      </c>
      <c r="E53" s="1" t="s">
        <v>136</v>
      </c>
      <c r="F53" s="1" t="s">
        <v>140</v>
      </c>
      <c r="G53" s="1" t="s">
        <v>1033</v>
      </c>
      <c r="H53" s="1" t="s">
        <v>24</v>
      </c>
      <c r="I53" s="1" t="s">
        <v>130</v>
      </c>
      <c r="J53" s="1" t="s">
        <v>158</v>
      </c>
      <c r="K53" s="1" t="s">
        <v>87</v>
      </c>
      <c r="L53" s="1"/>
      <c r="M53" s="1"/>
      <c r="N53" s="1" t="str">
        <f t="shared" si="16"/>
        <v>No</v>
      </c>
      <c r="O53" s="1">
        <f t="shared" si="17"/>
        <v>53</v>
      </c>
      <c r="P53" s="1">
        <f t="shared" si="12"/>
        <v>97</v>
      </c>
      <c r="Q53" s="1">
        <f t="shared" si="15"/>
        <v>6</v>
      </c>
      <c r="R53" s="1">
        <f t="shared" si="15"/>
        <v>4</v>
      </c>
      <c r="S53" s="29">
        <f t="shared" si="15"/>
        <v>107.21</v>
      </c>
      <c r="T53" s="1" t="str">
        <f t="shared" si="14"/>
        <v>caught</v>
      </c>
      <c r="U53" s="1" t="str">
        <f t="shared" si="13"/>
        <v>1</v>
      </c>
      <c r="V53" s="1" t="str">
        <f t="shared" si="9"/>
        <v xml:space="preserve"> Australia</v>
      </c>
      <c r="W53" s="1" t="str">
        <f t="shared" si="10"/>
        <v>Indore</v>
      </c>
      <c r="X53" s="1" t="str">
        <f t="shared" si="11"/>
        <v>Yes</v>
      </c>
      <c r="Y53" s="1"/>
    </row>
    <row r="54" spans="1:25" ht="14.25" customHeight="1">
      <c r="A54" s="1"/>
      <c r="B54" s="1">
        <v>36</v>
      </c>
      <c r="C54" s="1" t="s">
        <v>153</v>
      </c>
      <c r="D54" s="1" t="s">
        <v>176</v>
      </c>
      <c r="E54" s="1" t="s">
        <v>140</v>
      </c>
      <c r="F54" s="1" t="s">
        <v>131</v>
      </c>
      <c r="G54" s="1" t="s">
        <v>784</v>
      </c>
      <c r="H54" s="1" t="s">
        <v>24</v>
      </c>
      <c r="I54" s="1" t="s">
        <v>151</v>
      </c>
      <c r="J54" s="1" t="s">
        <v>156</v>
      </c>
      <c r="K54" s="1" t="s">
        <v>59</v>
      </c>
      <c r="L54" s="1"/>
      <c r="M54" s="1"/>
      <c r="N54" s="1" t="str">
        <f t="shared" si="16"/>
        <v>No</v>
      </c>
      <c r="O54" s="1">
        <f t="shared" si="17"/>
        <v>26</v>
      </c>
      <c r="P54" s="1">
        <f t="shared" si="12"/>
        <v>11</v>
      </c>
      <c r="Q54" s="1">
        <f t="shared" si="15"/>
        <v>4</v>
      </c>
      <c r="R54" s="1">
        <f t="shared" si="15"/>
        <v>0</v>
      </c>
      <c r="S54" s="29">
        <f t="shared" si="15"/>
        <v>145.44999999999999</v>
      </c>
      <c r="T54" s="1" t="str">
        <f t="shared" si="14"/>
        <v>caught</v>
      </c>
      <c r="U54" s="1" t="str">
        <f t="shared" si="13"/>
        <v>2</v>
      </c>
      <c r="V54" s="1" t="str">
        <f t="shared" si="9"/>
        <v xml:space="preserve"> Pakistan</v>
      </c>
      <c r="W54" s="1" t="str">
        <f t="shared" si="10"/>
        <v>Ahmedabad</v>
      </c>
      <c r="X54" s="1" t="str">
        <f t="shared" si="11"/>
        <v>Yes</v>
      </c>
      <c r="Y54" s="1"/>
    </row>
    <row r="55" spans="1:25" ht="14.25" customHeight="1">
      <c r="A55" s="1"/>
      <c r="B55" s="1">
        <v>37</v>
      </c>
      <c r="C55" s="1" t="s">
        <v>235</v>
      </c>
      <c r="D55" s="1" t="s">
        <v>255</v>
      </c>
      <c r="E55" s="1" t="s">
        <v>202</v>
      </c>
      <c r="F55" s="1" t="s">
        <v>151</v>
      </c>
      <c r="G55" s="1" t="s">
        <v>1224</v>
      </c>
      <c r="H55" s="1" t="s">
        <v>24</v>
      </c>
      <c r="I55" s="1" t="s">
        <v>151</v>
      </c>
      <c r="J55" s="1" t="s">
        <v>182</v>
      </c>
      <c r="K55" s="1" t="s">
        <v>100</v>
      </c>
      <c r="L55" s="1"/>
      <c r="M55" s="1"/>
      <c r="N55" s="1" t="str">
        <f t="shared" si="16"/>
        <v>No</v>
      </c>
      <c r="O55" s="1">
        <f t="shared" si="17"/>
        <v>9</v>
      </c>
      <c r="P55" s="1">
        <f t="shared" si="12"/>
        <v>55</v>
      </c>
      <c r="Q55" s="1">
        <f t="shared" si="15"/>
        <v>5</v>
      </c>
      <c r="R55" s="1">
        <f t="shared" si="15"/>
        <v>2</v>
      </c>
      <c r="S55" s="29">
        <f t="shared" si="15"/>
        <v>96.36</v>
      </c>
      <c r="T55" s="1" t="str">
        <f t="shared" si="14"/>
        <v>caught</v>
      </c>
      <c r="U55" s="1" t="str">
        <f t="shared" si="13"/>
        <v>2</v>
      </c>
      <c r="V55" s="1" t="str">
        <f t="shared" si="9"/>
        <v xml:space="preserve"> Bangladesh</v>
      </c>
      <c r="W55" s="1" t="str">
        <f t="shared" si="10"/>
        <v>Pune</v>
      </c>
      <c r="X55" s="1" t="str">
        <f t="shared" si="11"/>
        <v>Yes</v>
      </c>
      <c r="Y55" s="1"/>
    </row>
    <row r="56" spans="1:25" ht="14.25" customHeight="1">
      <c r="A56" s="1"/>
      <c r="B56" s="1">
        <v>38</v>
      </c>
      <c r="C56" s="1" t="s">
        <v>313</v>
      </c>
      <c r="D56" s="1" t="s">
        <v>146</v>
      </c>
      <c r="E56" s="1" t="s">
        <v>202</v>
      </c>
      <c r="F56" s="1" t="s">
        <v>131</v>
      </c>
      <c r="G56" s="1" t="s">
        <v>1225</v>
      </c>
      <c r="H56" s="1" t="s">
        <v>24</v>
      </c>
      <c r="I56" s="1" t="s">
        <v>151</v>
      </c>
      <c r="J56" s="1" t="s">
        <v>211</v>
      </c>
      <c r="K56" s="1" t="s">
        <v>98</v>
      </c>
      <c r="L56" s="1"/>
      <c r="M56" s="1"/>
      <c r="N56" s="1" t="str">
        <f t="shared" si="16"/>
        <v>No</v>
      </c>
      <c r="O56" s="1">
        <f t="shared" si="17"/>
        <v>92</v>
      </c>
      <c r="P56" s="1">
        <f t="shared" si="12"/>
        <v>31</v>
      </c>
      <c r="Q56" s="1">
        <f t="shared" si="15"/>
        <v>5</v>
      </c>
      <c r="R56" s="1">
        <f t="shared" si="15"/>
        <v>0</v>
      </c>
      <c r="S56" s="29">
        <f t="shared" si="15"/>
        <v>83.87</v>
      </c>
      <c r="T56" s="1" t="str">
        <f t="shared" si="14"/>
        <v>caught</v>
      </c>
      <c r="U56" s="1" t="str">
        <f t="shared" si="13"/>
        <v>2</v>
      </c>
      <c r="V56" s="1" t="str">
        <f t="shared" si="9"/>
        <v xml:space="preserve"> New Zealand</v>
      </c>
      <c r="W56" s="1" t="str">
        <f t="shared" si="10"/>
        <v>Dharamsala</v>
      </c>
      <c r="X56" s="1" t="str">
        <f t="shared" si="11"/>
        <v>Yes</v>
      </c>
      <c r="Y56" s="1"/>
    </row>
    <row r="57" spans="1:25" ht="14.25" customHeight="1">
      <c r="A57" s="1"/>
      <c r="B57" s="1">
        <v>39</v>
      </c>
      <c r="C57" s="1" t="s">
        <v>161</v>
      </c>
      <c r="D57" s="1" t="s">
        <v>325</v>
      </c>
      <c r="E57" s="1" t="s">
        <v>130</v>
      </c>
      <c r="F57" s="1" t="s">
        <v>131</v>
      </c>
      <c r="G57" s="1" t="s">
        <v>401</v>
      </c>
      <c r="H57" s="1" t="s">
        <v>29</v>
      </c>
      <c r="I57" s="1" t="s">
        <v>130</v>
      </c>
      <c r="J57" s="1" t="s">
        <v>234</v>
      </c>
      <c r="K57" s="1" t="s">
        <v>122</v>
      </c>
      <c r="L57" s="1"/>
      <c r="M57" s="1"/>
      <c r="N57" s="1" t="str">
        <f t="shared" si="16"/>
        <v>No</v>
      </c>
      <c r="O57" s="1">
        <f t="shared" si="17"/>
        <v>23</v>
      </c>
      <c r="P57" s="1">
        <f t="shared" si="12"/>
        <v>13</v>
      </c>
      <c r="Q57" s="1">
        <f t="shared" si="15"/>
        <v>1</v>
      </c>
      <c r="R57" s="1">
        <f t="shared" si="15"/>
        <v>0</v>
      </c>
      <c r="S57" s="29">
        <f t="shared" si="15"/>
        <v>69.23</v>
      </c>
      <c r="T57" s="1" t="str">
        <f t="shared" si="14"/>
        <v>bowled</v>
      </c>
      <c r="U57" s="1" t="str">
        <f t="shared" si="13"/>
        <v>1</v>
      </c>
      <c r="V57" s="1" t="str">
        <f t="shared" si="9"/>
        <v xml:space="preserve"> England</v>
      </c>
      <c r="W57" s="1" t="str">
        <f t="shared" si="10"/>
        <v>Lucknow</v>
      </c>
      <c r="X57" s="1" t="str">
        <f t="shared" si="11"/>
        <v>Yes</v>
      </c>
      <c r="Y57" s="1"/>
    </row>
    <row r="58" spans="1:25" ht="14.25" customHeight="1">
      <c r="A58" s="1"/>
      <c r="B58" s="1">
        <v>40</v>
      </c>
      <c r="C58" s="1" t="s">
        <v>197</v>
      </c>
      <c r="D58" s="1" t="s">
        <v>197</v>
      </c>
      <c r="E58" s="1" t="s">
        <v>176</v>
      </c>
      <c r="F58" s="1" t="s">
        <v>151</v>
      </c>
      <c r="G58" s="1" t="s">
        <v>152</v>
      </c>
      <c r="H58" s="1" t="s">
        <v>24</v>
      </c>
      <c r="I58" s="1" t="s">
        <v>130</v>
      </c>
      <c r="J58" s="1" t="s">
        <v>133</v>
      </c>
      <c r="K58" s="1" t="s">
        <v>75</v>
      </c>
      <c r="L58" s="1"/>
      <c r="M58" s="1"/>
      <c r="N58" s="1" t="str">
        <f t="shared" si="16"/>
        <v>No</v>
      </c>
      <c r="O58" s="1">
        <f t="shared" si="17"/>
        <v>51</v>
      </c>
      <c r="P58" s="1">
        <f t="shared" si="12"/>
        <v>92</v>
      </c>
      <c r="Q58" s="1">
        <f t="shared" si="15"/>
        <v>11</v>
      </c>
      <c r="R58" s="1">
        <f t="shared" si="15"/>
        <v>2</v>
      </c>
      <c r="S58" s="29">
        <f t="shared" si="15"/>
        <v>100</v>
      </c>
      <c r="T58" s="1" t="str">
        <f t="shared" si="14"/>
        <v>caught</v>
      </c>
      <c r="U58" s="1" t="str">
        <f t="shared" si="13"/>
        <v>1</v>
      </c>
      <c r="V58" s="1" t="str">
        <f t="shared" si="9"/>
        <v xml:space="preserve"> Sri Lanka</v>
      </c>
      <c r="W58" s="1" t="str">
        <f t="shared" si="10"/>
        <v>Wankhede</v>
      </c>
      <c r="X58" s="1" t="str">
        <f t="shared" si="11"/>
        <v>Yes</v>
      </c>
      <c r="Y58" s="1"/>
    </row>
    <row r="59" spans="1:25" ht="14.25" customHeight="1">
      <c r="A59" s="1"/>
      <c r="B59" s="1">
        <v>41</v>
      </c>
      <c r="C59" s="1" t="s">
        <v>304</v>
      </c>
      <c r="D59" s="1" t="s">
        <v>154</v>
      </c>
      <c r="E59" s="1" t="s">
        <v>140</v>
      </c>
      <c r="F59" s="1" t="s">
        <v>130</v>
      </c>
      <c r="G59" s="1" t="s">
        <v>1226</v>
      </c>
      <c r="H59" s="1" t="s">
        <v>29</v>
      </c>
      <c r="I59" s="1" t="s">
        <v>130</v>
      </c>
      <c r="J59" s="1" t="s">
        <v>191</v>
      </c>
      <c r="K59" s="1" t="s">
        <v>51</v>
      </c>
      <c r="L59" s="1"/>
      <c r="M59" s="1"/>
      <c r="N59" s="1" t="str">
        <f t="shared" si="16"/>
        <v>No</v>
      </c>
      <c r="O59" s="1">
        <f t="shared" si="17"/>
        <v>80</v>
      </c>
      <c r="P59" s="1">
        <f t="shared" si="12"/>
        <v>24</v>
      </c>
      <c r="Q59" s="1">
        <f t="shared" si="15"/>
        <v>4</v>
      </c>
      <c r="R59" s="1">
        <f t="shared" si="15"/>
        <v>1</v>
      </c>
      <c r="S59" s="29">
        <f t="shared" si="15"/>
        <v>95.83</v>
      </c>
      <c r="T59" s="1" t="str">
        <f t="shared" si="14"/>
        <v>bowled</v>
      </c>
      <c r="U59" s="1" t="str">
        <f t="shared" si="13"/>
        <v>1</v>
      </c>
      <c r="V59" s="1" t="str">
        <f t="shared" si="9"/>
        <v xml:space="preserve"> South Africa</v>
      </c>
      <c r="W59" s="1" t="str">
        <f t="shared" si="10"/>
        <v>Eden Gardens</v>
      </c>
      <c r="X59" s="1" t="str">
        <f t="shared" si="11"/>
        <v>Yes</v>
      </c>
      <c r="Y59" s="1"/>
    </row>
    <row r="60" spans="1:25" ht="14.25" customHeight="1">
      <c r="A60" s="1"/>
      <c r="B60" s="1">
        <v>42</v>
      </c>
      <c r="C60" s="1" t="s">
        <v>356</v>
      </c>
      <c r="D60" s="1" t="s">
        <v>521</v>
      </c>
      <c r="E60" s="1" t="s">
        <v>148</v>
      </c>
      <c r="F60" s="1" t="s">
        <v>140</v>
      </c>
      <c r="G60" s="1" t="s">
        <v>1227</v>
      </c>
      <c r="H60" s="1" t="s">
        <v>24</v>
      </c>
      <c r="I60" s="1" t="s">
        <v>130</v>
      </c>
      <c r="J60" s="1" t="s">
        <v>240</v>
      </c>
      <c r="K60" s="1" t="s">
        <v>67</v>
      </c>
      <c r="L60" s="1"/>
      <c r="M60" s="1"/>
      <c r="N60" s="1" t="str">
        <f t="shared" si="16"/>
        <v>No</v>
      </c>
      <c r="O60" s="1">
        <f t="shared" si="17"/>
        <v>4</v>
      </c>
      <c r="P60" s="1">
        <f t="shared" si="12"/>
        <v>32</v>
      </c>
      <c r="Q60" s="1">
        <f t="shared" si="15"/>
        <v>3</v>
      </c>
      <c r="R60" s="1">
        <f t="shared" si="15"/>
        <v>4</v>
      </c>
      <c r="S60" s="29">
        <f t="shared" si="15"/>
        <v>159.37</v>
      </c>
      <c r="T60" s="1" t="str">
        <f t="shared" si="14"/>
        <v>caught</v>
      </c>
      <c r="U60" s="1" t="str">
        <f t="shared" si="13"/>
        <v>1</v>
      </c>
      <c r="V60" s="1" t="str">
        <f t="shared" si="9"/>
        <v xml:space="preserve"> Netherlands</v>
      </c>
      <c r="W60" s="1" t="str">
        <f t="shared" si="10"/>
        <v>Bengaluru</v>
      </c>
      <c r="X60" s="1" t="str">
        <f t="shared" si="11"/>
        <v>Yes</v>
      </c>
      <c r="Y60" s="1"/>
    </row>
    <row r="61" spans="1:25" ht="14.25" customHeight="1">
      <c r="A61" s="1"/>
      <c r="B61" s="1">
        <v>43</v>
      </c>
      <c r="C61" s="1" t="s">
        <v>1228</v>
      </c>
      <c r="D61" s="1" t="s">
        <v>143</v>
      </c>
      <c r="E61" s="1" t="s">
        <v>189</v>
      </c>
      <c r="F61" s="1" t="s">
        <v>148</v>
      </c>
      <c r="G61" s="1" t="s">
        <v>1229</v>
      </c>
      <c r="H61" s="1" t="s">
        <v>32</v>
      </c>
      <c r="I61" s="1" t="s">
        <v>130</v>
      </c>
      <c r="J61" s="1" t="s">
        <v>211</v>
      </c>
      <c r="K61" s="1" t="s">
        <v>75</v>
      </c>
      <c r="L61" s="1"/>
      <c r="M61" s="1"/>
      <c r="N61" s="1" t="str">
        <f t="shared" si="16"/>
        <v>No</v>
      </c>
      <c r="O61" s="1">
        <f t="shared" si="17"/>
        <v>16</v>
      </c>
      <c r="P61" s="1">
        <f t="shared" si="12"/>
        <v>66</v>
      </c>
      <c r="Q61" s="1">
        <f t="shared" si="15"/>
        <v>8</v>
      </c>
      <c r="R61" s="1">
        <f t="shared" si="15"/>
        <v>3</v>
      </c>
      <c r="S61" s="29">
        <f t="shared" si="15"/>
        <v>121.21</v>
      </c>
      <c r="T61" s="1" t="str">
        <f t="shared" si="14"/>
        <v>not out</v>
      </c>
      <c r="U61" s="1" t="str">
        <f t="shared" si="13"/>
        <v>1</v>
      </c>
      <c r="V61" s="1" t="str">
        <f t="shared" si="9"/>
        <v xml:space="preserve"> New Zealand</v>
      </c>
      <c r="W61" s="1" t="str">
        <f t="shared" si="10"/>
        <v>Wankhede</v>
      </c>
      <c r="X61" s="1" t="str">
        <f t="shared" si="11"/>
        <v>No</v>
      </c>
      <c r="Y61" s="1"/>
    </row>
    <row r="62" spans="1:25" ht="14.25" customHeight="1">
      <c r="A62" s="1"/>
      <c r="B62" s="1">
        <v>44</v>
      </c>
      <c r="C62" s="1" t="s">
        <v>140</v>
      </c>
      <c r="D62" s="1" t="s">
        <v>144</v>
      </c>
      <c r="E62" s="1" t="s">
        <v>131</v>
      </c>
      <c r="F62" s="1" t="s">
        <v>131</v>
      </c>
      <c r="G62" s="1" t="s">
        <v>503</v>
      </c>
      <c r="H62" s="1" t="s">
        <v>24</v>
      </c>
      <c r="I62" s="1" t="s">
        <v>130</v>
      </c>
      <c r="J62" s="1" t="s">
        <v>158</v>
      </c>
      <c r="K62" s="1" t="s">
        <v>59</v>
      </c>
      <c r="L62" s="1"/>
      <c r="M62" s="1"/>
      <c r="N62" s="1" t="str">
        <f t="shared" si="16"/>
        <v>No</v>
      </c>
      <c r="O62" s="1">
        <f t="shared" si="17"/>
        <v>35</v>
      </c>
      <c r="P62" s="1">
        <f t="shared" si="12"/>
        <v>7</v>
      </c>
      <c r="Q62" s="1">
        <f t="shared" si="15"/>
        <v>0</v>
      </c>
      <c r="R62" s="1">
        <f t="shared" si="15"/>
        <v>0</v>
      </c>
      <c r="S62" s="29">
        <f t="shared" si="15"/>
        <v>57.14</v>
      </c>
      <c r="T62" s="1" t="str">
        <f t="shared" si="14"/>
        <v>caught</v>
      </c>
      <c r="U62" s="1" t="str">
        <f t="shared" si="13"/>
        <v>1</v>
      </c>
      <c r="V62" s="1" t="str">
        <f t="shared" si="9"/>
        <v xml:space="preserve"> Australia</v>
      </c>
      <c r="W62" s="1" t="str">
        <f t="shared" si="10"/>
        <v>Ahmedabad</v>
      </c>
      <c r="X62" s="1" t="str">
        <f t="shared" si="11"/>
        <v>Yes</v>
      </c>
      <c r="Y62" s="1"/>
    </row>
    <row r="63" spans="1:25" ht="14.25" customHeight="1">
      <c r="A63" s="1"/>
      <c r="B63" s="1">
        <v>45</v>
      </c>
      <c r="C63" s="1" t="s">
        <v>153</v>
      </c>
      <c r="D63" s="1" t="s">
        <v>248</v>
      </c>
      <c r="E63" s="1" t="s">
        <v>151</v>
      </c>
      <c r="F63" s="1" t="s">
        <v>131</v>
      </c>
      <c r="G63" s="1" t="s">
        <v>1230</v>
      </c>
      <c r="H63" s="1" t="s">
        <v>24</v>
      </c>
      <c r="I63" s="1" t="s">
        <v>151</v>
      </c>
      <c r="J63" s="1" t="s">
        <v>133</v>
      </c>
      <c r="K63" s="1" t="s">
        <v>27</v>
      </c>
      <c r="L63" s="1"/>
      <c r="M63" s="1"/>
      <c r="N63" s="1" t="str">
        <f t="shared" si="16"/>
        <v>No</v>
      </c>
      <c r="O63" s="1">
        <f t="shared" si="17"/>
        <v>6</v>
      </c>
      <c r="P63" s="1">
        <f t="shared" si="12"/>
        <v>35</v>
      </c>
      <c r="Q63" s="1">
        <f t="shared" si="15"/>
        <v>2</v>
      </c>
      <c r="R63" s="1">
        <f t="shared" si="15"/>
        <v>0</v>
      </c>
      <c r="S63" s="29">
        <f t="shared" si="15"/>
        <v>45.71</v>
      </c>
      <c r="T63" s="1" t="str">
        <f t="shared" si="14"/>
        <v>caught</v>
      </c>
      <c r="U63" s="1" t="str">
        <f t="shared" si="13"/>
        <v>2</v>
      </c>
      <c r="V63" s="1" t="str">
        <f t="shared" si="9"/>
        <v xml:space="preserve"> Sri Lanka</v>
      </c>
      <c r="W63" s="1" t="str">
        <f t="shared" si="10"/>
        <v>Colombo (RPS)</v>
      </c>
      <c r="X63" s="1" t="str">
        <f t="shared" si="11"/>
        <v>Yes</v>
      </c>
      <c r="Y63" s="1"/>
    </row>
    <row r="64" spans="1:25" ht="14.25" customHeight="1">
      <c r="A64" s="1"/>
      <c r="B64" s="1">
        <v>46</v>
      </c>
      <c r="C64" s="1" t="s">
        <v>248</v>
      </c>
      <c r="D64" s="1" t="s">
        <v>369</v>
      </c>
      <c r="E64" s="1" t="s">
        <v>148</v>
      </c>
      <c r="F64" s="1" t="s">
        <v>131</v>
      </c>
      <c r="G64" s="1" t="s">
        <v>971</v>
      </c>
      <c r="H64" s="1" t="s">
        <v>24</v>
      </c>
      <c r="I64" s="1" t="s">
        <v>151</v>
      </c>
      <c r="J64" s="1" t="s">
        <v>133</v>
      </c>
      <c r="K64" s="1" t="s">
        <v>27</v>
      </c>
      <c r="L64" s="1"/>
      <c r="M64" s="1"/>
      <c r="N64" s="1" t="str">
        <f t="shared" si="16"/>
        <v>No</v>
      </c>
      <c r="O64" s="1">
        <f t="shared" si="17"/>
        <v>87</v>
      </c>
      <c r="P64" s="1">
        <f t="shared" si="12"/>
        <v>44</v>
      </c>
      <c r="Q64" s="1">
        <f t="shared" si="15"/>
        <v>3</v>
      </c>
      <c r="R64" s="1">
        <f t="shared" si="15"/>
        <v>0</v>
      </c>
      <c r="S64" s="29">
        <f t="shared" si="15"/>
        <v>79.540000000000006</v>
      </c>
      <c r="T64" s="1" t="str">
        <f t="shared" si="14"/>
        <v>caught</v>
      </c>
      <c r="U64" s="1" t="str">
        <f t="shared" si="13"/>
        <v>2</v>
      </c>
      <c r="V64" s="1" t="str">
        <f t="shared" si="9"/>
        <v xml:space="preserve"> Sri Lanka</v>
      </c>
      <c r="W64" s="1" t="str">
        <f t="shared" si="10"/>
        <v>Colombo (RPS)</v>
      </c>
      <c r="X64" s="1" t="str">
        <f t="shared" si="11"/>
        <v>Yes</v>
      </c>
      <c r="Y64" s="1"/>
    </row>
    <row r="65" spans="1:25" ht="14.25" customHeight="1">
      <c r="A65" s="1"/>
      <c r="B65" s="1">
        <v>47</v>
      </c>
      <c r="C65" s="1" t="s">
        <v>136</v>
      </c>
      <c r="D65" s="1" t="s">
        <v>205</v>
      </c>
      <c r="E65" s="1" t="s">
        <v>131</v>
      </c>
      <c r="F65" s="1" t="s">
        <v>131</v>
      </c>
      <c r="G65" s="1" t="s">
        <v>247</v>
      </c>
      <c r="H65" s="1" t="s">
        <v>29</v>
      </c>
      <c r="I65" s="1" t="s">
        <v>151</v>
      </c>
      <c r="J65" s="1" t="s">
        <v>133</v>
      </c>
      <c r="K65" s="1" t="s">
        <v>27</v>
      </c>
      <c r="L65" s="1"/>
      <c r="M65" s="1"/>
      <c r="N65" s="1" t="str">
        <f t="shared" si="16"/>
        <v>No</v>
      </c>
      <c r="O65" s="1">
        <f t="shared" si="17"/>
        <v>60</v>
      </c>
      <c r="P65" s="1">
        <f t="shared" si="12"/>
        <v>14</v>
      </c>
      <c r="Q65" s="1">
        <f t="shared" si="15"/>
        <v>0</v>
      </c>
      <c r="R65" s="1">
        <f t="shared" si="15"/>
        <v>0</v>
      </c>
      <c r="S65" s="29">
        <f t="shared" si="15"/>
        <v>42.85</v>
      </c>
      <c r="T65" s="1" t="str">
        <f t="shared" si="14"/>
        <v>bowled</v>
      </c>
      <c r="U65" s="1" t="str">
        <f t="shared" si="13"/>
        <v>2</v>
      </c>
      <c r="V65" s="1" t="str">
        <f t="shared" si="9"/>
        <v xml:space="preserve"> Sri Lanka</v>
      </c>
      <c r="W65" s="1" t="str">
        <f t="shared" si="10"/>
        <v>Colombo (RPS)</v>
      </c>
      <c r="X65" s="1" t="str">
        <f t="shared" si="11"/>
        <v>Yes</v>
      </c>
      <c r="Y65" s="1"/>
    </row>
    <row r="66" spans="1:25" ht="14.25" customHeight="1">
      <c r="A66" s="1"/>
      <c r="B66" s="1">
        <v>48</v>
      </c>
      <c r="C66" s="1" t="s">
        <v>421</v>
      </c>
      <c r="D66" s="1" t="s">
        <v>430</v>
      </c>
      <c r="E66" s="1" t="s">
        <v>205</v>
      </c>
      <c r="F66" s="1" t="s">
        <v>131</v>
      </c>
      <c r="G66" s="1" t="s">
        <v>320</v>
      </c>
      <c r="H66" s="1" t="s">
        <v>24</v>
      </c>
      <c r="I66" s="1" t="s">
        <v>151</v>
      </c>
      <c r="J66" s="1" t="s">
        <v>234</v>
      </c>
      <c r="K66" s="1" t="s">
        <v>50</v>
      </c>
      <c r="L66" s="1"/>
      <c r="M66" s="1"/>
      <c r="N66" s="1" t="str">
        <f t="shared" si="16"/>
        <v>No</v>
      </c>
      <c r="O66" s="1">
        <f t="shared" si="17"/>
        <v>112</v>
      </c>
      <c r="P66" s="1">
        <f t="shared" si="12"/>
        <v>96</v>
      </c>
      <c r="Q66" s="1">
        <f t="shared" si="15"/>
        <v>14</v>
      </c>
      <c r="R66" s="1">
        <f t="shared" si="15"/>
        <v>0</v>
      </c>
      <c r="S66" s="29">
        <f t="shared" si="15"/>
        <v>90.62</v>
      </c>
      <c r="T66" s="1" t="str">
        <f t="shared" si="14"/>
        <v>caught</v>
      </c>
      <c r="U66" s="1" t="str">
        <f t="shared" si="13"/>
        <v>2</v>
      </c>
      <c r="V66" s="1" t="str">
        <f t="shared" si="9"/>
        <v xml:space="preserve"> England</v>
      </c>
      <c r="W66" s="1" t="str">
        <f t="shared" si="10"/>
        <v>Nagpur</v>
      </c>
      <c r="X66" s="1" t="str">
        <f t="shared" si="11"/>
        <v>Yes</v>
      </c>
      <c r="Y66" s="1"/>
    </row>
    <row r="67" spans="1:25" ht="14.25" customHeight="1">
      <c r="A67" s="1"/>
      <c r="B67" s="1">
        <v>49</v>
      </c>
      <c r="C67" s="1" t="s">
        <v>380</v>
      </c>
      <c r="D67" s="1" t="s">
        <v>327</v>
      </c>
      <c r="E67" s="1" t="s">
        <v>161</v>
      </c>
      <c r="F67" s="1" t="s">
        <v>130</v>
      </c>
      <c r="G67" s="1" t="s">
        <v>892</v>
      </c>
      <c r="H67" s="1" t="s">
        <v>29</v>
      </c>
      <c r="I67" s="1" t="s">
        <v>151</v>
      </c>
      <c r="J67" s="1" t="s">
        <v>234</v>
      </c>
      <c r="K67" s="1" t="s">
        <v>86</v>
      </c>
      <c r="L67" s="1"/>
      <c r="M67" s="1"/>
      <c r="N67" s="1" t="str">
        <f t="shared" si="16"/>
        <v>No</v>
      </c>
      <c r="O67" s="1">
        <f t="shared" si="17"/>
        <v>101</v>
      </c>
      <c r="P67" s="1">
        <f t="shared" si="12"/>
        <v>52</v>
      </c>
      <c r="Q67" s="1">
        <f t="shared" si="15"/>
        <v>9</v>
      </c>
      <c r="R67" s="1">
        <f t="shared" si="15"/>
        <v>1</v>
      </c>
      <c r="S67" s="29">
        <f t="shared" si="15"/>
        <v>115.38</v>
      </c>
      <c r="T67" s="1" t="str">
        <f t="shared" si="14"/>
        <v>bowled</v>
      </c>
      <c r="U67" s="1" t="str">
        <f t="shared" si="13"/>
        <v>2</v>
      </c>
      <c r="V67" s="1" t="str">
        <f t="shared" si="9"/>
        <v xml:space="preserve"> England</v>
      </c>
      <c r="W67" s="1" t="str">
        <f t="shared" si="10"/>
        <v>Cuttack</v>
      </c>
      <c r="X67" s="1" t="str">
        <f t="shared" si="11"/>
        <v>Yes</v>
      </c>
      <c r="Y67" s="1"/>
    </row>
    <row r="68" spans="1:25" ht="14.25" customHeight="1">
      <c r="A68" s="1"/>
      <c r="B68" s="1">
        <v>50</v>
      </c>
      <c r="C68" s="1" t="s">
        <v>441</v>
      </c>
      <c r="D68" s="1" t="s">
        <v>180</v>
      </c>
      <c r="E68" s="1" t="s">
        <v>205</v>
      </c>
      <c r="F68" s="1" t="s">
        <v>148</v>
      </c>
      <c r="G68" s="1" t="s">
        <v>1231</v>
      </c>
      <c r="H68" s="1" t="s">
        <v>29</v>
      </c>
      <c r="I68" s="1" t="s">
        <v>130</v>
      </c>
      <c r="J68" s="1" t="s">
        <v>234</v>
      </c>
      <c r="K68" s="1" t="s">
        <v>59</v>
      </c>
      <c r="L68" s="1"/>
      <c r="M68" s="1"/>
      <c r="N68" s="1" t="str">
        <f t="shared" si="16"/>
        <v>No</v>
      </c>
      <c r="O68" s="1">
        <f t="shared" si="17"/>
        <v>46</v>
      </c>
      <c r="P68" s="1">
        <f t="shared" si="12"/>
        <v>102</v>
      </c>
      <c r="Q68" s="1">
        <f t="shared" si="15"/>
        <v>14</v>
      </c>
      <c r="R68" s="1">
        <f t="shared" si="15"/>
        <v>3</v>
      </c>
      <c r="S68" s="29">
        <f t="shared" si="15"/>
        <v>109.8</v>
      </c>
      <c r="T68" s="1" t="str">
        <f t="shared" si="14"/>
        <v>bowled</v>
      </c>
      <c r="U68" s="1" t="str">
        <f t="shared" si="13"/>
        <v>1</v>
      </c>
      <c r="V68" s="1" t="str">
        <f t="shared" si="9"/>
        <v xml:space="preserve"> England</v>
      </c>
      <c r="W68" s="1" t="str">
        <f t="shared" si="10"/>
        <v>Ahmedabad</v>
      </c>
      <c r="X68" s="1" t="str">
        <f t="shared" si="11"/>
        <v>Yes</v>
      </c>
      <c r="Y68" s="1"/>
    </row>
    <row r="69" spans="1:25" ht="14.25" customHeight="1">
      <c r="A69" s="1"/>
      <c r="B69" s="1">
        <v>51</v>
      </c>
      <c r="C69" s="1" t="s">
        <v>516</v>
      </c>
      <c r="D69" s="1" t="s">
        <v>458</v>
      </c>
      <c r="E69" s="1" t="s">
        <v>161</v>
      </c>
      <c r="F69" s="1" t="s">
        <v>151</v>
      </c>
      <c r="G69" s="1" t="s">
        <v>1109</v>
      </c>
      <c r="H69" s="1" t="s">
        <v>32</v>
      </c>
      <c r="I69" s="1" t="s">
        <v>151</v>
      </c>
      <c r="J69" s="1" t="s">
        <v>182</v>
      </c>
      <c r="K69" s="1" t="s">
        <v>123</v>
      </c>
      <c r="L69" s="1"/>
      <c r="M69" s="1"/>
      <c r="N69" s="1" t="str">
        <f t="shared" si="16"/>
        <v>No</v>
      </c>
      <c r="O69" s="1">
        <f t="shared" si="17"/>
        <v>2</v>
      </c>
      <c r="P69" s="1">
        <f t="shared" si="12"/>
        <v>129</v>
      </c>
      <c r="Q69" s="1">
        <f t="shared" si="15"/>
        <v>9</v>
      </c>
      <c r="R69" s="1">
        <f t="shared" si="15"/>
        <v>2</v>
      </c>
      <c r="S69" s="29">
        <f t="shared" si="15"/>
        <v>78.290000000000006</v>
      </c>
      <c r="T69" s="1" t="str">
        <f t="shared" si="14"/>
        <v>not out</v>
      </c>
      <c r="U69" s="1" t="str">
        <f t="shared" si="13"/>
        <v>2</v>
      </c>
      <c r="V69" s="1" t="str">
        <f t="shared" si="9"/>
        <v xml:space="preserve"> Bangladesh</v>
      </c>
      <c r="W69" s="1" t="str">
        <f t="shared" si="10"/>
        <v>Dubai (DICS)</v>
      </c>
      <c r="X69" s="1" t="str">
        <f t="shared" si="11"/>
        <v>No</v>
      </c>
      <c r="Y69" s="1"/>
    </row>
    <row r="70" spans="1:25" ht="14.25" customHeight="1">
      <c r="A70" s="1"/>
      <c r="B70" s="1">
        <v>52</v>
      </c>
      <c r="C70" s="1" t="s">
        <v>147</v>
      </c>
      <c r="D70" s="1" t="s">
        <v>327</v>
      </c>
      <c r="E70" s="1" t="s">
        <v>144</v>
      </c>
      <c r="F70" s="1" t="s">
        <v>131</v>
      </c>
      <c r="G70" s="1" t="s">
        <v>1232</v>
      </c>
      <c r="H70" s="1" t="s">
        <v>29</v>
      </c>
      <c r="I70" s="1" t="s">
        <v>151</v>
      </c>
      <c r="J70" s="1" t="s">
        <v>156</v>
      </c>
      <c r="K70" s="1" t="s">
        <v>123</v>
      </c>
      <c r="L70" s="1"/>
      <c r="M70" s="1"/>
      <c r="N70" s="1" t="str">
        <f t="shared" si="16"/>
        <v>No</v>
      </c>
      <c r="O70" s="1">
        <f t="shared" si="17"/>
        <v>8</v>
      </c>
      <c r="P70" s="1">
        <f t="shared" si="12"/>
        <v>52</v>
      </c>
      <c r="Q70" s="1">
        <f t="shared" si="15"/>
        <v>7</v>
      </c>
      <c r="R70" s="1">
        <f t="shared" si="15"/>
        <v>0</v>
      </c>
      <c r="S70" s="29">
        <f t="shared" si="15"/>
        <v>88.46</v>
      </c>
      <c r="T70" s="1" t="str">
        <f t="shared" si="14"/>
        <v>bowled</v>
      </c>
      <c r="U70" s="1" t="str">
        <f t="shared" si="13"/>
        <v>2</v>
      </c>
      <c r="V70" s="1" t="str">
        <f t="shared" si="9"/>
        <v xml:space="preserve"> Pakistan</v>
      </c>
      <c r="W70" s="1" t="str">
        <f t="shared" si="10"/>
        <v>Dubai (DICS)</v>
      </c>
      <c r="X70" s="1" t="str">
        <f t="shared" si="11"/>
        <v>Yes</v>
      </c>
      <c r="Y70" s="1"/>
    </row>
    <row r="71" spans="1:25" ht="14.25" customHeight="1">
      <c r="A71" s="1"/>
      <c r="B71" s="1">
        <v>53</v>
      </c>
      <c r="C71" s="1" t="s">
        <v>151</v>
      </c>
      <c r="D71" s="1" t="s">
        <v>144</v>
      </c>
      <c r="E71" s="1" t="s">
        <v>131</v>
      </c>
      <c r="F71" s="1" t="s">
        <v>131</v>
      </c>
      <c r="G71" s="1" t="s">
        <v>539</v>
      </c>
      <c r="H71" s="1" t="s">
        <v>19</v>
      </c>
      <c r="I71" s="1" t="s">
        <v>130</v>
      </c>
      <c r="J71" s="1" t="s">
        <v>211</v>
      </c>
      <c r="K71" s="1" t="s">
        <v>123</v>
      </c>
      <c r="L71" s="1"/>
      <c r="M71" s="1"/>
      <c r="N71" s="1" t="str">
        <f t="shared" si="16"/>
        <v>No</v>
      </c>
      <c r="O71" s="1">
        <f t="shared" si="17"/>
        <v>31</v>
      </c>
      <c r="P71" s="1">
        <f t="shared" si="12"/>
        <v>7</v>
      </c>
      <c r="Q71" s="1">
        <f t="shared" si="15"/>
        <v>0</v>
      </c>
      <c r="R71" s="1">
        <f t="shared" si="15"/>
        <v>0</v>
      </c>
      <c r="S71" s="29">
        <f t="shared" si="15"/>
        <v>28.57</v>
      </c>
      <c r="T71" s="1" t="str">
        <f t="shared" si="14"/>
        <v>lbw</v>
      </c>
      <c r="U71" s="1" t="str">
        <f t="shared" si="13"/>
        <v>1</v>
      </c>
      <c r="V71" s="1" t="str">
        <f t="shared" si="9"/>
        <v xml:space="preserve"> New Zealand</v>
      </c>
      <c r="W71" s="1" t="str">
        <f t="shared" si="10"/>
        <v>Dubai (DICS)</v>
      </c>
      <c r="X71" s="1" t="str">
        <f t="shared" si="11"/>
        <v>Yes</v>
      </c>
      <c r="Y71" s="1"/>
    </row>
    <row r="72" spans="1:25" ht="14.25" customHeight="1">
      <c r="A72" s="1"/>
      <c r="B72" s="1">
        <v>54</v>
      </c>
      <c r="C72" s="1" t="s">
        <v>189</v>
      </c>
      <c r="D72" s="1" t="s">
        <v>176</v>
      </c>
      <c r="E72" s="1" t="s">
        <v>130</v>
      </c>
      <c r="F72" s="1" t="s">
        <v>131</v>
      </c>
      <c r="G72" s="1" t="s">
        <v>245</v>
      </c>
      <c r="H72" s="1" t="s">
        <v>29</v>
      </c>
      <c r="I72" s="1" t="s">
        <v>151</v>
      </c>
      <c r="J72" s="1" t="s">
        <v>158</v>
      </c>
      <c r="K72" s="1" t="s">
        <v>123</v>
      </c>
      <c r="L72" s="1"/>
      <c r="M72" s="1"/>
      <c r="N72" s="1" t="str">
        <f t="shared" si="16"/>
        <v>No</v>
      </c>
      <c r="O72" s="1">
        <f>IF(N72="Yes", "NA",SUBSTITUTE(C72,"*","")*1)</f>
        <v>8</v>
      </c>
      <c r="P72" s="1">
        <f t="shared" si="12"/>
        <v>11</v>
      </c>
      <c r="Q72" s="1">
        <f t="shared" si="15"/>
        <v>1</v>
      </c>
      <c r="R72" s="1">
        <f t="shared" si="15"/>
        <v>0</v>
      </c>
      <c r="S72" s="29">
        <f t="shared" si="15"/>
        <v>72.72</v>
      </c>
      <c r="T72" s="1" t="str">
        <f t="shared" si="14"/>
        <v>bowled</v>
      </c>
      <c r="U72" s="1" t="str">
        <f t="shared" si="13"/>
        <v>2</v>
      </c>
      <c r="V72" s="1" t="str">
        <f t="shared" si="9"/>
        <v xml:space="preserve"> Australia</v>
      </c>
      <c r="W72" s="1" t="str">
        <f t="shared" si="10"/>
        <v>Dubai (DICS)</v>
      </c>
      <c r="X72" s="1" t="str">
        <f t="shared" si="11"/>
        <v>Yes</v>
      </c>
      <c r="Y72" s="1"/>
    </row>
    <row r="73" spans="1:25" ht="14.25" customHeight="1">
      <c r="A73" s="1"/>
      <c r="B73" s="1">
        <v>55</v>
      </c>
      <c r="C73" s="1" t="s">
        <v>146</v>
      </c>
      <c r="D73" s="1" t="s">
        <v>360</v>
      </c>
      <c r="E73" s="1" t="s">
        <v>131</v>
      </c>
      <c r="F73" s="1" t="s">
        <v>130</v>
      </c>
      <c r="G73" s="1" t="s">
        <v>1233</v>
      </c>
      <c r="H73" s="1" t="s">
        <v>24</v>
      </c>
      <c r="I73" s="1" t="s">
        <v>151</v>
      </c>
      <c r="J73" s="1" t="s">
        <v>211</v>
      </c>
      <c r="K73" s="1" t="s">
        <v>123</v>
      </c>
      <c r="L73" s="1"/>
      <c r="M73" s="1"/>
      <c r="N73" s="1" t="str">
        <f t="shared" si="16"/>
        <v>No</v>
      </c>
      <c r="O73" s="1">
        <f>IF(N73="Yes", "NA",SUBSTITUTE(C73,"*","")*1)</f>
        <v>31</v>
      </c>
      <c r="P73" s="1">
        <f t="shared" si="12"/>
        <v>50</v>
      </c>
      <c r="Q73" s="1">
        <f t="shared" si="15"/>
        <v>0</v>
      </c>
      <c r="R73" s="1">
        <f t="shared" si="15"/>
        <v>1</v>
      </c>
      <c r="S73" s="29">
        <f t="shared" si="15"/>
        <v>62</v>
      </c>
      <c r="T73" s="1" t="str">
        <f t="shared" si="14"/>
        <v>caught</v>
      </c>
      <c r="U73" s="1" t="str">
        <f t="shared" si="13"/>
        <v>2</v>
      </c>
      <c r="V73" s="1" t="str">
        <f t="shared" si="9"/>
        <v xml:space="preserve"> New Zealand</v>
      </c>
      <c r="W73" s="1" t="str">
        <f t="shared" si="10"/>
        <v>Dubai (DICS)</v>
      </c>
      <c r="X73" s="1" t="str">
        <f t="shared" si="11"/>
        <v>Yes</v>
      </c>
      <c r="Y73" s="1"/>
    </row>
    <row r="74" spans="1:25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9"/>
      <c r="T74" s="1"/>
      <c r="U74" s="1"/>
      <c r="V74" s="1"/>
      <c r="W74" s="1"/>
      <c r="X74" s="1"/>
      <c r="Y74" s="1"/>
    </row>
    <row r="75" spans="1:2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9"/>
      <c r="T75" s="1"/>
      <c r="U75" s="1"/>
      <c r="V75" s="1"/>
      <c r="W75" s="1"/>
      <c r="X75" s="1"/>
      <c r="Y75" s="1"/>
    </row>
    <row r="76" spans="1:25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9"/>
      <c r="T76" s="1"/>
      <c r="U76" s="1"/>
      <c r="V76" s="1"/>
      <c r="W76" s="1"/>
      <c r="X76" s="1"/>
      <c r="Y76" s="1"/>
    </row>
    <row r="77" spans="1:25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29"/>
      <c r="T77" s="1"/>
      <c r="U77" s="1"/>
      <c r="V77" s="1"/>
      <c r="W77" s="1"/>
      <c r="X77" s="1"/>
      <c r="Y77" s="1"/>
    </row>
    <row r="78" spans="1:25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9"/>
      <c r="T78" s="1"/>
      <c r="U78" s="1"/>
      <c r="V78" s="1"/>
      <c r="W78" s="1"/>
      <c r="X78" s="1"/>
      <c r="Y78" s="1"/>
    </row>
    <row r="79" spans="1:25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29"/>
      <c r="T79" s="1"/>
      <c r="U79" s="1"/>
      <c r="V79" s="1"/>
      <c r="W79" s="1"/>
      <c r="X79" s="1"/>
      <c r="Y79" s="1"/>
    </row>
    <row r="80" spans="1:25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29"/>
      <c r="T80" s="1"/>
      <c r="U80" s="1"/>
      <c r="V80" s="1"/>
      <c r="W80" s="1"/>
      <c r="X80" s="1"/>
      <c r="Y80" s="1"/>
    </row>
    <row r="81" spans="1:25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29"/>
      <c r="T81" s="1"/>
      <c r="U81" s="1"/>
      <c r="V81" s="1"/>
      <c r="W81" s="1"/>
      <c r="X81" s="1"/>
      <c r="Y81" s="1"/>
    </row>
    <row r="82" spans="1:25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29"/>
      <c r="T82" s="1"/>
      <c r="U82" s="1"/>
      <c r="V82" s="1"/>
      <c r="W82" s="1"/>
      <c r="X82" s="1"/>
      <c r="Y82" s="1"/>
    </row>
    <row r="83" spans="1:25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29"/>
      <c r="T83" s="1"/>
      <c r="U83" s="1"/>
      <c r="V83" s="1"/>
      <c r="W83" s="1"/>
      <c r="X83" s="1"/>
      <c r="Y83" s="1"/>
    </row>
    <row r="84" spans="1:25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9"/>
      <c r="T84" s="1"/>
      <c r="U84" s="1"/>
      <c r="V84" s="1"/>
      <c r="W84" s="1"/>
      <c r="X84" s="1"/>
      <c r="Y84" s="1"/>
    </row>
    <row r="85" spans="1:2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29"/>
      <c r="T85" s="1"/>
      <c r="U85" s="1"/>
      <c r="V85" s="1"/>
      <c r="W85" s="1"/>
      <c r="X85" s="1"/>
      <c r="Y85" s="1"/>
    </row>
    <row r="86" spans="1:25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9"/>
      <c r="T86" s="1"/>
      <c r="U86" s="1"/>
      <c r="V86" s="1"/>
      <c r="W86" s="1"/>
      <c r="X86" s="1"/>
      <c r="Y86" s="1"/>
    </row>
    <row r="87" spans="1:25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9"/>
      <c r="T87" s="1"/>
      <c r="U87" s="1"/>
      <c r="V87" s="1"/>
      <c r="W87" s="1"/>
      <c r="X87" s="1"/>
      <c r="Y87" s="1"/>
    </row>
    <row r="88" spans="1:25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29"/>
      <c r="T88" s="1"/>
      <c r="U88" s="1"/>
      <c r="V88" s="1"/>
      <c r="W88" s="1"/>
      <c r="X88" s="1"/>
      <c r="Y88" s="1"/>
    </row>
    <row r="89" spans="1:25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29"/>
      <c r="T89" s="1"/>
      <c r="U89" s="1"/>
      <c r="V89" s="1"/>
      <c r="W89" s="1"/>
      <c r="X89" s="1"/>
      <c r="Y89" s="1"/>
    </row>
    <row r="90" spans="1:25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29"/>
      <c r="T90" s="1"/>
      <c r="U90" s="1"/>
      <c r="V90" s="1"/>
      <c r="W90" s="1"/>
      <c r="X90" s="1"/>
      <c r="Y90" s="1"/>
    </row>
    <row r="91" spans="1:25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9"/>
      <c r="T91" s="1"/>
      <c r="U91" s="1"/>
      <c r="V91" s="1"/>
      <c r="W91" s="1"/>
      <c r="X91" s="1"/>
      <c r="Y91" s="1"/>
    </row>
    <row r="92" spans="1:25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9"/>
      <c r="T92" s="1"/>
      <c r="U92" s="1"/>
      <c r="V92" s="1"/>
      <c r="W92" s="1"/>
      <c r="X92" s="1"/>
      <c r="Y92" s="1"/>
    </row>
    <row r="93" spans="1:25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29"/>
      <c r="T93" s="1"/>
      <c r="U93" s="1"/>
      <c r="V93" s="1"/>
      <c r="W93" s="1"/>
      <c r="X93" s="1"/>
      <c r="Y93" s="1"/>
    </row>
    <row r="94" spans="1:25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29"/>
      <c r="T94" s="1"/>
      <c r="U94" s="1"/>
      <c r="V94" s="1"/>
      <c r="W94" s="1"/>
      <c r="X94" s="1"/>
      <c r="Y94" s="1"/>
    </row>
    <row r="95" spans="1:2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29"/>
      <c r="T95" s="1"/>
      <c r="U95" s="1"/>
      <c r="V95" s="1"/>
      <c r="W95" s="1"/>
      <c r="X95" s="1"/>
      <c r="Y95" s="1"/>
    </row>
    <row r="96" spans="1:25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9"/>
      <c r="T96" s="1"/>
      <c r="U96" s="1"/>
      <c r="V96" s="1"/>
      <c r="W96" s="1"/>
      <c r="X96" s="1"/>
      <c r="Y96" s="1"/>
    </row>
    <row r="97" spans="1:25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29"/>
      <c r="T97" s="1"/>
      <c r="U97" s="1"/>
      <c r="V97" s="1"/>
      <c r="W97" s="1"/>
      <c r="X97" s="1"/>
      <c r="Y97" s="1"/>
    </row>
    <row r="98" spans="1:25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29"/>
      <c r="T98" s="1"/>
      <c r="U98" s="1"/>
      <c r="V98" s="1"/>
      <c r="W98" s="1"/>
      <c r="X98" s="1"/>
      <c r="Y98" s="1"/>
    </row>
    <row r="99" spans="1:25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9"/>
      <c r="T99" s="1"/>
      <c r="U99" s="1"/>
      <c r="V99" s="1"/>
      <c r="W99" s="1"/>
      <c r="X99" s="1"/>
      <c r="Y99" s="1"/>
    </row>
    <row r="100" spans="1:25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9"/>
      <c r="T100" s="1"/>
      <c r="U100" s="1"/>
      <c r="V100" s="1"/>
      <c r="W100" s="1"/>
      <c r="X100" s="1"/>
      <c r="Y100" s="1"/>
    </row>
    <row r="101" spans="1:25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29"/>
      <c r="T101" s="1"/>
      <c r="U101" s="1"/>
      <c r="V101" s="1"/>
      <c r="W101" s="1"/>
      <c r="X101" s="1"/>
      <c r="Y101" s="1"/>
    </row>
    <row r="102" spans="1:25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9"/>
      <c r="T102" s="1"/>
      <c r="U102" s="1"/>
      <c r="V102" s="1"/>
      <c r="W102" s="1"/>
      <c r="X102" s="1"/>
      <c r="Y102" s="1"/>
    </row>
    <row r="103" spans="1:25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29"/>
      <c r="T103" s="1"/>
      <c r="U103" s="1"/>
      <c r="V103" s="1"/>
      <c r="W103" s="1"/>
      <c r="X103" s="1"/>
      <c r="Y103" s="1"/>
    </row>
    <row r="104" spans="1:25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29"/>
      <c r="T104" s="1"/>
      <c r="U104" s="1"/>
      <c r="V104" s="1"/>
      <c r="W104" s="1"/>
      <c r="X104" s="1"/>
      <c r="Y104" s="1"/>
    </row>
    <row r="105" spans="1:2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29"/>
      <c r="T105" s="1"/>
      <c r="U105" s="1"/>
      <c r="V105" s="1"/>
      <c r="W105" s="1"/>
      <c r="X105" s="1"/>
      <c r="Y105" s="1"/>
    </row>
    <row r="106" spans="1:25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29"/>
      <c r="T106" s="1"/>
      <c r="U106" s="1"/>
      <c r="V106" s="1"/>
      <c r="W106" s="1"/>
      <c r="X106" s="1"/>
      <c r="Y106" s="1"/>
    </row>
    <row r="107" spans="1:25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9"/>
      <c r="T107" s="1"/>
      <c r="U107" s="1"/>
      <c r="V107" s="1"/>
      <c r="W107" s="1"/>
      <c r="X107" s="1"/>
      <c r="Y107" s="1"/>
    </row>
    <row r="108" spans="1:25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9"/>
      <c r="T108" s="1"/>
      <c r="U108" s="1"/>
      <c r="V108" s="1"/>
      <c r="W108" s="1"/>
      <c r="X108" s="1"/>
      <c r="Y108" s="1"/>
    </row>
    <row r="109" spans="1:25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9"/>
      <c r="T109" s="1"/>
      <c r="U109" s="1"/>
      <c r="V109" s="1"/>
      <c r="W109" s="1"/>
      <c r="X109" s="1"/>
      <c r="Y109" s="1"/>
    </row>
    <row r="110" spans="1:25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9"/>
      <c r="T110" s="1"/>
      <c r="U110" s="1"/>
      <c r="V110" s="1"/>
      <c r="W110" s="1"/>
      <c r="X110" s="1"/>
      <c r="Y110" s="1"/>
    </row>
    <row r="111" spans="1:25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29"/>
      <c r="T111" s="1"/>
      <c r="U111" s="1"/>
      <c r="V111" s="1"/>
      <c r="W111" s="1"/>
      <c r="X111" s="1"/>
      <c r="Y111" s="1"/>
    </row>
    <row r="112" spans="1:25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9"/>
      <c r="T112" s="1"/>
      <c r="U112" s="1"/>
      <c r="V112" s="1"/>
      <c r="W112" s="1"/>
      <c r="X112" s="1"/>
      <c r="Y112" s="1"/>
    </row>
    <row r="113" spans="1:25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29"/>
      <c r="T113" s="1"/>
      <c r="U113" s="1"/>
      <c r="V113" s="1"/>
      <c r="W113" s="1"/>
      <c r="X113" s="1"/>
      <c r="Y113" s="1"/>
    </row>
    <row r="114" spans="1:25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29"/>
      <c r="T114" s="1"/>
      <c r="U114" s="1"/>
      <c r="V114" s="1"/>
      <c r="W114" s="1"/>
      <c r="X114" s="1"/>
      <c r="Y114" s="1"/>
    </row>
    <row r="115" spans="1:2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9"/>
      <c r="T115" s="1"/>
      <c r="U115" s="1"/>
      <c r="V115" s="1"/>
      <c r="W115" s="1"/>
      <c r="X115" s="1"/>
      <c r="Y115" s="1"/>
    </row>
    <row r="116" spans="1:25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9"/>
      <c r="T116" s="1"/>
      <c r="U116" s="1"/>
      <c r="V116" s="1"/>
      <c r="W116" s="1"/>
      <c r="X116" s="1"/>
      <c r="Y116" s="1"/>
    </row>
    <row r="117" spans="1:25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9"/>
      <c r="T117" s="1"/>
      <c r="U117" s="1"/>
      <c r="V117" s="1"/>
      <c r="W117" s="1"/>
      <c r="X117" s="1"/>
      <c r="Y117" s="1"/>
    </row>
    <row r="118" spans="1:25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9"/>
      <c r="T118" s="1"/>
      <c r="U118" s="1"/>
      <c r="V118" s="1"/>
      <c r="W118" s="1"/>
      <c r="X118" s="1"/>
      <c r="Y118" s="1"/>
    </row>
    <row r="119" spans="1:25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9"/>
      <c r="T119" s="1"/>
      <c r="U119" s="1"/>
      <c r="V119" s="1"/>
      <c r="W119" s="1"/>
      <c r="X119" s="1"/>
      <c r="Y119" s="1"/>
    </row>
    <row r="120" spans="1:25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9"/>
      <c r="T120" s="1"/>
      <c r="U120" s="1"/>
      <c r="V120" s="1"/>
      <c r="W120" s="1"/>
      <c r="X120" s="1"/>
      <c r="Y120" s="1"/>
    </row>
    <row r="121" spans="1:25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29"/>
      <c r="T121" s="1"/>
      <c r="U121" s="1"/>
      <c r="V121" s="1"/>
      <c r="W121" s="1"/>
      <c r="X121" s="1"/>
      <c r="Y121" s="1"/>
    </row>
    <row r="122" spans="1:25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29"/>
      <c r="T122" s="1"/>
      <c r="U122" s="1"/>
      <c r="V122" s="1"/>
      <c r="W122" s="1"/>
      <c r="X122" s="1"/>
      <c r="Y122" s="1"/>
    </row>
    <row r="123" spans="1:25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9"/>
      <c r="T123" s="1"/>
      <c r="U123" s="1"/>
      <c r="V123" s="1"/>
      <c r="W123" s="1"/>
      <c r="X123" s="1"/>
      <c r="Y123" s="1"/>
    </row>
    <row r="124" spans="1:25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9"/>
      <c r="T124" s="1"/>
      <c r="U124" s="1"/>
      <c r="V124" s="1"/>
      <c r="W124" s="1"/>
      <c r="X124" s="1"/>
      <c r="Y124" s="1"/>
    </row>
    <row r="125" spans="1: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9"/>
      <c r="T125" s="1"/>
      <c r="U125" s="1"/>
      <c r="V125" s="1"/>
      <c r="W125" s="1"/>
      <c r="X125" s="1"/>
      <c r="Y125" s="1"/>
    </row>
    <row r="126" spans="1:25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9"/>
      <c r="T126" s="1"/>
      <c r="U126" s="1"/>
      <c r="V126" s="1"/>
      <c r="W126" s="1"/>
      <c r="X126" s="1"/>
      <c r="Y126" s="1"/>
    </row>
    <row r="127" spans="1:25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29"/>
      <c r="T127" s="1"/>
      <c r="U127" s="1"/>
      <c r="V127" s="1"/>
      <c r="W127" s="1"/>
      <c r="X127" s="1"/>
      <c r="Y127" s="1"/>
    </row>
    <row r="128" spans="1:25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9"/>
      <c r="T128" s="1"/>
      <c r="U128" s="1"/>
      <c r="V128" s="1"/>
      <c r="W128" s="1"/>
      <c r="X128" s="1"/>
      <c r="Y128" s="1"/>
    </row>
    <row r="129" spans="1:25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29"/>
      <c r="T129" s="1"/>
      <c r="U129" s="1"/>
      <c r="V129" s="1"/>
      <c r="W129" s="1"/>
      <c r="X129" s="1"/>
      <c r="Y129" s="1"/>
    </row>
    <row r="130" spans="1:25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9"/>
      <c r="T130" s="1"/>
      <c r="U130" s="1"/>
      <c r="V130" s="1"/>
      <c r="W130" s="1"/>
      <c r="X130" s="1"/>
      <c r="Y130" s="1"/>
    </row>
    <row r="131" spans="1:25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9"/>
      <c r="T131" s="1"/>
      <c r="U131" s="1"/>
      <c r="V131" s="1"/>
      <c r="W131" s="1"/>
      <c r="X131" s="1"/>
      <c r="Y131" s="1"/>
    </row>
    <row r="132" spans="1:25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29"/>
      <c r="T132" s="1"/>
      <c r="U132" s="1"/>
      <c r="V132" s="1"/>
      <c r="W132" s="1"/>
      <c r="X132" s="1"/>
      <c r="Y132" s="1"/>
    </row>
    <row r="133" spans="1:25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29"/>
      <c r="T133" s="1"/>
      <c r="U133" s="1"/>
      <c r="V133" s="1"/>
      <c r="W133" s="1"/>
      <c r="X133" s="1"/>
      <c r="Y133" s="1"/>
    </row>
    <row r="134" spans="1:25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9"/>
      <c r="T134" s="1"/>
      <c r="U134" s="1"/>
      <c r="V134" s="1"/>
      <c r="W134" s="1"/>
      <c r="X134" s="1"/>
      <c r="Y134" s="1"/>
    </row>
    <row r="135" spans="1:2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29"/>
      <c r="T135" s="1"/>
      <c r="U135" s="1"/>
      <c r="V135" s="1"/>
      <c r="W135" s="1"/>
      <c r="X135" s="1"/>
      <c r="Y135" s="1"/>
    </row>
    <row r="136" spans="1:25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29"/>
      <c r="T136" s="1"/>
      <c r="U136" s="1"/>
      <c r="V136" s="1"/>
      <c r="W136" s="1"/>
      <c r="X136" s="1"/>
      <c r="Y136" s="1"/>
    </row>
    <row r="137" spans="1:25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9"/>
      <c r="T137" s="1"/>
      <c r="U137" s="1"/>
      <c r="V137" s="1"/>
      <c r="W137" s="1"/>
      <c r="X137" s="1"/>
      <c r="Y137" s="1"/>
    </row>
    <row r="138" spans="1:25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9"/>
      <c r="T138" s="1"/>
      <c r="U138" s="1"/>
      <c r="V138" s="1"/>
      <c r="W138" s="1"/>
      <c r="X138" s="1"/>
      <c r="Y138" s="1"/>
    </row>
    <row r="139" spans="1:25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9"/>
      <c r="T139" s="1"/>
      <c r="U139" s="1"/>
      <c r="V139" s="1"/>
      <c r="W139" s="1"/>
      <c r="X139" s="1"/>
      <c r="Y139" s="1"/>
    </row>
    <row r="140" spans="1:25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9"/>
      <c r="T140" s="1"/>
      <c r="U140" s="1"/>
      <c r="V140" s="1"/>
      <c r="W140" s="1"/>
      <c r="X140" s="1"/>
      <c r="Y140" s="1"/>
    </row>
    <row r="141" spans="1:25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9"/>
      <c r="T141" s="1"/>
      <c r="U141" s="1"/>
      <c r="V141" s="1"/>
      <c r="W141" s="1"/>
      <c r="X141" s="1"/>
      <c r="Y141" s="1"/>
    </row>
    <row r="142" spans="1:25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9"/>
      <c r="T142" s="1"/>
      <c r="U142" s="1"/>
      <c r="V142" s="1"/>
      <c r="W142" s="1"/>
      <c r="X142" s="1"/>
      <c r="Y142" s="1"/>
    </row>
    <row r="143" spans="1:25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9"/>
      <c r="T143" s="1"/>
      <c r="U143" s="1"/>
      <c r="V143" s="1"/>
      <c r="W143" s="1"/>
      <c r="X143" s="1"/>
      <c r="Y143" s="1"/>
    </row>
    <row r="144" spans="1:25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9"/>
      <c r="T144" s="1"/>
      <c r="U144" s="1"/>
      <c r="V144" s="1"/>
      <c r="W144" s="1"/>
      <c r="X144" s="1"/>
      <c r="Y144" s="1"/>
    </row>
    <row r="145" spans="1:2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9"/>
      <c r="T145" s="1"/>
      <c r="U145" s="1"/>
      <c r="V145" s="1"/>
      <c r="W145" s="1"/>
      <c r="X145" s="1"/>
      <c r="Y145" s="1"/>
    </row>
    <row r="146" spans="1:25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9"/>
      <c r="T146" s="1"/>
      <c r="U146" s="1"/>
      <c r="V146" s="1"/>
      <c r="W146" s="1"/>
      <c r="X146" s="1"/>
      <c r="Y146" s="1"/>
    </row>
    <row r="147" spans="1:25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9"/>
      <c r="T147" s="1"/>
      <c r="U147" s="1"/>
      <c r="V147" s="1"/>
      <c r="W147" s="1"/>
      <c r="X147" s="1"/>
      <c r="Y147" s="1"/>
    </row>
    <row r="148" spans="1:25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9"/>
      <c r="T148" s="1"/>
      <c r="U148" s="1"/>
      <c r="V148" s="1"/>
      <c r="W148" s="1"/>
      <c r="X148" s="1"/>
      <c r="Y148" s="1"/>
    </row>
    <row r="149" spans="1:25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9"/>
      <c r="T149" s="1"/>
      <c r="U149" s="1"/>
      <c r="V149" s="1"/>
      <c r="W149" s="1"/>
      <c r="X149" s="1"/>
      <c r="Y149" s="1"/>
    </row>
    <row r="150" spans="1:25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9"/>
      <c r="T150" s="1"/>
      <c r="U150" s="1"/>
      <c r="V150" s="1"/>
      <c r="W150" s="1"/>
      <c r="X150" s="1"/>
      <c r="Y150" s="1"/>
    </row>
    <row r="151" spans="1:25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9"/>
      <c r="T151" s="1"/>
      <c r="U151" s="1"/>
      <c r="V151" s="1"/>
      <c r="W151" s="1"/>
      <c r="X151" s="1"/>
      <c r="Y151" s="1"/>
    </row>
    <row r="152" spans="1:25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9"/>
      <c r="T152" s="1"/>
      <c r="U152" s="1"/>
      <c r="V152" s="1"/>
      <c r="W152" s="1"/>
      <c r="X152" s="1"/>
      <c r="Y152" s="1"/>
    </row>
    <row r="153" spans="1:25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9"/>
      <c r="T153" s="1"/>
      <c r="U153" s="1"/>
      <c r="V153" s="1"/>
      <c r="W153" s="1"/>
      <c r="X153" s="1"/>
      <c r="Y153" s="1"/>
    </row>
    <row r="154" spans="1:25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9"/>
      <c r="T154" s="1"/>
      <c r="U154" s="1"/>
      <c r="V154" s="1"/>
      <c r="W154" s="1"/>
      <c r="X154" s="1"/>
      <c r="Y154" s="1"/>
    </row>
    <row r="155" spans="1:2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9"/>
      <c r="T155" s="1"/>
      <c r="U155" s="1"/>
      <c r="V155" s="1"/>
      <c r="W155" s="1"/>
      <c r="X155" s="1"/>
      <c r="Y155" s="1"/>
    </row>
    <row r="156" spans="1:25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9"/>
      <c r="T156" s="1"/>
      <c r="U156" s="1"/>
      <c r="V156" s="1"/>
      <c r="W156" s="1"/>
      <c r="X156" s="1"/>
      <c r="Y156" s="1"/>
    </row>
    <row r="157" spans="1:25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9"/>
      <c r="T157" s="1"/>
      <c r="U157" s="1"/>
      <c r="V157" s="1"/>
      <c r="W157" s="1"/>
      <c r="X157" s="1"/>
      <c r="Y157" s="1"/>
    </row>
    <row r="158" spans="1:25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9"/>
      <c r="T158" s="1"/>
      <c r="U158" s="1"/>
      <c r="V158" s="1"/>
      <c r="W158" s="1"/>
      <c r="X158" s="1"/>
      <c r="Y158" s="1"/>
    </row>
    <row r="159" spans="1:25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9"/>
      <c r="T159" s="1"/>
      <c r="U159" s="1"/>
      <c r="V159" s="1"/>
      <c r="W159" s="1"/>
      <c r="X159" s="1"/>
      <c r="Y159" s="1"/>
    </row>
    <row r="160" spans="1:25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9"/>
      <c r="T160" s="1"/>
      <c r="U160" s="1"/>
      <c r="V160" s="1"/>
      <c r="W160" s="1"/>
      <c r="X160" s="1"/>
      <c r="Y160" s="1"/>
    </row>
    <row r="161" spans="1:25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9"/>
      <c r="T161" s="1"/>
      <c r="U161" s="1"/>
      <c r="V161" s="1"/>
      <c r="W161" s="1"/>
      <c r="X161" s="1"/>
      <c r="Y161" s="1"/>
    </row>
    <row r="162" spans="1:25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9"/>
      <c r="T162" s="1"/>
      <c r="U162" s="1"/>
      <c r="V162" s="1"/>
      <c r="W162" s="1"/>
      <c r="X162" s="1"/>
      <c r="Y162" s="1"/>
    </row>
    <row r="163" spans="1:25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9"/>
      <c r="T163" s="1"/>
      <c r="U163" s="1"/>
      <c r="V163" s="1"/>
      <c r="W163" s="1"/>
      <c r="X163" s="1"/>
      <c r="Y163" s="1"/>
    </row>
    <row r="164" spans="1:25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9"/>
      <c r="T164" s="1"/>
      <c r="U164" s="1"/>
      <c r="V164" s="1"/>
      <c r="W164" s="1"/>
      <c r="X164" s="1"/>
      <c r="Y164" s="1"/>
    </row>
    <row r="165" spans="1:2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9"/>
      <c r="T165" s="1"/>
      <c r="U165" s="1"/>
      <c r="V165" s="1"/>
      <c r="W165" s="1"/>
      <c r="X165" s="1"/>
      <c r="Y165" s="1"/>
    </row>
    <row r="166" spans="1:25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9"/>
      <c r="T166" s="1"/>
      <c r="U166" s="1"/>
      <c r="V166" s="1"/>
      <c r="W166" s="1"/>
      <c r="X166" s="1"/>
      <c r="Y166" s="1"/>
    </row>
    <row r="167" spans="1:25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9"/>
      <c r="T167" s="1"/>
      <c r="U167" s="1"/>
      <c r="V167" s="1"/>
      <c r="W167" s="1"/>
      <c r="X167" s="1"/>
      <c r="Y167" s="1"/>
    </row>
    <row r="168" spans="1:25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9"/>
      <c r="T168" s="1"/>
      <c r="U168" s="1"/>
      <c r="V168" s="1"/>
      <c r="W168" s="1"/>
      <c r="X168" s="1"/>
      <c r="Y168" s="1"/>
    </row>
    <row r="169" spans="1:25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9"/>
      <c r="T169" s="1"/>
      <c r="U169" s="1"/>
      <c r="V169" s="1"/>
      <c r="W169" s="1"/>
      <c r="X169" s="1"/>
      <c r="Y169" s="1"/>
    </row>
    <row r="170" spans="1:25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9"/>
      <c r="T170" s="1"/>
      <c r="U170" s="1"/>
      <c r="V170" s="1"/>
      <c r="W170" s="1"/>
      <c r="X170" s="1"/>
      <c r="Y170" s="1"/>
    </row>
    <row r="171" spans="1:25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9"/>
      <c r="T171" s="1"/>
      <c r="U171" s="1"/>
      <c r="V171" s="1"/>
      <c r="W171" s="1"/>
      <c r="X171" s="1"/>
      <c r="Y171" s="1"/>
    </row>
    <row r="172" spans="1:25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9"/>
      <c r="T172" s="1"/>
      <c r="U172" s="1"/>
      <c r="V172" s="1"/>
      <c r="W172" s="1"/>
      <c r="X172" s="1"/>
      <c r="Y172" s="1"/>
    </row>
    <row r="173" spans="1:25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9"/>
      <c r="T173" s="1"/>
      <c r="U173" s="1"/>
      <c r="V173" s="1"/>
      <c r="W173" s="1"/>
      <c r="X173" s="1"/>
      <c r="Y173" s="1"/>
    </row>
    <row r="174" spans="1:25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9"/>
      <c r="T174" s="1"/>
      <c r="U174" s="1"/>
      <c r="V174" s="1"/>
      <c r="W174" s="1"/>
      <c r="X174" s="1"/>
      <c r="Y174" s="1"/>
    </row>
    <row r="175" spans="1:2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9"/>
      <c r="T175" s="1"/>
      <c r="U175" s="1"/>
      <c r="V175" s="1"/>
      <c r="W175" s="1"/>
      <c r="X175" s="1"/>
      <c r="Y175" s="1"/>
    </row>
    <row r="176" spans="1:25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9"/>
      <c r="T176" s="1"/>
      <c r="U176" s="1"/>
      <c r="V176" s="1"/>
      <c r="W176" s="1"/>
      <c r="X176" s="1"/>
      <c r="Y176" s="1"/>
    </row>
    <row r="177" spans="1:25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9"/>
      <c r="T177" s="1"/>
      <c r="U177" s="1"/>
      <c r="V177" s="1"/>
      <c r="W177" s="1"/>
      <c r="X177" s="1"/>
      <c r="Y177" s="1"/>
    </row>
    <row r="178" spans="1:25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9"/>
      <c r="T178" s="1"/>
      <c r="U178" s="1"/>
      <c r="V178" s="1"/>
      <c r="W178" s="1"/>
      <c r="X178" s="1"/>
      <c r="Y178" s="1"/>
    </row>
    <row r="179" spans="1:25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9"/>
      <c r="T179" s="1"/>
      <c r="U179" s="1"/>
      <c r="V179" s="1"/>
      <c r="W179" s="1"/>
      <c r="X179" s="1"/>
      <c r="Y179" s="1"/>
    </row>
    <row r="180" spans="1:25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9"/>
      <c r="T180" s="1"/>
      <c r="U180" s="1"/>
      <c r="V180" s="1"/>
      <c r="W180" s="1"/>
      <c r="X180" s="1"/>
      <c r="Y180" s="1"/>
    </row>
    <row r="181" spans="1:25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9"/>
      <c r="T181" s="1"/>
      <c r="U181" s="1"/>
      <c r="V181" s="1"/>
      <c r="W181" s="1"/>
      <c r="X181" s="1"/>
      <c r="Y181" s="1"/>
    </row>
    <row r="182" spans="1:25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9"/>
      <c r="T182" s="1"/>
      <c r="U182" s="1"/>
      <c r="V182" s="1"/>
      <c r="W182" s="1"/>
      <c r="X182" s="1"/>
      <c r="Y182" s="1"/>
    </row>
    <row r="183" spans="1:25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9"/>
      <c r="T183" s="1"/>
      <c r="U183" s="1"/>
      <c r="V183" s="1"/>
      <c r="W183" s="1"/>
      <c r="X183" s="1"/>
      <c r="Y183" s="1"/>
    </row>
    <row r="184" spans="1:25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9"/>
      <c r="T184" s="1"/>
      <c r="U184" s="1"/>
      <c r="V184" s="1"/>
      <c r="W184" s="1"/>
      <c r="X184" s="1"/>
      <c r="Y184" s="1"/>
    </row>
    <row r="185" spans="1:2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9"/>
      <c r="T185" s="1"/>
      <c r="U185" s="1"/>
      <c r="V185" s="1"/>
      <c r="W185" s="1"/>
      <c r="X185" s="1"/>
      <c r="Y185" s="1"/>
    </row>
    <row r="186" spans="1:25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9"/>
      <c r="T186" s="1"/>
      <c r="U186" s="1"/>
      <c r="V186" s="1"/>
      <c r="W186" s="1"/>
      <c r="X186" s="1"/>
      <c r="Y186" s="1"/>
    </row>
    <row r="187" spans="1:25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9"/>
      <c r="T187" s="1"/>
      <c r="U187" s="1"/>
      <c r="V187" s="1"/>
      <c r="W187" s="1"/>
      <c r="X187" s="1"/>
      <c r="Y187" s="1"/>
    </row>
    <row r="188" spans="1:25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9"/>
      <c r="T188" s="1"/>
      <c r="U188" s="1"/>
      <c r="V188" s="1"/>
      <c r="W188" s="1"/>
      <c r="X188" s="1"/>
      <c r="Y188" s="1"/>
    </row>
    <row r="189" spans="1:25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9"/>
      <c r="T189" s="1"/>
      <c r="U189" s="1"/>
      <c r="V189" s="1"/>
      <c r="W189" s="1"/>
      <c r="X189" s="1"/>
      <c r="Y189" s="1"/>
    </row>
    <row r="190" spans="1:25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9"/>
      <c r="T190" s="1"/>
      <c r="U190" s="1"/>
      <c r="V190" s="1"/>
      <c r="W190" s="1"/>
      <c r="X190" s="1"/>
      <c r="Y190" s="1"/>
    </row>
    <row r="191" spans="1:25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9"/>
      <c r="T191" s="1"/>
      <c r="U191" s="1"/>
      <c r="V191" s="1"/>
      <c r="W191" s="1"/>
      <c r="X191" s="1"/>
      <c r="Y191" s="1"/>
    </row>
    <row r="192" spans="1:25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9"/>
      <c r="T192" s="1"/>
      <c r="U192" s="1"/>
      <c r="V192" s="1"/>
      <c r="W192" s="1"/>
      <c r="X192" s="1"/>
      <c r="Y192" s="1"/>
    </row>
    <row r="193" spans="1:25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9"/>
      <c r="T193" s="1"/>
      <c r="U193" s="1"/>
      <c r="V193" s="1"/>
      <c r="W193" s="1"/>
      <c r="X193" s="1"/>
      <c r="Y193" s="1"/>
    </row>
    <row r="194" spans="1:25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9"/>
      <c r="T194" s="1"/>
      <c r="U194" s="1"/>
      <c r="V194" s="1"/>
      <c r="W194" s="1"/>
      <c r="X194" s="1"/>
      <c r="Y194" s="1"/>
    </row>
    <row r="195" spans="1:2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9"/>
      <c r="T195" s="1"/>
      <c r="U195" s="1"/>
      <c r="V195" s="1"/>
      <c r="W195" s="1"/>
      <c r="X195" s="1"/>
      <c r="Y195" s="1"/>
    </row>
    <row r="196" spans="1:25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9"/>
      <c r="T196" s="1"/>
      <c r="U196" s="1"/>
      <c r="V196" s="1"/>
      <c r="W196" s="1"/>
      <c r="X196" s="1"/>
      <c r="Y196" s="1"/>
    </row>
    <row r="197" spans="1:25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9"/>
      <c r="T197" s="1"/>
      <c r="U197" s="1"/>
      <c r="V197" s="1"/>
      <c r="W197" s="1"/>
      <c r="X197" s="1"/>
      <c r="Y197" s="1"/>
    </row>
    <row r="198" spans="1:25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9"/>
      <c r="T198" s="1"/>
      <c r="U198" s="1"/>
      <c r="V198" s="1"/>
      <c r="W198" s="1"/>
      <c r="X198" s="1"/>
      <c r="Y198" s="1"/>
    </row>
    <row r="199" spans="1:25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9"/>
      <c r="T199" s="1"/>
      <c r="U199" s="1"/>
      <c r="V199" s="1"/>
      <c r="W199" s="1"/>
      <c r="X199" s="1"/>
      <c r="Y199" s="1"/>
    </row>
    <row r="200" spans="1:25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9"/>
      <c r="T200" s="1"/>
      <c r="U200" s="1"/>
      <c r="V200" s="1"/>
      <c r="W200" s="1"/>
      <c r="X200" s="1"/>
      <c r="Y200" s="1"/>
    </row>
    <row r="201" spans="1:25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9"/>
      <c r="T201" s="1"/>
      <c r="U201" s="1"/>
      <c r="V201" s="1"/>
      <c r="W201" s="1"/>
      <c r="X201" s="1"/>
      <c r="Y201" s="1"/>
    </row>
    <row r="202" spans="1:25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9"/>
      <c r="T202" s="1"/>
      <c r="U202" s="1"/>
      <c r="V202" s="1"/>
      <c r="W202" s="1"/>
      <c r="X202" s="1"/>
      <c r="Y202" s="1"/>
    </row>
    <row r="203" spans="1:25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9"/>
      <c r="T203" s="1"/>
      <c r="U203" s="1"/>
      <c r="V203" s="1"/>
      <c r="W203" s="1"/>
      <c r="X203" s="1"/>
      <c r="Y203" s="1"/>
    </row>
    <row r="204" spans="1:25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9"/>
      <c r="T204" s="1"/>
      <c r="U204" s="1"/>
      <c r="V204" s="1"/>
      <c r="W204" s="1"/>
      <c r="X204" s="1"/>
      <c r="Y204" s="1"/>
    </row>
    <row r="205" spans="1:2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9"/>
      <c r="T205" s="1"/>
      <c r="U205" s="1"/>
      <c r="V205" s="1"/>
      <c r="W205" s="1"/>
      <c r="X205" s="1"/>
      <c r="Y205" s="1"/>
    </row>
    <row r="206" spans="1:25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9"/>
      <c r="T206" s="1"/>
      <c r="U206" s="1"/>
      <c r="V206" s="1"/>
      <c r="W206" s="1"/>
      <c r="X206" s="1"/>
      <c r="Y206" s="1"/>
    </row>
    <row r="207" spans="1:25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9"/>
      <c r="T207" s="1"/>
      <c r="U207" s="1"/>
      <c r="V207" s="1"/>
      <c r="W207" s="1"/>
      <c r="X207" s="1"/>
      <c r="Y207" s="1"/>
    </row>
    <row r="208" spans="1:25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9"/>
      <c r="T208" s="1"/>
      <c r="U208" s="1"/>
      <c r="V208" s="1"/>
      <c r="W208" s="1"/>
      <c r="X208" s="1"/>
      <c r="Y208" s="1"/>
    </row>
    <row r="209" spans="1:25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9"/>
      <c r="T209" s="1"/>
      <c r="U209" s="1"/>
      <c r="V209" s="1"/>
      <c r="W209" s="1"/>
      <c r="X209" s="1"/>
      <c r="Y209" s="1"/>
    </row>
    <row r="210" spans="1:25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9"/>
      <c r="T210" s="1"/>
      <c r="U210" s="1"/>
      <c r="V210" s="1"/>
      <c r="W210" s="1"/>
      <c r="X210" s="1"/>
      <c r="Y210" s="1"/>
    </row>
    <row r="211" spans="1:25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9"/>
      <c r="T211" s="1"/>
      <c r="U211" s="1"/>
      <c r="V211" s="1"/>
      <c r="W211" s="1"/>
      <c r="X211" s="1"/>
      <c r="Y211" s="1"/>
    </row>
    <row r="212" spans="1:25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9"/>
      <c r="T212" s="1"/>
      <c r="U212" s="1"/>
      <c r="V212" s="1"/>
      <c r="W212" s="1"/>
      <c r="X212" s="1"/>
      <c r="Y212" s="1"/>
    </row>
    <row r="213" spans="1:25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9"/>
      <c r="T213" s="1"/>
      <c r="U213" s="1"/>
      <c r="V213" s="1"/>
      <c r="W213" s="1"/>
      <c r="X213" s="1"/>
      <c r="Y213" s="1"/>
    </row>
    <row r="214" spans="1:25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9"/>
      <c r="T214" s="1"/>
      <c r="U214" s="1"/>
      <c r="V214" s="1"/>
      <c r="W214" s="1"/>
      <c r="X214" s="1"/>
      <c r="Y214" s="1"/>
    </row>
    <row r="215" spans="1:2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9"/>
      <c r="T215" s="1"/>
      <c r="U215" s="1"/>
      <c r="V215" s="1"/>
      <c r="W215" s="1"/>
      <c r="X215" s="1"/>
      <c r="Y215" s="1"/>
    </row>
    <row r="216" spans="1:25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9"/>
      <c r="T216" s="1"/>
      <c r="U216" s="1"/>
      <c r="V216" s="1"/>
      <c r="W216" s="1"/>
      <c r="X216" s="1"/>
      <c r="Y216" s="1"/>
    </row>
    <row r="217" spans="1:25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9"/>
      <c r="T217" s="1"/>
      <c r="U217" s="1"/>
      <c r="V217" s="1"/>
      <c r="W217" s="1"/>
      <c r="X217" s="1"/>
      <c r="Y217" s="1"/>
    </row>
    <row r="218" spans="1:25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9"/>
      <c r="T218" s="1"/>
      <c r="U218" s="1"/>
      <c r="V218" s="1"/>
      <c r="W218" s="1"/>
      <c r="X218" s="1"/>
      <c r="Y218" s="1"/>
    </row>
    <row r="219" spans="1:25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9"/>
      <c r="T219" s="1"/>
      <c r="U219" s="1"/>
      <c r="V219" s="1"/>
      <c r="W219" s="1"/>
      <c r="X219" s="1"/>
      <c r="Y219" s="1"/>
    </row>
    <row r="220" spans="1:25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9"/>
      <c r="T220" s="1"/>
      <c r="U220" s="1"/>
      <c r="V220" s="1"/>
      <c r="W220" s="1"/>
      <c r="X220" s="1"/>
      <c r="Y220" s="1"/>
    </row>
    <row r="221" spans="1:25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9"/>
      <c r="T221" s="1"/>
      <c r="U221" s="1"/>
      <c r="V221" s="1"/>
      <c r="W221" s="1"/>
      <c r="X221" s="1"/>
      <c r="Y221" s="1"/>
    </row>
    <row r="222" spans="1:25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9"/>
      <c r="T222" s="1"/>
      <c r="U222" s="1"/>
      <c r="V222" s="1"/>
      <c r="W222" s="1"/>
      <c r="X222" s="1"/>
      <c r="Y222" s="1"/>
    </row>
    <row r="223" spans="1:25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9"/>
      <c r="T223" s="1"/>
      <c r="U223" s="1"/>
      <c r="V223" s="1"/>
      <c r="W223" s="1"/>
      <c r="X223" s="1"/>
      <c r="Y223" s="1"/>
    </row>
    <row r="224" spans="1:25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9"/>
      <c r="T224" s="1"/>
      <c r="U224" s="1"/>
      <c r="V224" s="1"/>
      <c r="W224" s="1"/>
      <c r="X224" s="1"/>
      <c r="Y224" s="1"/>
    </row>
    <row r="225" spans="1: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9"/>
      <c r="T225" s="1"/>
      <c r="U225" s="1"/>
      <c r="V225" s="1"/>
      <c r="W225" s="1"/>
      <c r="X225" s="1"/>
      <c r="Y225" s="1"/>
    </row>
    <row r="226" spans="1:25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9"/>
      <c r="T226" s="1"/>
      <c r="U226" s="1"/>
      <c r="V226" s="1"/>
      <c r="W226" s="1"/>
      <c r="X226" s="1"/>
      <c r="Y226" s="1"/>
    </row>
    <row r="227" spans="1:25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9"/>
      <c r="T227" s="1"/>
      <c r="U227" s="1"/>
      <c r="V227" s="1"/>
      <c r="W227" s="1"/>
      <c r="X227" s="1"/>
      <c r="Y227" s="1"/>
    </row>
    <row r="228" spans="1:25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9"/>
      <c r="T228" s="1"/>
      <c r="U228" s="1"/>
      <c r="V228" s="1"/>
      <c r="W228" s="1"/>
      <c r="X228" s="1"/>
      <c r="Y228" s="1"/>
    </row>
    <row r="229" spans="1:25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9"/>
      <c r="T229" s="1"/>
      <c r="U229" s="1"/>
      <c r="V229" s="1"/>
      <c r="W229" s="1"/>
      <c r="X229" s="1"/>
      <c r="Y229" s="1"/>
    </row>
    <row r="230" spans="1:25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9"/>
      <c r="T230" s="1"/>
      <c r="U230" s="1"/>
      <c r="V230" s="1"/>
      <c r="W230" s="1"/>
      <c r="X230" s="1"/>
      <c r="Y230" s="1"/>
    </row>
    <row r="231" spans="1:25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9"/>
      <c r="T231" s="1"/>
      <c r="U231" s="1"/>
      <c r="V231" s="1"/>
      <c r="W231" s="1"/>
      <c r="X231" s="1"/>
      <c r="Y231" s="1"/>
    </row>
    <row r="232" spans="1:25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9"/>
      <c r="T232" s="1"/>
      <c r="U232" s="1"/>
      <c r="V232" s="1"/>
      <c r="W232" s="1"/>
      <c r="X232" s="1"/>
      <c r="Y232" s="1"/>
    </row>
    <row r="233" spans="1:25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9"/>
      <c r="T233" s="1"/>
      <c r="U233" s="1"/>
      <c r="V233" s="1"/>
      <c r="W233" s="1"/>
      <c r="X233" s="1"/>
      <c r="Y233" s="1"/>
    </row>
    <row r="234" spans="1:25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9"/>
      <c r="T234" s="1"/>
      <c r="U234" s="1"/>
      <c r="V234" s="1"/>
      <c r="W234" s="1"/>
      <c r="X234" s="1"/>
      <c r="Y234" s="1"/>
    </row>
    <row r="235" spans="1:2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9"/>
      <c r="T235" s="1"/>
      <c r="U235" s="1"/>
      <c r="V235" s="1"/>
      <c r="W235" s="1"/>
      <c r="X235" s="1"/>
      <c r="Y235" s="1"/>
    </row>
    <row r="236" spans="1:25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9"/>
      <c r="T236" s="1"/>
      <c r="U236" s="1"/>
      <c r="V236" s="1"/>
      <c r="W236" s="1"/>
      <c r="X236" s="1"/>
      <c r="Y236" s="1"/>
    </row>
    <row r="237" spans="1:25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9"/>
      <c r="T237" s="1"/>
      <c r="U237" s="1"/>
      <c r="V237" s="1"/>
      <c r="W237" s="1"/>
      <c r="X237" s="1"/>
      <c r="Y237" s="1"/>
    </row>
    <row r="238" spans="1:25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9"/>
      <c r="T238" s="1"/>
      <c r="U238" s="1"/>
      <c r="V238" s="1"/>
      <c r="W238" s="1"/>
      <c r="X238" s="1"/>
      <c r="Y238" s="1"/>
    </row>
    <row r="239" spans="1:25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9"/>
      <c r="T239" s="1"/>
      <c r="U239" s="1"/>
      <c r="V239" s="1"/>
      <c r="W239" s="1"/>
      <c r="X239" s="1"/>
      <c r="Y239" s="1"/>
    </row>
    <row r="240" spans="1:25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9"/>
      <c r="T240" s="1"/>
      <c r="U240" s="1"/>
      <c r="V240" s="1"/>
      <c r="W240" s="1"/>
      <c r="X240" s="1"/>
      <c r="Y240" s="1"/>
    </row>
    <row r="241" spans="1:25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9"/>
      <c r="T241" s="1"/>
      <c r="U241" s="1"/>
      <c r="V241" s="1"/>
      <c r="W241" s="1"/>
      <c r="X241" s="1"/>
      <c r="Y241" s="1"/>
    </row>
    <row r="242" spans="1:25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9"/>
      <c r="T242" s="1"/>
      <c r="U242" s="1"/>
      <c r="V242" s="1"/>
      <c r="W242" s="1"/>
      <c r="X242" s="1"/>
      <c r="Y242" s="1"/>
    </row>
    <row r="243" spans="1:25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9"/>
      <c r="T243" s="1"/>
      <c r="U243" s="1"/>
      <c r="V243" s="1"/>
      <c r="W243" s="1"/>
      <c r="X243" s="1"/>
      <c r="Y243" s="1"/>
    </row>
    <row r="244" spans="1:25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9"/>
      <c r="T244" s="1"/>
      <c r="U244" s="1"/>
      <c r="V244" s="1"/>
      <c r="W244" s="1"/>
      <c r="X244" s="1"/>
      <c r="Y244" s="1"/>
    </row>
    <row r="245" spans="1:2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9"/>
      <c r="T245" s="1"/>
      <c r="U245" s="1"/>
      <c r="V245" s="1"/>
      <c r="W245" s="1"/>
      <c r="X245" s="1"/>
      <c r="Y245" s="1"/>
    </row>
    <row r="246" spans="1:25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9"/>
      <c r="T246" s="1"/>
      <c r="U246" s="1"/>
      <c r="V246" s="1"/>
      <c r="W246" s="1"/>
      <c r="X246" s="1"/>
      <c r="Y246" s="1"/>
    </row>
    <row r="247" spans="1:25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9"/>
      <c r="T247" s="1"/>
      <c r="U247" s="1"/>
      <c r="V247" s="1"/>
      <c r="W247" s="1"/>
      <c r="X247" s="1"/>
      <c r="Y247" s="1"/>
    </row>
    <row r="248" spans="1:25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9"/>
      <c r="T248" s="1"/>
      <c r="U248" s="1"/>
      <c r="V248" s="1"/>
      <c r="W248" s="1"/>
      <c r="X248" s="1"/>
      <c r="Y248" s="1"/>
    </row>
    <row r="249" spans="1:25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9"/>
      <c r="T249" s="1"/>
      <c r="U249" s="1"/>
      <c r="V249" s="1"/>
      <c r="W249" s="1"/>
      <c r="X249" s="1"/>
      <c r="Y249" s="1"/>
    </row>
    <row r="250" spans="1:25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9"/>
      <c r="T250" s="1"/>
      <c r="U250" s="1"/>
      <c r="V250" s="1"/>
      <c r="W250" s="1"/>
      <c r="X250" s="1"/>
      <c r="Y250" s="1"/>
    </row>
    <row r="251" spans="1:25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9"/>
      <c r="T251" s="1"/>
      <c r="U251" s="1"/>
      <c r="V251" s="1"/>
      <c r="W251" s="1"/>
      <c r="X251" s="1"/>
      <c r="Y251" s="1"/>
    </row>
    <row r="252" spans="1:25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9"/>
      <c r="T252" s="1"/>
      <c r="U252" s="1"/>
      <c r="V252" s="1"/>
      <c r="W252" s="1"/>
      <c r="X252" s="1"/>
      <c r="Y252" s="1"/>
    </row>
    <row r="253" spans="1:25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9"/>
      <c r="T253" s="1"/>
      <c r="U253" s="1"/>
      <c r="V253" s="1"/>
      <c r="W253" s="1"/>
      <c r="X253" s="1"/>
      <c r="Y253" s="1"/>
    </row>
    <row r="254" spans="1:25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9"/>
      <c r="T254" s="1"/>
      <c r="U254" s="1"/>
      <c r="V254" s="1"/>
      <c r="W254" s="1"/>
      <c r="X254" s="1"/>
      <c r="Y254" s="1"/>
    </row>
    <row r="255" spans="1:2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9"/>
      <c r="T255" s="1"/>
      <c r="U255" s="1"/>
      <c r="V255" s="1"/>
      <c r="W255" s="1"/>
      <c r="X255" s="1"/>
      <c r="Y255" s="1"/>
    </row>
    <row r="256" spans="1:25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9"/>
      <c r="T256" s="1"/>
      <c r="U256" s="1"/>
      <c r="V256" s="1"/>
      <c r="W256" s="1"/>
      <c r="X256" s="1"/>
      <c r="Y256" s="1"/>
    </row>
    <row r="257" spans="1:25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9"/>
      <c r="T257" s="1"/>
      <c r="U257" s="1"/>
      <c r="V257" s="1"/>
      <c r="W257" s="1"/>
      <c r="X257" s="1"/>
      <c r="Y257" s="1"/>
    </row>
    <row r="258" spans="1:25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9"/>
      <c r="T258" s="1"/>
      <c r="U258" s="1"/>
      <c r="V258" s="1"/>
      <c r="W258" s="1"/>
      <c r="X258" s="1"/>
      <c r="Y258" s="1"/>
    </row>
    <row r="259" spans="1:25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9"/>
      <c r="T259" s="1"/>
      <c r="U259" s="1"/>
      <c r="V259" s="1"/>
      <c r="W259" s="1"/>
      <c r="X259" s="1"/>
      <c r="Y259" s="1"/>
    </row>
    <row r="260" spans="1:25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9"/>
      <c r="T260" s="1"/>
      <c r="U260" s="1"/>
      <c r="V260" s="1"/>
      <c r="W260" s="1"/>
      <c r="X260" s="1"/>
      <c r="Y260" s="1"/>
    </row>
    <row r="261" spans="1:25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9"/>
      <c r="T261" s="1"/>
      <c r="U261" s="1"/>
      <c r="V261" s="1"/>
      <c r="W261" s="1"/>
      <c r="X261" s="1"/>
      <c r="Y261" s="1"/>
    </row>
    <row r="262" spans="1:25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9"/>
      <c r="T262" s="1"/>
      <c r="U262" s="1"/>
      <c r="V262" s="1"/>
      <c r="W262" s="1"/>
      <c r="X262" s="1"/>
      <c r="Y262" s="1"/>
    </row>
    <row r="263" spans="1:25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9"/>
      <c r="T263" s="1"/>
      <c r="U263" s="1"/>
      <c r="V263" s="1"/>
      <c r="W263" s="1"/>
      <c r="X263" s="1"/>
      <c r="Y263" s="1"/>
    </row>
    <row r="264" spans="1:25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9"/>
      <c r="T264" s="1"/>
      <c r="U264" s="1"/>
      <c r="V264" s="1"/>
      <c r="W264" s="1"/>
      <c r="X264" s="1"/>
      <c r="Y264" s="1"/>
    </row>
    <row r="265" spans="1:2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9"/>
      <c r="T265" s="1"/>
      <c r="U265" s="1"/>
      <c r="V265" s="1"/>
      <c r="W265" s="1"/>
      <c r="X265" s="1"/>
      <c r="Y265" s="1"/>
    </row>
    <row r="266" spans="1:25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9"/>
      <c r="T266" s="1"/>
      <c r="U266" s="1"/>
      <c r="V266" s="1"/>
      <c r="W266" s="1"/>
      <c r="X266" s="1"/>
      <c r="Y266" s="1"/>
    </row>
    <row r="267" spans="1:25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9"/>
      <c r="T267" s="1"/>
      <c r="U267" s="1"/>
      <c r="V267" s="1"/>
      <c r="W267" s="1"/>
      <c r="X267" s="1"/>
      <c r="Y267" s="1"/>
    </row>
    <row r="268" spans="1:25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9"/>
      <c r="T268" s="1"/>
      <c r="U268" s="1"/>
      <c r="V268" s="1"/>
      <c r="W268" s="1"/>
      <c r="X268" s="1"/>
      <c r="Y268" s="1"/>
    </row>
    <row r="269" spans="1:25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9"/>
      <c r="T269" s="1"/>
      <c r="U269" s="1"/>
      <c r="V269" s="1"/>
      <c r="W269" s="1"/>
      <c r="X269" s="1"/>
      <c r="Y269" s="1"/>
    </row>
    <row r="270" spans="1:25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9"/>
      <c r="T270" s="1"/>
      <c r="U270" s="1"/>
      <c r="V270" s="1"/>
      <c r="W270" s="1"/>
      <c r="X270" s="1"/>
      <c r="Y270" s="1"/>
    </row>
    <row r="271" spans="1:25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9"/>
      <c r="T271" s="1"/>
      <c r="U271" s="1"/>
      <c r="V271" s="1"/>
      <c r="W271" s="1"/>
      <c r="X271" s="1"/>
      <c r="Y271" s="1"/>
    </row>
    <row r="272" spans="1:25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9"/>
      <c r="T272" s="1"/>
      <c r="U272" s="1"/>
      <c r="V272" s="1"/>
      <c r="W272" s="1"/>
      <c r="X272" s="1"/>
      <c r="Y272" s="1"/>
    </row>
    <row r="273" spans="1:25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9"/>
      <c r="T273" s="1"/>
      <c r="U273" s="1"/>
      <c r="V273" s="1"/>
      <c r="W273" s="1"/>
      <c r="X273" s="1"/>
      <c r="Y273" s="1"/>
    </row>
    <row r="274" spans="1:25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9"/>
      <c r="T274" s="1"/>
      <c r="U274" s="1"/>
      <c r="V274" s="1"/>
      <c r="W274" s="1"/>
      <c r="X274" s="1"/>
      <c r="Y274" s="1"/>
    </row>
    <row r="275" spans="1:2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9"/>
      <c r="T275" s="1"/>
      <c r="U275" s="1"/>
      <c r="V275" s="1"/>
      <c r="W275" s="1"/>
      <c r="X275" s="1"/>
      <c r="Y275" s="1"/>
    </row>
    <row r="276" spans="1:25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9"/>
      <c r="T276" s="1"/>
      <c r="U276" s="1"/>
      <c r="V276" s="1"/>
      <c r="W276" s="1"/>
      <c r="X276" s="1"/>
      <c r="Y276" s="1"/>
    </row>
    <row r="277" spans="1:25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9"/>
      <c r="T277" s="1"/>
      <c r="U277" s="1"/>
      <c r="V277" s="1"/>
      <c r="W277" s="1"/>
      <c r="X277" s="1"/>
      <c r="Y277" s="1"/>
    </row>
    <row r="278" spans="1:25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9"/>
      <c r="T278" s="1"/>
      <c r="U278" s="1"/>
      <c r="V278" s="1"/>
      <c r="W278" s="1"/>
      <c r="X278" s="1"/>
      <c r="Y278" s="1"/>
    </row>
    <row r="279" spans="1:25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9"/>
      <c r="T279" s="1"/>
      <c r="U279" s="1"/>
      <c r="V279" s="1"/>
      <c r="W279" s="1"/>
      <c r="X279" s="1"/>
      <c r="Y279" s="1"/>
    </row>
    <row r="280" spans="1:25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9"/>
      <c r="T280" s="1"/>
      <c r="U280" s="1"/>
      <c r="V280" s="1"/>
      <c r="W280" s="1"/>
      <c r="X280" s="1"/>
      <c r="Y280" s="1"/>
    </row>
    <row r="281" spans="1:25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9"/>
      <c r="T281" s="1"/>
      <c r="U281" s="1"/>
      <c r="V281" s="1"/>
      <c r="W281" s="1"/>
      <c r="X281" s="1"/>
      <c r="Y281" s="1"/>
    </row>
    <row r="282" spans="1:25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9"/>
      <c r="T282" s="1"/>
      <c r="U282" s="1"/>
      <c r="V282" s="1"/>
      <c r="W282" s="1"/>
      <c r="X282" s="1"/>
      <c r="Y282" s="1"/>
    </row>
    <row r="283" spans="1:25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9"/>
      <c r="T283" s="1"/>
      <c r="U283" s="1"/>
      <c r="V283" s="1"/>
      <c r="W283" s="1"/>
      <c r="X283" s="1"/>
      <c r="Y283" s="1"/>
    </row>
    <row r="284" spans="1:25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9"/>
      <c r="T284" s="1"/>
      <c r="U284" s="1"/>
      <c r="V284" s="1"/>
      <c r="W284" s="1"/>
      <c r="X284" s="1"/>
      <c r="Y284" s="1"/>
    </row>
    <row r="285" spans="1:2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9"/>
      <c r="T285" s="1"/>
      <c r="U285" s="1"/>
      <c r="V285" s="1"/>
      <c r="W285" s="1"/>
      <c r="X285" s="1"/>
      <c r="Y285" s="1"/>
    </row>
    <row r="286" spans="1:25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9"/>
      <c r="T286" s="1"/>
      <c r="U286" s="1"/>
      <c r="V286" s="1"/>
      <c r="W286" s="1"/>
      <c r="X286" s="1"/>
      <c r="Y286" s="1"/>
    </row>
    <row r="287" spans="1:25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9"/>
      <c r="T287" s="1"/>
      <c r="U287" s="1"/>
      <c r="V287" s="1"/>
      <c r="W287" s="1"/>
      <c r="X287" s="1"/>
      <c r="Y287" s="1"/>
    </row>
    <row r="288" spans="1:25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9"/>
      <c r="T288" s="1"/>
      <c r="U288" s="1"/>
      <c r="V288" s="1"/>
      <c r="W288" s="1"/>
      <c r="X288" s="1"/>
      <c r="Y288" s="1"/>
    </row>
    <row r="289" spans="1:25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9"/>
      <c r="T289" s="1"/>
      <c r="U289" s="1"/>
      <c r="V289" s="1"/>
      <c r="W289" s="1"/>
      <c r="X289" s="1"/>
      <c r="Y289" s="1"/>
    </row>
    <row r="290" spans="1:25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9"/>
      <c r="T290" s="1"/>
      <c r="U290" s="1"/>
      <c r="V290" s="1"/>
      <c r="W290" s="1"/>
      <c r="X290" s="1"/>
      <c r="Y290" s="1"/>
    </row>
    <row r="291" spans="1:25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9"/>
      <c r="T291" s="1"/>
      <c r="U291" s="1"/>
      <c r="V291" s="1"/>
      <c r="W291" s="1"/>
      <c r="X291" s="1"/>
      <c r="Y291" s="1"/>
    </row>
    <row r="292" spans="1:25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9"/>
      <c r="T292" s="1"/>
      <c r="U292" s="1"/>
      <c r="V292" s="1"/>
      <c r="W292" s="1"/>
      <c r="X292" s="1"/>
      <c r="Y292" s="1"/>
    </row>
    <row r="293" spans="1:25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9"/>
      <c r="T293" s="1"/>
      <c r="U293" s="1"/>
      <c r="V293" s="1"/>
      <c r="W293" s="1"/>
      <c r="X293" s="1"/>
      <c r="Y293" s="1"/>
    </row>
    <row r="294" spans="1:25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9"/>
      <c r="T294" s="1"/>
      <c r="U294" s="1"/>
      <c r="V294" s="1"/>
      <c r="W294" s="1"/>
      <c r="X294" s="1"/>
      <c r="Y294" s="1"/>
    </row>
    <row r="295" spans="1:2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9"/>
      <c r="T295" s="1"/>
      <c r="U295" s="1"/>
      <c r="V295" s="1"/>
      <c r="W295" s="1"/>
      <c r="X295" s="1"/>
      <c r="Y295" s="1"/>
    </row>
    <row r="296" spans="1:25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9"/>
      <c r="T296" s="1"/>
      <c r="U296" s="1"/>
      <c r="V296" s="1"/>
      <c r="W296" s="1"/>
      <c r="X296" s="1"/>
      <c r="Y296" s="1"/>
    </row>
    <row r="297" spans="1:25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9"/>
      <c r="T297" s="1"/>
      <c r="U297" s="1"/>
      <c r="V297" s="1"/>
      <c r="W297" s="1"/>
      <c r="X297" s="1"/>
      <c r="Y297" s="1"/>
    </row>
    <row r="298" spans="1:25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9"/>
      <c r="T298" s="1"/>
      <c r="U298" s="1"/>
      <c r="V298" s="1"/>
      <c r="W298" s="1"/>
      <c r="X298" s="1"/>
      <c r="Y298" s="1"/>
    </row>
    <row r="299" spans="1:25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9"/>
      <c r="T299" s="1"/>
      <c r="U299" s="1"/>
      <c r="V299" s="1"/>
      <c r="W299" s="1"/>
      <c r="X299" s="1"/>
      <c r="Y299" s="1"/>
    </row>
    <row r="300" spans="1:25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9"/>
      <c r="T300" s="1"/>
      <c r="U300" s="1"/>
      <c r="V300" s="1"/>
      <c r="W300" s="1"/>
      <c r="X300" s="1"/>
      <c r="Y300" s="1"/>
    </row>
    <row r="301" spans="1:25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9"/>
      <c r="T301" s="1"/>
      <c r="U301" s="1"/>
      <c r="V301" s="1"/>
      <c r="W301" s="1"/>
      <c r="X301" s="1"/>
      <c r="Y301" s="1"/>
    </row>
    <row r="302" spans="1:25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9"/>
      <c r="T302" s="1"/>
      <c r="U302" s="1"/>
      <c r="V302" s="1"/>
      <c r="W302" s="1"/>
      <c r="X302" s="1"/>
      <c r="Y302" s="1"/>
    </row>
    <row r="303" spans="1:25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9"/>
      <c r="T303" s="1"/>
      <c r="U303" s="1"/>
      <c r="V303" s="1"/>
      <c r="W303" s="1"/>
      <c r="X303" s="1"/>
      <c r="Y303" s="1"/>
    </row>
    <row r="304" spans="1:25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9"/>
      <c r="T304" s="1"/>
      <c r="U304" s="1"/>
      <c r="V304" s="1"/>
      <c r="W304" s="1"/>
      <c r="X304" s="1"/>
      <c r="Y304" s="1"/>
    </row>
    <row r="305" spans="1:2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9"/>
      <c r="T305" s="1"/>
      <c r="U305" s="1"/>
      <c r="V305" s="1"/>
      <c r="W305" s="1"/>
      <c r="X305" s="1"/>
      <c r="Y305" s="1"/>
    </row>
    <row r="306" spans="1:25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9"/>
      <c r="T306" s="1"/>
      <c r="U306" s="1"/>
      <c r="V306" s="1"/>
      <c r="W306" s="1"/>
      <c r="X306" s="1"/>
      <c r="Y306" s="1"/>
    </row>
    <row r="307" spans="1:25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9"/>
      <c r="T307" s="1"/>
      <c r="U307" s="1"/>
      <c r="V307" s="1"/>
      <c r="W307" s="1"/>
      <c r="X307" s="1"/>
      <c r="Y307" s="1"/>
    </row>
    <row r="308" spans="1:25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9"/>
      <c r="T308" s="1"/>
      <c r="U308" s="1"/>
      <c r="V308" s="1"/>
      <c r="W308" s="1"/>
      <c r="X308" s="1"/>
      <c r="Y308" s="1"/>
    </row>
    <row r="309" spans="1:25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9"/>
      <c r="T309" s="1"/>
      <c r="U309" s="1"/>
      <c r="V309" s="1"/>
      <c r="W309" s="1"/>
      <c r="X309" s="1"/>
      <c r="Y309" s="1"/>
    </row>
    <row r="310" spans="1:25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9"/>
      <c r="T310" s="1"/>
      <c r="U310" s="1"/>
      <c r="V310" s="1"/>
      <c r="W310" s="1"/>
      <c r="X310" s="1"/>
      <c r="Y310" s="1"/>
    </row>
    <row r="311" spans="1:25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9"/>
      <c r="T311" s="1"/>
      <c r="U311" s="1"/>
      <c r="V311" s="1"/>
      <c r="W311" s="1"/>
      <c r="X311" s="1"/>
      <c r="Y311" s="1"/>
    </row>
    <row r="312" spans="1:25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9"/>
      <c r="T312" s="1"/>
      <c r="U312" s="1"/>
      <c r="V312" s="1"/>
      <c r="W312" s="1"/>
      <c r="X312" s="1"/>
      <c r="Y312" s="1"/>
    </row>
    <row r="313" spans="1:25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9"/>
      <c r="T313" s="1"/>
      <c r="U313" s="1"/>
      <c r="V313" s="1"/>
      <c r="W313" s="1"/>
      <c r="X313" s="1"/>
      <c r="Y313" s="1"/>
    </row>
    <row r="314" spans="1:25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9"/>
      <c r="T314" s="1"/>
      <c r="U314" s="1"/>
      <c r="V314" s="1"/>
      <c r="W314" s="1"/>
      <c r="X314" s="1"/>
      <c r="Y314" s="1"/>
    </row>
    <row r="315" spans="1:2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9"/>
      <c r="T315" s="1"/>
      <c r="U315" s="1"/>
      <c r="V315" s="1"/>
      <c r="W315" s="1"/>
      <c r="X315" s="1"/>
      <c r="Y315" s="1"/>
    </row>
    <row r="316" spans="1:25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9"/>
      <c r="T316" s="1"/>
      <c r="U316" s="1"/>
      <c r="V316" s="1"/>
      <c r="W316" s="1"/>
      <c r="X316" s="1"/>
      <c r="Y316" s="1"/>
    </row>
    <row r="317" spans="1:25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9"/>
      <c r="T317" s="1"/>
      <c r="U317" s="1"/>
      <c r="V317" s="1"/>
      <c r="W317" s="1"/>
      <c r="X317" s="1"/>
      <c r="Y317" s="1"/>
    </row>
    <row r="318" spans="1:25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9"/>
      <c r="T318" s="1"/>
      <c r="U318" s="1"/>
      <c r="V318" s="1"/>
      <c r="W318" s="1"/>
      <c r="X318" s="1"/>
      <c r="Y318" s="1"/>
    </row>
    <row r="319" spans="1:25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9"/>
      <c r="T319" s="1"/>
      <c r="U319" s="1"/>
      <c r="V319" s="1"/>
      <c r="W319" s="1"/>
      <c r="X319" s="1"/>
      <c r="Y319" s="1"/>
    </row>
    <row r="320" spans="1:25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9"/>
      <c r="T320" s="1"/>
      <c r="U320" s="1"/>
      <c r="V320" s="1"/>
      <c r="W320" s="1"/>
      <c r="X320" s="1"/>
      <c r="Y320" s="1"/>
    </row>
    <row r="321" spans="1:25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9"/>
      <c r="T321" s="1"/>
      <c r="U321" s="1"/>
      <c r="V321" s="1"/>
      <c r="W321" s="1"/>
      <c r="X321" s="1"/>
      <c r="Y321" s="1"/>
    </row>
    <row r="322" spans="1:25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9"/>
      <c r="T322" s="1"/>
      <c r="U322" s="1"/>
      <c r="V322" s="1"/>
      <c r="W322" s="1"/>
      <c r="X322" s="1"/>
      <c r="Y322" s="1"/>
    </row>
    <row r="323" spans="1:25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9"/>
      <c r="T323" s="1"/>
      <c r="U323" s="1"/>
      <c r="V323" s="1"/>
      <c r="W323" s="1"/>
      <c r="X323" s="1"/>
      <c r="Y323" s="1"/>
    </row>
    <row r="324" spans="1:25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9"/>
      <c r="T324" s="1"/>
      <c r="U324" s="1"/>
      <c r="V324" s="1"/>
      <c r="W324" s="1"/>
      <c r="X324" s="1"/>
      <c r="Y324" s="1"/>
    </row>
    <row r="325" spans="1: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9"/>
      <c r="T325" s="1"/>
      <c r="U325" s="1"/>
      <c r="V325" s="1"/>
      <c r="W325" s="1"/>
      <c r="X325" s="1"/>
      <c r="Y325" s="1"/>
    </row>
    <row r="326" spans="1:25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9"/>
      <c r="T326" s="1"/>
      <c r="U326" s="1"/>
      <c r="V326" s="1"/>
      <c r="W326" s="1"/>
      <c r="X326" s="1"/>
      <c r="Y326" s="1"/>
    </row>
    <row r="327" spans="1:25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9"/>
      <c r="T327" s="1"/>
      <c r="U327" s="1"/>
      <c r="V327" s="1"/>
      <c r="W327" s="1"/>
      <c r="X327" s="1"/>
      <c r="Y327" s="1"/>
    </row>
    <row r="328" spans="1:25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9"/>
      <c r="T328" s="1"/>
      <c r="U328" s="1"/>
      <c r="V328" s="1"/>
      <c r="W328" s="1"/>
      <c r="X328" s="1"/>
      <c r="Y328" s="1"/>
    </row>
    <row r="329" spans="1:25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9"/>
      <c r="T329" s="1"/>
      <c r="U329" s="1"/>
      <c r="V329" s="1"/>
      <c r="W329" s="1"/>
      <c r="X329" s="1"/>
      <c r="Y329" s="1"/>
    </row>
    <row r="330" spans="1:25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9"/>
      <c r="T330" s="1"/>
      <c r="U330" s="1"/>
      <c r="V330" s="1"/>
      <c r="W330" s="1"/>
      <c r="X330" s="1"/>
      <c r="Y330" s="1"/>
    </row>
    <row r="331" spans="1:25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9"/>
      <c r="T331" s="1"/>
      <c r="U331" s="1"/>
      <c r="V331" s="1"/>
      <c r="W331" s="1"/>
      <c r="X331" s="1"/>
      <c r="Y331" s="1"/>
    </row>
    <row r="332" spans="1:25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9"/>
      <c r="T332" s="1"/>
      <c r="U332" s="1"/>
      <c r="V332" s="1"/>
      <c r="W332" s="1"/>
      <c r="X332" s="1"/>
      <c r="Y332" s="1"/>
    </row>
    <row r="333" spans="1:25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9"/>
      <c r="T333" s="1"/>
      <c r="U333" s="1"/>
      <c r="V333" s="1"/>
      <c r="W333" s="1"/>
      <c r="X333" s="1"/>
      <c r="Y333" s="1"/>
    </row>
    <row r="334" spans="1:25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9"/>
      <c r="T334" s="1"/>
      <c r="U334" s="1"/>
      <c r="V334" s="1"/>
      <c r="W334" s="1"/>
      <c r="X334" s="1"/>
      <c r="Y334" s="1"/>
    </row>
    <row r="335" spans="1:2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9"/>
      <c r="T335" s="1"/>
      <c r="U335" s="1"/>
      <c r="V335" s="1"/>
      <c r="W335" s="1"/>
      <c r="X335" s="1"/>
      <c r="Y335" s="1"/>
    </row>
    <row r="336" spans="1:25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9"/>
      <c r="T336" s="1"/>
      <c r="U336" s="1"/>
      <c r="V336" s="1"/>
      <c r="W336" s="1"/>
      <c r="X336" s="1"/>
      <c r="Y336" s="1"/>
    </row>
    <row r="337" spans="1:25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9"/>
      <c r="T337" s="1"/>
      <c r="U337" s="1"/>
      <c r="V337" s="1"/>
      <c r="W337" s="1"/>
      <c r="X337" s="1"/>
      <c r="Y337" s="1"/>
    </row>
    <row r="338" spans="1:25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9"/>
      <c r="T338" s="1"/>
      <c r="U338" s="1"/>
      <c r="V338" s="1"/>
      <c r="W338" s="1"/>
      <c r="X338" s="1"/>
      <c r="Y338" s="1"/>
    </row>
    <row r="339" spans="1:25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9"/>
      <c r="T339" s="1"/>
      <c r="U339" s="1"/>
      <c r="V339" s="1"/>
      <c r="W339" s="1"/>
      <c r="X339" s="1"/>
      <c r="Y339" s="1"/>
    </row>
    <row r="340" spans="1:25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9"/>
      <c r="T340" s="1"/>
      <c r="U340" s="1"/>
      <c r="V340" s="1"/>
      <c r="W340" s="1"/>
      <c r="X340" s="1"/>
      <c r="Y340" s="1"/>
    </row>
    <row r="341" spans="1:25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9"/>
      <c r="T341" s="1"/>
      <c r="U341" s="1"/>
      <c r="V341" s="1"/>
      <c r="W341" s="1"/>
      <c r="X341" s="1"/>
      <c r="Y341" s="1"/>
    </row>
    <row r="342" spans="1:25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9"/>
      <c r="T342" s="1"/>
      <c r="U342" s="1"/>
      <c r="V342" s="1"/>
      <c r="W342" s="1"/>
      <c r="X342" s="1"/>
      <c r="Y342" s="1"/>
    </row>
    <row r="343" spans="1:25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9"/>
      <c r="T343" s="1"/>
      <c r="U343" s="1"/>
      <c r="V343" s="1"/>
      <c r="W343" s="1"/>
      <c r="X343" s="1"/>
      <c r="Y343" s="1"/>
    </row>
    <row r="344" spans="1:25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9"/>
      <c r="T344" s="1"/>
      <c r="U344" s="1"/>
      <c r="V344" s="1"/>
      <c r="W344" s="1"/>
      <c r="X344" s="1"/>
      <c r="Y344" s="1"/>
    </row>
    <row r="345" spans="1:2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9"/>
      <c r="T345" s="1"/>
      <c r="U345" s="1"/>
      <c r="V345" s="1"/>
      <c r="W345" s="1"/>
      <c r="X345" s="1"/>
      <c r="Y345" s="1"/>
    </row>
    <row r="346" spans="1:25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9"/>
      <c r="T346" s="1"/>
      <c r="U346" s="1"/>
      <c r="V346" s="1"/>
      <c r="W346" s="1"/>
      <c r="X346" s="1"/>
      <c r="Y346" s="1"/>
    </row>
    <row r="347" spans="1:25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9"/>
      <c r="T347" s="1"/>
      <c r="U347" s="1"/>
      <c r="V347" s="1"/>
      <c r="W347" s="1"/>
      <c r="X347" s="1"/>
      <c r="Y347" s="1"/>
    </row>
    <row r="348" spans="1:25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9"/>
      <c r="T348" s="1"/>
      <c r="U348" s="1"/>
      <c r="V348" s="1"/>
      <c r="W348" s="1"/>
      <c r="X348" s="1"/>
      <c r="Y348" s="1"/>
    </row>
    <row r="349" spans="1:25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9"/>
      <c r="T349" s="1"/>
      <c r="U349" s="1"/>
      <c r="V349" s="1"/>
      <c r="W349" s="1"/>
      <c r="X349" s="1"/>
      <c r="Y349" s="1"/>
    </row>
    <row r="350" spans="1:25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9"/>
      <c r="T350" s="1"/>
      <c r="U350" s="1"/>
      <c r="V350" s="1"/>
      <c r="W350" s="1"/>
      <c r="X350" s="1"/>
      <c r="Y350" s="1"/>
    </row>
    <row r="351" spans="1:25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9"/>
      <c r="T351" s="1"/>
      <c r="U351" s="1"/>
      <c r="V351" s="1"/>
      <c r="W351" s="1"/>
      <c r="X351" s="1"/>
      <c r="Y351" s="1"/>
    </row>
    <row r="352" spans="1:25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9"/>
      <c r="T352" s="1"/>
      <c r="U352" s="1"/>
      <c r="V352" s="1"/>
      <c r="W352" s="1"/>
      <c r="X352" s="1"/>
      <c r="Y352" s="1"/>
    </row>
    <row r="353" spans="1:25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9"/>
      <c r="T353" s="1"/>
      <c r="U353" s="1"/>
      <c r="V353" s="1"/>
      <c r="W353" s="1"/>
      <c r="X353" s="1"/>
      <c r="Y353" s="1"/>
    </row>
    <row r="354" spans="1:25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9"/>
      <c r="T354" s="1"/>
      <c r="U354" s="1"/>
      <c r="V354" s="1"/>
      <c r="W354" s="1"/>
      <c r="X354" s="1"/>
      <c r="Y354" s="1"/>
    </row>
    <row r="355" spans="1:2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9"/>
      <c r="T355" s="1"/>
      <c r="U355" s="1"/>
      <c r="V355" s="1"/>
      <c r="W355" s="1"/>
      <c r="X355" s="1"/>
      <c r="Y355" s="1"/>
    </row>
    <row r="356" spans="1:25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9"/>
      <c r="T356" s="1"/>
      <c r="U356" s="1"/>
      <c r="V356" s="1"/>
      <c r="W356" s="1"/>
      <c r="X356" s="1"/>
      <c r="Y356" s="1"/>
    </row>
    <row r="357" spans="1:25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9"/>
      <c r="T357" s="1"/>
      <c r="U357" s="1"/>
      <c r="V357" s="1"/>
      <c r="W357" s="1"/>
      <c r="X357" s="1"/>
      <c r="Y357" s="1"/>
    </row>
    <row r="358" spans="1:25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9"/>
      <c r="T358" s="1"/>
      <c r="U358" s="1"/>
      <c r="V358" s="1"/>
      <c r="W358" s="1"/>
      <c r="X358" s="1"/>
      <c r="Y358" s="1"/>
    </row>
    <row r="359" spans="1:25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9"/>
      <c r="T359" s="1"/>
      <c r="U359" s="1"/>
      <c r="V359" s="1"/>
      <c r="W359" s="1"/>
      <c r="X359" s="1"/>
      <c r="Y359" s="1"/>
    </row>
    <row r="360" spans="1:25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9"/>
      <c r="T360" s="1"/>
      <c r="U360" s="1"/>
      <c r="V360" s="1"/>
      <c r="W360" s="1"/>
      <c r="X360" s="1"/>
      <c r="Y360" s="1"/>
    </row>
    <row r="361" spans="1:25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9"/>
      <c r="T361" s="1"/>
      <c r="U361" s="1"/>
      <c r="V361" s="1"/>
      <c r="W361" s="1"/>
      <c r="X361" s="1"/>
      <c r="Y361" s="1"/>
    </row>
    <row r="362" spans="1:25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9"/>
      <c r="T362" s="1"/>
      <c r="U362" s="1"/>
      <c r="V362" s="1"/>
      <c r="W362" s="1"/>
      <c r="X362" s="1"/>
      <c r="Y362" s="1"/>
    </row>
    <row r="363" spans="1:25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9"/>
      <c r="T363" s="1"/>
      <c r="U363" s="1"/>
      <c r="V363" s="1"/>
      <c r="W363" s="1"/>
      <c r="X363" s="1"/>
      <c r="Y363" s="1"/>
    </row>
    <row r="364" spans="1:25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9"/>
      <c r="T364" s="1"/>
      <c r="U364" s="1"/>
      <c r="V364" s="1"/>
      <c r="W364" s="1"/>
      <c r="X364" s="1"/>
      <c r="Y364" s="1"/>
    </row>
    <row r="365" spans="1:2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9"/>
      <c r="T365" s="1"/>
      <c r="U365" s="1"/>
      <c r="V365" s="1"/>
      <c r="W365" s="1"/>
      <c r="X365" s="1"/>
      <c r="Y365" s="1"/>
    </row>
    <row r="366" spans="1:25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9"/>
      <c r="T366" s="1"/>
      <c r="U366" s="1"/>
      <c r="V366" s="1"/>
      <c r="W366" s="1"/>
      <c r="X366" s="1"/>
      <c r="Y366" s="1"/>
    </row>
    <row r="367" spans="1:25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9"/>
      <c r="T367" s="1"/>
      <c r="U367" s="1"/>
      <c r="V367" s="1"/>
      <c r="W367" s="1"/>
      <c r="X367" s="1"/>
      <c r="Y367" s="1"/>
    </row>
    <row r="368" spans="1:25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9"/>
      <c r="T368" s="1"/>
      <c r="U368" s="1"/>
      <c r="V368" s="1"/>
      <c r="W368" s="1"/>
      <c r="X368" s="1"/>
      <c r="Y368" s="1"/>
    </row>
    <row r="369" spans="1:25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9"/>
      <c r="T369" s="1"/>
      <c r="U369" s="1"/>
      <c r="V369" s="1"/>
      <c r="W369" s="1"/>
      <c r="X369" s="1"/>
      <c r="Y369" s="1"/>
    </row>
    <row r="370" spans="1:25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9"/>
      <c r="T370" s="1"/>
      <c r="U370" s="1"/>
      <c r="V370" s="1"/>
      <c r="W370" s="1"/>
      <c r="X370" s="1"/>
      <c r="Y370" s="1"/>
    </row>
    <row r="371" spans="1:25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9"/>
      <c r="T371" s="1"/>
      <c r="U371" s="1"/>
      <c r="V371" s="1"/>
      <c r="W371" s="1"/>
      <c r="X371" s="1"/>
      <c r="Y371" s="1"/>
    </row>
    <row r="372" spans="1:25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9"/>
      <c r="T372" s="1"/>
      <c r="U372" s="1"/>
      <c r="V372" s="1"/>
      <c r="W372" s="1"/>
      <c r="X372" s="1"/>
      <c r="Y372" s="1"/>
    </row>
    <row r="373" spans="1:25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9"/>
      <c r="T373" s="1"/>
      <c r="U373" s="1"/>
      <c r="V373" s="1"/>
      <c r="W373" s="1"/>
      <c r="X373" s="1"/>
      <c r="Y373" s="1"/>
    </row>
    <row r="374" spans="1:25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9"/>
      <c r="T374" s="1"/>
      <c r="U374" s="1"/>
      <c r="V374" s="1"/>
      <c r="W374" s="1"/>
      <c r="X374" s="1"/>
      <c r="Y374" s="1"/>
    </row>
    <row r="375" spans="1:2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9"/>
      <c r="T375" s="1"/>
      <c r="U375" s="1"/>
      <c r="V375" s="1"/>
      <c r="W375" s="1"/>
      <c r="X375" s="1"/>
      <c r="Y375" s="1"/>
    </row>
    <row r="376" spans="1:25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9"/>
      <c r="T376" s="1"/>
      <c r="U376" s="1"/>
      <c r="V376" s="1"/>
      <c r="W376" s="1"/>
      <c r="X376" s="1"/>
      <c r="Y376" s="1"/>
    </row>
    <row r="377" spans="1:25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9"/>
      <c r="T377" s="1"/>
      <c r="U377" s="1"/>
      <c r="V377" s="1"/>
      <c r="W377" s="1"/>
      <c r="X377" s="1"/>
      <c r="Y377" s="1"/>
    </row>
    <row r="378" spans="1:25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9"/>
      <c r="T378" s="1"/>
      <c r="U378" s="1"/>
      <c r="V378" s="1"/>
      <c r="W378" s="1"/>
      <c r="X378" s="1"/>
      <c r="Y378" s="1"/>
    </row>
    <row r="379" spans="1:25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9"/>
      <c r="T379" s="1"/>
      <c r="U379" s="1"/>
      <c r="V379" s="1"/>
      <c r="W379" s="1"/>
      <c r="X379" s="1"/>
      <c r="Y379" s="1"/>
    </row>
    <row r="380" spans="1:25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9"/>
      <c r="T380" s="1"/>
      <c r="U380" s="1"/>
      <c r="V380" s="1"/>
      <c r="W380" s="1"/>
      <c r="X380" s="1"/>
      <c r="Y380" s="1"/>
    </row>
    <row r="381" spans="1:25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9"/>
      <c r="T381" s="1"/>
      <c r="U381" s="1"/>
      <c r="V381" s="1"/>
      <c r="W381" s="1"/>
      <c r="X381" s="1"/>
      <c r="Y381" s="1"/>
    </row>
    <row r="382" spans="1:25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9"/>
      <c r="T382" s="1"/>
      <c r="U382" s="1"/>
      <c r="V382" s="1"/>
      <c r="W382" s="1"/>
      <c r="X382" s="1"/>
      <c r="Y382" s="1"/>
    </row>
    <row r="383" spans="1:25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9"/>
      <c r="T383" s="1"/>
      <c r="U383" s="1"/>
      <c r="V383" s="1"/>
      <c r="W383" s="1"/>
      <c r="X383" s="1"/>
      <c r="Y383" s="1"/>
    </row>
    <row r="384" spans="1:25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9"/>
      <c r="T384" s="1"/>
      <c r="U384" s="1"/>
      <c r="V384" s="1"/>
      <c r="W384" s="1"/>
      <c r="X384" s="1"/>
      <c r="Y384" s="1"/>
    </row>
    <row r="385" spans="1:2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9"/>
      <c r="T385" s="1"/>
      <c r="U385" s="1"/>
      <c r="V385" s="1"/>
      <c r="W385" s="1"/>
      <c r="X385" s="1"/>
      <c r="Y385" s="1"/>
    </row>
    <row r="386" spans="1:25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9"/>
      <c r="T386" s="1"/>
      <c r="U386" s="1"/>
      <c r="V386" s="1"/>
      <c r="W386" s="1"/>
      <c r="X386" s="1"/>
      <c r="Y386" s="1"/>
    </row>
    <row r="387" spans="1:25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9"/>
      <c r="T387" s="1"/>
      <c r="U387" s="1"/>
      <c r="V387" s="1"/>
      <c r="W387" s="1"/>
      <c r="X387" s="1"/>
      <c r="Y387" s="1"/>
    </row>
    <row r="388" spans="1:25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9"/>
      <c r="T388" s="1"/>
      <c r="U388" s="1"/>
      <c r="V388" s="1"/>
      <c r="W388" s="1"/>
      <c r="X388" s="1"/>
      <c r="Y388" s="1"/>
    </row>
    <row r="389" spans="1:25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9"/>
      <c r="T389" s="1"/>
      <c r="U389" s="1"/>
      <c r="V389" s="1"/>
      <c r="W389" s="1"/>
      <c r="X389" s="1"/>
      <c r="Y389" s="1"/>
    </row>
    <row r="390" spans="1:25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9"/>
      <c r="T390" s="1"/>
      <c r="U390" s="1"/>
      <c r="V390" s="1"/>
      <c r="W390" s="1"/>
      <c r="X390" s="1"/>
      <c r="Y390" s="1"/>
    </row>
    <row r="391" spans="1:25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9"/>
      <c r="T391" s="1"/>
      <c r="U391" s="1"/>
      <c r="V391" s="1"/>
      <c r="W391" s="1"/>
      <c r="X391" s="1"/>
      <c r="Y391" s="1"/>
    </row>
    <row r="392" spans="1:25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9"/>
      <c r="T392" s="1"/>
      <c r="U392" s="1"/>
      <c r="V392" s="1"/>
      <c r="W392" s="1"/>
      <c r="X392" s="1"/>
      <c r="Y392" s="1"/>
    </row>
    <row r="393" spans="1:25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9"/>
      <c r="T393" s="1"/>
      <c r="U393" s="1"/>
      <c r="V393" s="1"/>
      <c r="W393" s="1"/>
      <c r="X393" s="1"/>
      <c r="Y393" s="1"/>
    </row>
    <row r="394" spans="1:25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9"/>
      <c r="T394" s="1"/>
      <c r="U394" s="1"/>
      <c r="V394" s="1"/>
      <c r="W394" s="1"/>
      <c r="X394" s="1"/>
      <c r="Y394" s="1"/>
    </row>
    <row r="395" spans="1:2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9"/>
      <c r="T395" s="1"/>
      <c r="U395" s="1"/>
      <c r="V395" s="1"/>
      <c r="W395" s="1"/>
      <c r="X395" s="1"/>
      <c r="Y395" s="1"/>
    </row>
    <row r="396" spans="1:25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9"/>
      <c r="T396" s="1"/>
      <c r="U396" s="1"/>
      <c r="V396" s="1"/>
      <c r="W396" s="1"/>
      <c r="X396" s="1"/>
      <c r="Y396" s="1"/>
    </row>
    <row r="397" spans="1:25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9"/>
      <c r="T397" s="1"/>
      <c r="U397" s="1"/>
      <c r="V397" s="1"/>
      <c r="W397" s="1"/>
      <c r="X397" s="1"/>
      <c r="Y397" s="1"/>
    </row>
    <row r="398" spans="1:25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9"/>
      <c r="T398" s="1"/>
      <c r="U398" s="1"/>
      <c r="V398" s="1"/>
      <c r="W398" s="1"/>
      <c r="X398" s="1"/>
      <c r="Y398" s="1"/>
    </row>
    <row r="399" spans="1:25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9"/>
      <c r="T399" s="1"/>
      <c r="U399" s="1"/>
      <c r="V399" s="1"/>
      <c r="W399" s="1"/>
      <c r="X399" s="1"/>
      <c r="Y399" s="1"/>
    </row>
    <row r="400" spans="1:25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9"/>
      <c r="T400" s="1"/>
      <c r="U400" s="1"/>
      <c r="V400" s="1"/>
      <c r="W400" s="1"/>
      <c r="X400" s="1"/>
      <c r="Y400" s="1"/>
    </row>
    <row r="401" spans="1:25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9"/>
      <c r="T401" s="1"/>
      <c r="U401" s="1"/>
      <c r="V401" s="1"/>
      <c r="W401" s="1"/>
      <c r="X401" s="1"/>
      <c r="Y401" s="1"/>
    </row>
    <row r="402" spans="1:25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9"/>
      <c r="T402" s="1"/>
      <c r="U402" s="1"/>
      <c r="V402" s="1"/>
      <c r="W402" s="1"/>
      <c r="X402" s="1"/>
      <c r="Y402" s="1"/>
    </row>
    <row r="403" spans="1:25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9"/>
      <c r="T403" s="1"/>
      <c r="U403" s="1"/>
      <c r="V403" s="1"/>
      <c r="W403" s="1"/>
      <c r="X403" s="1"/>
      <c r="Y403" s="1"/>
    </row>
    <row r="404" spans="1:25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9"/>
      <c r="T404" s="1"/>
      <c r="U404" s="1"/>
      <c r="V404" s="1"/>
      <c r="W404" s="1"/>
      <c r="X404" s="1"/>
      <c r="Y404" s="1"/>
    </row>
    <row r="405" spans="1:2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9"/>
      <c r="T405" s="1"/>
      <c r="U405" s="1"/>
      <c r="V405" s="1"/>
      <c r="W405" s="1"/>
      <c r="X405" s="1"/>
      <c r="Y405" s="1"/>
    </row>
    <row r="406" spans="1:25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9"/>
      <c r="T406" s="1"/>
      <c r="U406" s="1"/>
      <c r="V406" s="1"/>
      <c r="W406" s="1"/>
      <c r="X406" s="1"/>
      <c r="Y406" s="1"/>
    </row>
    <row r="407" spans="1:25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9"/>
      <c r="T407" s="1"/>
      <c r="U407" s="1"/>
      <c r="V407" s="1"/>
      <c r="W407" s="1"/>
      <c r="X407" s="1"/>
      <c r="Y407" s="1"/>
    </row>
    <row r="408" spans="1:25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9"/>
      <c r="T408" s="1"/>
      <c r="U408" s="1"/>
      <c r="V408" s="1"/>
      <c r="W408" s="1"/>
      <c r="X408" s="1"/>
      <c r="Y408" s="1"/>
    </row>
    <row r="409" spans="1:25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9"/>
      <c r="T409" s="1"/>
      <c r="U409" s="1"/>
      <c r="V409" s="1"/>
      <c r="W409" s="1"/>
      <c r="X409" s="1"/>
      <c r="Y409" s="1"/>
    </row>
    <row r="410" spans="1:25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9"/>
      <c r="T410" s="1"/>
      <c r="U410" s="1"/>
      <c r="V410" s="1"/>
      <c r="W410" s="1"/>
      <c r="X410" s="1"/>
      <c r="Y410" s="1"/>
    </row>
    <row r="411" spans="1:25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9"/>
      <c r="T411" s="1"/>
      <c r="U411" s="1"/>
      <c r="V411" s="1"/>
      <c r="W411" s="1"/>
      <c r="X411" s="1"/>
      <c r="Y411" s="1"/>
    </row>
    <row r="412" spans="1:25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9"/>
      <c r="T412" s="1"/>
      <c r="U412" s="1"/>
      <c r="V412" s="1"/>
      <c r="W412" s="1"/>
      <c r="X412" s="1"/>
      <c r="Y412" s="1"/>
    </row>
    <row r="413" spans="1:25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9"/>
      <c r="T413" s="1"/>
      <c r="U413" s="1"/>
      <c r="V413" s="1"/>
      <c r="W413" s="1"/>
      <c r="X413" s="1"/>
      <c r="Y413" s="1"/>
    </row>
    <row r="414" spans="1:25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9"/>
      <c r="T414" s="1"/>
      <c r="U414" s="1"/>
      <c r="V414" s="1"/>
      <c r="W414" s="1"/>
      <c r="X414" s="1"/>
      <c r="Y414" s="1"/>
    </row>
    <row r="415" spans="1:2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9"/>
      <c r="T415" s="1"/>
      <c r="U415" s="1"/>
      <c r="V415" s="1"/>
      <c r="W415" s="1"/>
      <c r="X415" s="1"/>
      <c r="Y415" s="1"/>
    </row>
    <row r="416" spans="1:25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9"/>
      <c r="T416" s="1"/>
      <c r="U416" s="1"/>
      <c r="V416" s="1"/>
      <c r="W416" s="1"/>
      <c r="X416" s="1"/>
      <c r="Y416" s="1"/>
    </row>
    <row r="417" spans="1:25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9"/>
      <c r="T417" s="1"/>
      <c r="U417" s="1"/>
      <c r="V417" s="1"/>
      <c r="W417" s="1"/>
      <c r="X417" s="1"/>
      <c r="Y417" s="1"/>
    </row>
    <row r="418" spans="1:25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9"/>
      <c r="T418" s="1"/>
      <c r="U418" s="1"/>
      <c r="V418" s="1"/>
      <c r="W418" s="1"/>
      <c r="X418" s="1"/>
      <c r="Y418" s="1"/>
    </row>
    <row r="419" spans="1:25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9"/>
      <c r="T419" s="1"/>
      <c r="U419" s="1"/>
      <c r="V419" s="1"/>
      <c r="W419" s="1"/>
      <c r="X419" s="1"/>
      <c r="Y419" s="1"/>
    </row>
    <row r="420" spans="1:25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9"/>
      <c r="T420" s="1"/>
      <c r="U420" s="1"/>
      <c r="V420" s="1"/>
      <c r="W420" s="1"/>
      <c r="X420" s="1"/>
      <c r="Y420" s="1"/>
    </row>
    <row r="421" spans="1:25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9"/>
      <c r="T421" s="1"/>
      <c r="U421" s="1"/>
      <c r="V421" s="1"/>
      <c r="W421" s="1"/>
      <c r="X421" s="1"/>
      <c r="Y421" s="1"/>
    </row>
    <row r="422" spans="1:25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9"/>
      <c r="T422" s="1"/>
      <c r="U422" s="1"/>
      <c r="V422" s="1"/>
      <c r="W422" s="1"/>
      <c r="X422" s="1"/>
      <c r="Y422" s="1"/>
    </row>
    <row r="423" spans="1:25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9"/>
      <c r="T423" s="1"/>
      <c r="U423" s="1"/>
      <c r="V423" s="1"/>
      <c r="W423" s="1"/>
      <c r="X423" s="1"/>
      <c r="Y423" s="1"/>
    </row>
    <row r="424" spans="1:25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9"/>
      <c r="T424" s="1"/>
      <c r="U424" s="1"/>
      <c r="V424" s="1"/>
      <c r="W424" s="1"/>
      <c r="X424" s="1"/>
      <c r="Y424" s="1"/>
    </row>
    <row r="425" spans="1: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9"/>
      <c r="T425" s="1"/>
      <c r="U425" s="1"/>
      <c r="V425" s="1"/>
      <c r="W425" s="1"/>
      <c r="X425" s="1"/>
      <c r="Y425" s="1"/>
    </row>
    <row r="426" spans="1:25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9"/>
      <c r="T426" s="1"/>
      <c r="U426" s="1"/>
      <c r="V426" s="1"/>
      <c r="W426" s="1"/>
      <c r="X426" s="1"/>
      <c r="Y426" s="1"/>
    </row>
    <row r="427" spans="1:25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9"/>
      <c r="T427" s="1"/>
      <c r="U427" s="1"/>
      <c r="V427" s="1"/>
      <c r="W427" s="1"/>
      <c r="X427" s="1"/>
      <c r="Y427" s="1"/>
    </row>
    <row r="428" spans="1:25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9"/>
      <c r="T428" s="1"/>
      <c r="U428" s="1"/>
      <c r="V428" s="1"/>
      <c r="W428" s="1"/>
      <c r="X428" s="1"/>
      <c r="Y428" s="1"/>
    </row>
    <row r="429" spans="1:25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9"/>
      <c r="T429" s="1"/>
      <c r="U429" s="1"/>
      <c r="V429" s="1"/>
      <c r="W429" s="1"/>
      <c r="X429" s="1"/>
      <c r="Y429" s="1"/>
    </row>
    <row r="430" spans="1:25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9"/>
      <c r="T430" s="1"/>
      <c r="U430" s="1"/>
      <c r="V430" s="1"/>
      <c r="W430" s="1"/>
      <c r="X430" s="1"/>
      <c r="Y430" s="1"/>
    </row>
    <row r="431" spans="1:25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9"/>
      <c r="T431" s="1"/>
      <c r="U431" s="1"/>
      <c r="V431" s="1"/>
      <c r="W431" s="1"/>
      <c r="X431" s="1"/>
      <c r="Y431" s="1"/>
    </row>
    <row r="432" spans="1:25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9"/>
      <c r="T432" s="1"/>
      <c r="U432" s="1"/>
      <c r="V432" s="1"/>
      <c r="W432" s="1"/>
      <c r="X432" s="1"/>
      <c r="Y432" s="1"/>
    </row>
    <row r="433" spans="1:25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9"/>
      <c r="T433" s="1"/>
      <c r="U433" s="1"/>
      <c r="V433" s="1"/>
      <c r="W433" s="1"/>
      <c r="X433" s="1"/>
      <c r="Y433" s="1"/>
    </row>
    <row r="434" spans="1:25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9"/>
      <c r="T434" s="1"/>
      <c r="U434" s="1"/>
      <c r="V434" s="1"/>
      <c r="W434" s="1"/>
      <c r="X434" s="1"/>
      <c r="Y434" s="1"/>
    </row>
    <row r="435" spans="1:2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9"/>
      <c r="T435" s="1"/>
      <c r="U435" s="1"/>
      <c r="V435" s="1"/>
      <c r="W435" s="1"/>
      <c r="X435" s="1"/>
      <c r="Y435" s="1"/>
    </row>
    <row r="436" spans="1:25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9"/>
      <c r="T436" s="1"/>
      <c r="U436" s="1"/>
      <c r="V436" s="1"/>
      <c r="W436" s="1"/>
      <c r="X436" s="1"/>
      <c r="Y436" s="1"/>
    </row>
    <row r="437" spans="1:25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9"/>
      <c r="T437" s="1"/>
      <c r="U437" s="1"/>
      <c r="V437" s="1"/>
      <c r="W437" s="1"/>
      <c r="X437" s="1"/>
      <c r="Y437" s="1"/>
    </row>
    <row r="438" spans="1:25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9"/>
      <c r="T438" s="1"/>
      <c r="U438" s="1"/>
      <c r="V438" s="1"/>
      <c r="W438" s="1"/>
      <c r="X438" s="1"/>
      <c r="Y438" s="1"/>
    </row>
    <row r="439" spans="1:25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9"/>
      <c r="T439" s="1"/>
      <c r="U439" s="1"/>
      <c r="V439" s="1"/>
      <c r="W439" s="1"/>
      <c r="X439" s="1"/>
      <c r="Y439" s="1"/>
    </row>
    <row r="440" spans="1:25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9"/>
      <c r="T440" s="1"/>
      <c r="U440" s="1"/>
      <c r="V440" s="1"/>
      <c r="W440" s="1"/>
      <c r="X440" s="1"/>
      <c r="Y440" s="1"/>
    </row>
    <row r="441" spans="1:25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9"/>
      <c r="T441" s="1"/>
      <c r="U441" s="1"/>
      <c r="V441" s="1"/>
      <c r="W441" s="1"/>
      <c r="X441" s="1"/>
      <c r="Y441" s="1"/>
    </row>
    <row r="442" spans="1:25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9"/>
      <c r="T442" s="1"/>
      <c r="U442" s="1"/>
      <c r="V442" s="1"/>
      <c r="W442" s="1"/>
      <c r="X442" s="1"/>
      <c r="Y442" s="1"/>
    </row>
    <row r="443" spans="1:25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9"/>
      <c r="T443" s="1"/>
      <c r="U443" s="1"/>
      <c r="V443" s="1"/>
      <c r="W443" s="1"/>
      <c r="X443" s="1"/>
      <c r="Y443" s="1"/>
    </row>
    <row r="444" spans="1:25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9"/>
      <c r="T444" s="1"/>
      <c r="U444" s="1"/>
      <c r="V444" s="1"/>
      <c r="W444" s="1"/>
      <c r="X444" s="1"/>
      <c r="Y444" s="1"/>
    </row>
    <row r="445" spans="1:2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9"/>
      <c r="T445" s="1"/>
      <c r="U445" s="1"/>
      <c r="V445" s="1"/>
      <c r="W445" s="1"/>
      <c r="X445" s="1"/>
      <c r="Y445" s="1"/>
    </row>
    <row r="446" spans="1:25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9"/>
      <c r="T446" s="1"/>
      <c r="U446" s="1"/>
      <c r="V446" s="1"/>
      <c r="W446" s="1"/>
      <c r="X446" s="1"/>
      <c r="Y446" s="1"/>
    </row>
    <row r="447" spans="1:25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9"/>
      <c r="T447" s="1"/>
      <c r="U447" s="1"/>
      <c r="V447" s="1"/>
      <c r="W447" s="1"/>
      <c r="X447" s="1"/>
      <c r="Y447" s="1"/>
    </row>
    <row r="448" spans="1:25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9"/>
      <c r="T448" s="1"/>
      <c r="U448" s="1"/>
      <c r="V448" s="1"/>
      <c r="W448" s="1"/>
      <c r="X448" s="1"/>
      <c r="Y448" s="1"/>
    </row>
    <row r="449" spans="1:25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9"/>
      <c r="T449" s="1"/>
      <c r="U449" s="1"/>
      <c r="V449" s="1"/>
      <c r="W449" s="1"/>
      <c r="X449" s="1"/>
      <c r="Y449" s="1"/>
    </row>
    <row r="450" spans="1:25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9"/>
      <c r="T450" s="1"/>
      <c r="U450" s="1"/>
      <c r="V450" s="1"/>
      <c r="W450" s="1"/>
      <c r="X450" s="1"/>
      <c r="Y450" s="1"/>
    </row>
    <row r="451" spans="1:25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9"/>
      <c r="T451" s="1"/>
      <c r="U451" s="1"/>
      <c r="V451" s="1"/>
      <c r="W451" s="1"/>
      <c r="X451" s="1"/>
      <c r="Y451" s="1"/>
    </row>
    <row r="452" spans="1:25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9"/>
      <c r="T452" s="1"/>
      <c r="U452" s="1"/>
      <c r="V452" s="1"/>
      <c r="W452" s="1"/>
      <c r="X452" s="1"/>
      <c r="Y452" s="1"/>
    </row>
    <row r="453" spans="1:25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9"/>
      <c r="T453" s="1"/>
      <c r="U453" s="1"/>
      <c r="V453" s="1"/>
      <c r="W453" s="1"/>
      <c r="X453" s="1"/>
      <c r="Y453" s="1"/>
    </row>
    <row r="454" spans="1:25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9"/>
      <c r="T454" s="1"/>
      <c r="U454" s="1"/>
      <c r="V454" s="1"/>
      <c r="W454" s="1"/>
      <c r="X454" s="1"/>
      <c r="Y454" s="1"/>
    </row>
    <row r="455" spans="1:2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9"/>
      <c r="T455" s="1"/>
      <c r="U455" s="1"/>
      <c r="V455" s="1"/>
      <c r="W455" s="1"/>
      <c r="X455" s="1"/>
      <c r="Y455" s="1"/>
    </row>
    <row r="456" spans="1:25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9"/>
      <c r="T456" s="1"/>
      <c r="U456" s="1"/>
      <c r="V456" s="1"/>
      <c r="W456" s="1"/>
      <c r="X456" s="1"/>
      <c r="Y456" s="1"/>
    </row>
    <row r="457" spans="1:25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9"/>
      <c r="T457" s="1"/>
      <c r="U457" s="1"/>
      <c r="V457" s="1"/>
      <c r="W457" s="1"/>
      <c r="X457" s="1"/>
      <c r="Y457" s="1"/>
    </row>
    <row r="458" spans="1:25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9"/>
      <c r="T458" s="1"/>
      <c r="U458" s="1"/>
      <c r="V458" s="1"/>
      <c r="W458" s="1"/>
      <c r="X458" s="1"/>
      <c r="Y458" s="1"/>
    </row>
    <row r="459" spans="1:25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9"/>
      <c r="T459" s="1"/>
      <c r="U459" s="1"/>
      <c r="V459" s="1"/>
      <c r="W459" s="1"/>
      <c r="X459" s="1"/>
      <c r="Y459" s="1"/>
    </row>
    <row r="460" spans="1:25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9"/>
      <c r="T460" s="1"/>
      <c r="U460" s="1"/>
      <c r="V460" s="1"/>
      <c r="W460" s="1"/>
      <c r="X460" s="1"/>
      <c r="Y460" s="1"/>
    </row>
    <row r="461" spans="1:25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9"/>
      <c r="T461" s="1"/>
      <c r="U461" s="1"/>
      <c r="V461" s="1"/>
      <c r="W461" s="1"/>
      <c r="X461" s="1"/>
      <c r="Y461" s="1"/>
    </row>
    <row r="462" spans="1:25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9"/>
      <c r="T462" s="1"/>
      <c r="U462" s="1"/>
      <c r="V462" s="1"/>
      <c r="W462" s="1"/>
      <c r="X462" s="1"/>
      <c r="Y462" s="1"/>
    </row>
    <row r="463" spans="1:25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9"/>
      <c r="T463" s="1"/>
      <c r="U463" s="1"/>
      <c r="V463" s="1"/>
      <c r="W463" s="1"/>
      <c r="X463" s="1"/>
      <c r="Y463" s="1"/>
    </row>
    <row r="464" spans="1:25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9"/>
      <c r="T464" s="1"/>
      <c r="U464" s="1"/>
      <c r="V464" s="1"/>
      <c r="W464" s="1"/>
      <c r="X464" s="1"/>
      <c r="Y464" s="1"/>
    </row>
    <row r="465" spans="1:2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9"/>
      <c r="T465" s="1"/>
      <c r="U465" s="1"/>
      <c r="V465" s="1"/>
      <c r="W465" s="1"/>
      <c r="X465" s="1"/>
      <c r="Y465" s="1"/>
    </row>
    <row r="466" spans="1:25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9"/>
      <c r="T466" s="1"/>
      <c r="U466" s="1"/>
      <c r="V466" s="1"/>
      <c r="W466" s="1"/>
      <c r="X466" s="1"/>
      <c r="Y466" s="1"/>
    </row>
    <row r="467" spans="1:25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9"/>
      <c r="T467" s="1"/>
      <c r="U467" s="1"/>
      <c r="V467" s="1"/>
      <c r="W467" s="1"/>
      <c r="X467" s="1"/>
      <c r="Y467" s="1"/>
    </row>
    <row r="468" spans="1:25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9"/>
      <c r="T468" s="1"/>
      <c r="U468" s="1"/>
      <c r="V468" s="1"/>
      <c r="W468" s="1"/>
      <c r="X468" s="1"/>
      <c r="Y468" s="1"/>
    </row>
    <row r="469" spans="1:25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9"/>
      <c r="T469" s="1"/>
      <c r="U469" s="1"/>
      <c r="V469" s="1"/>
      <c r="W469" s="1"/>
      <c r="X469" s="1"/>
      <c r="Y469" s="1"/>
    </row>
    <row r="470" spans="1:25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9"/>
      <c r="T470" s="1"/>
      <c r="U470" s="1"/>
      <c r="V470" s="1"/>
      <c r="W470" s="1"/>
      <c r="X470" s="1"/>
      <c r="Y470" s="1"/>
    </row>
    <row r="471" spans="1:25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9"/>
      <c r="T471" s="1"/>
      <c r="U471" s="1"/>
      <c r="V471" s="1"/>
      <c r="W471" s="1"/>
      <c r="X471" s="1"/>
      <c r="Y471" s="1"/>
    </row>
    <row r="472" spans="1:25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9"/>
      <c r="T472" s="1"/>
      <c r="U472" s="1"/>
      <c r="V472" s="1"/>
      <c r="W472" s="1"/>
      <c r="X472" s="1"/>
      <c r="Y472" s="1"/>
    </row>
    <row r="473" spans="1:25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9"/>
      <c r="T473" s="1"/>
      <c r="U473" s="1"/>
      <c r="V473" s="1"/>
      <c r="W473" s="1"/>
      <c r="X473" s="1"/>
      <c r="Y473" s="1"/>
    </row>
    <row r="474" spans="1:25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9"/>
      <c r="T474" s="1"/>
      <c r="U474" s="1"/>
      <c r="V474" s="1"/>
      <c r="W474" s="1"/>
      <c r="X474" s="1"/>
      <c r="Y474" s="1"/>
    </row>
    <row r="475" spans="1:2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9"/>
      <c r="T475" s="1"/>
      <c r="U475" s="1"/>
      <c r="V475" s="1"/>
      <c r="W475" s="1"/>
      <c r="X475" s="1"/>
      <c r="Y475" s="1"/>
    </row>
    <row r="476" spans="1:25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9"/>
      <c r="T476" s="1"/>
      <c r="U476" s="1"/>
      <c r="V476" s="1"/>
      <c r="W476" s="1"/>
      <c r="X476" s="1"/>
      <c r="Y476" s="1"/>
    </row>
    <row r="477" spans="1:25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9"/>
      <c r="T477" s="1"/>
      <c r="U477" s="1"/>
      <c r="V477" s="1"/>
      <c r="W477" s="1"/>
      <c r="X477" s="1"/>
      <c r="Y477" s="1"/>
    </row>
    <row r="478" spans="1:25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9"/>
      <c r="T478" s="1"/>
      <c r="U478" s="1"/>
      <c r="V478" s="1"/>
      <c r="W478" s="1"/>
      <c r="X478" s="1"/>
      <c r="Y478" s="1"/>
    </row>
    <row r="479" spans="1:25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9"/>
      <c r="T479" s="1"/>
      <c r="U479" s="1"/>
      <c r="V479" s="1"/>
      <c r="W479" s="1"/>
      <c r="X479" s="1"/>
      <c r="Y479" s="1"/>
    </row>
    <row r="480" spans="1:25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9"/>
      <c r="T480" s="1"/>
      <c r="U480" s="1"/>
      <c r="V480" s="1"/>
      <c r="W480" s="1"/>
      <c r="X480" s="1"/>
      <c r="Y480" s="1"/>
    </row>
    <row r="481" spans="1:25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9"/>
      <c r="T481" s="1"/>
      <c r="U481" s="1"/>
      <c r="V481" s="1"/>
      <c r="W481" s="1"/>
      <c r="X481" s="1"/>
      <c r="Y481" s="1"/>
    </row>
    <row r="482" spans="1:25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9"/>
      <c r="T482" s="1"/>
      <c r="U482" s="1"/>
      <c r="V482" s="1"/>
      <c r="W482" s="1"/>
      <c r="X482" s="1"/>
      <c r="Y482" s="1"/>
    </row>
    <row r="483" spans="1:25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9"/>
      <c r="T483" s="1"/>
      <c r="U483" s="1"/>
      <c r="V483" s="1"/>
      <c r="W483" s="1"/>
      <c r="X483" s="1"/>
      <c r="Y483" s="1"/>
    </row>
    <row r="484" spans="1:25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9"/>
      <c r="T484" s="1"/>
      <c r="U484" s="1"/>
      <c r="V484" s="1"/>
      <c r="W484" s="1"/>
      <c r="X484" s="1"/>
      <c r="Y484" s="1"/>
    </row>
    <row r="485" spans="1:2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9"/>
      <c r="T485" s="1"/>
      <c r="U485" s="1"/>
      <c r="V485" s="1"/>
      <c r="W485" s="1"/>
      <c r="X485" s="1"/>
      <c r="Y485" s="1"/>
    </row>
    <row r="486" spans="1:25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9"/>
      <c r="T486" s="1"/>
      <c r="U486" s="1"/>
      <c r="V486" s="1"/>
      <c r="W486" s="1"/>
      <c r="X486" s="1"/>
      <c r="Y486" s="1"/>
    </row>
    <row r="487" spans="1:25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9"/>
      <c r="T487" s="1"/>
      <c r="U487" s="1"/>
      <c r="V487" s="1"/>
      <c r="W487" s="1"/>
      <c r="X487" s="1"/>
      <c r="Y487" s="1"/>
    </row>
    <row r="488" spans="1:25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9"/>
      <c r="T488" s="1"/>
      <c r="U488" s="1"/>
      <c r="V488" s="1"/>
      <c r="W488" s="1"/>
      <c r="X488" s="1"/>
      <c r="Y488" s="1"/>
    </row>
    <row r="489" spans="1:25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9"/>
      <c r="T489" s="1"/>
      <c r="U489" s="1"/>
      <c r="V489" s="1"/>
      <c r="W489" s="1"/>
      <c r="X489" s="1"/>
      <c r="Y489" s="1"/>
    </row>
    <row r="490" spans="1:25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9"/>
      <c r="T490" s="1"/>
      <c r="U490" s="1"/>
      <c r="V490" s="1"/>
      <c r="W490" s="1"/>
      <c r="X490" s="1"/>
      <c r="Y490" s="1"/>
    </row>
    <row r="491" spans="1:25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9"/>
      <c r="T491" s="1"/>
      <c r="U491" s="1"/>
      <c r="V491" s="1"/>
      <c r="W491" s="1"/>
      <c r="X491" s="1"/>
      <c r="Y491" s="1"/>
    </row>
    <row r="492" spans="1:25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9"/>
      <c r="T492" s="1"/>
      <c r="U492" s="1"/>
      <c r="V492" s="1"/>
      <c r="W492" s="1"/>
      <c r="X492" s="1"/>
      <c r="Y492" s="1"/>
    </row>
    <row r="493" spans="1:25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9"/>
      <c r="T493" s="1"/>
      <c r="U493" s="1"/>
      <c r="V493" s="1"/>
      <c r="W493" s="1"/>
      <c r="X493" s="1"/>
      <c r="Y493" s="1"/>
    </row>
    <row r="494" spans="1:25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9"/>
      <c r="T494" s="1"/>
      <c r="U494" s="1"/>
      <c r="V494" s="1"/>
      <c r="W494" s="1"/>
      <c r="X494" s="1"/>
      <c r="Y494" s="1"/>
    </row>
    <row r="495" spans="1:2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9"/>
      <c r="T495" s="1"/>
      <c r="U495" s="1"/>
      <c r="V495" s="1"/>
      <c r="W495" s="1"/>
      <c r="X495" s="1"/>
      <c r="Y495" s="1"/>
    </row>
    <row r="496" spans="1:25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9"/>
      <c r="T496" s="1"/>
      <c r="U496" s="1"/>
      <c r="V496" s="1"/>
      <c r="W496" s="1"/>
      <c r="X496" s="1"/>
      <c r="Y496" s="1"/>
    </row>
    <row r="497" spans="1:25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9"/>
      <c r="T497" s="1"/>
      <c r="U497" s="1"/>
      <c r="V497" s="1"/>
      <c r="W497" s="1"/>
      <c r="X497" s="1"/>
      <c r="Y497" s="1"/>
    </row>
    <row r="498" spans="1:25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9"/>
      <c r="T498" s="1"/>
      <c r="U498" s="1"/>
      <c r="V498" s="1"/>
      <c r="W498" s="1"/>
      <c r="X498" s="1"/>
      <c r="Y498" s="1"/>
    </row>
    <row r="499" spans="1:25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9"/>
      <c r="T499" s="1"/>
      <c r="U499" s="1"/>
      <c r="V499" s="1"/>
      <c r="W499" s="1"/>
      <c r="X499" s="1"/>
      <c r="Y499" s="1"/>
    </row>
    <row r="500" spans="1:25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9"/>
      <c r="T500" s="1"/>
      <c r="U500" s="1"/>
      <c r="V500" s="1"/>
      <c r="W500" s="1"/>
      <c r="X500" s="1"/>
      <c r="Y500" s="1"/>
    </row>
    <row r="501" spans="1:25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9"/>
      <c r="T501" s="1"/>
      <c r="U501" s="1"/>
      <c r="V501" s="1"/>
      <c r="W501" s="1"/>
      <c r="X501" s="1"/>
      <c r="Y501" s="1"/>
    </row>
    <row r="502" spans="1:25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29"/>
      <c r="T502" s="1"/>
      <c r="U502" s="1"/>
      <c r="V502" s="1"/>
      <c r="W502" s="1"/>
      <c r="X502" s="1"/>
      <c r="Y502" s="1"/>
    </row>
    <row r="503" spans="1:25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29"/>
      <c r="T503" s="1"/>
      <c r="U503" s="1"/>
      <c r="V503" s="1"/>
      <c r="W503" s="1"/>
      <c r="X503" s="1"/>
      <c r="Y503" s="1"/>
    </row>
    <row r="504" spans="1:25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29"/>
      <c r="T504" s="1"/>
      <c r="U504" s="1"/>
      <c r="V504" s="1"/>
      <c r="W504" s="1"/>
      <c r="X504" s="1"/>
      <c r="Y504" s="1"/>
    </row>
    <row r="505" spans="1:2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29"/>
      <c r="T505" s="1"/>
      <c r="U505" s="1"/>
      <c r="V505" s="1"/>
      <c r="W505" s="1"/>
      <c r="X505" s="1"/>
      <c r="Y505" s="1"/>
    </row>
    <row r="506" spans="1:25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29"/>
      <c r="T506" s="1"/>
      <c r="U506" s="1"/>
      <c r="V506" s="1"/>
      <c r="W506" s="1"/>
      <c r="X506" s="1"/>
      <c r="Y506" s="1"/>
    </row>
    <row r="507" spans="1:25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29"/>
      <c r="T507" s="1"/>
      <c r="U507" s="1"/>
      <c r="V507" s="1"/>
      <c r="W507" s="1"/>
      <c r="X507" s="1"/>
      <c r="Y507" s="1"/>
    </row>
    <row r="508" spans="1:25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9"/>
      <c r="T508" s="1"/>
      <c r="U508" s="1"/>
      <c r="V508" s="1"/>
      <c r="W508" s="1"/>
      <c r="X508" s="1"/>
      <c r="Y508" s="1"/>
    </row>
    <row r="509" spans="1:25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29"/>
      <c r="T509" s="1"/>
      <c r="U509" s="1"/>
      <c r="V509" s="1"/>
      <c r="W509" s="1"/>
      <c r="X509" s="1"/>
      <c r="Y509" s="1"/>
    </row>
    <row r="510" spans="1:25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29"/>
      <c r="T510" s="1"/>
      <c r="U510" s="1"/>
      <c r="V510" s="1"/>
      <c r="W510" s="1"/>
      <c r="X510" s="1"/>
      <c r="Y510" s="1"/>
    </row>
    <row r="511" spans="1:25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29"/>
      <c r="T511" s="1"/>
      <c r="U511" s="1"/>
      <c r="V511" s="1"/>
      <c r="W511" s="1"/>
      <c r="X511" s="1"/>
      <c r="Y511" s="1"/>
    </row>
    <row r="512" spans="1:25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29"/>
      <c r="T512" s="1"/>
      <c r="U512" s="1"/>
      <c r="V512" s="1"/>
      <c r="W512" s="1"/>
      <c r="X512" s="1"/>
      <c r="Y512" s="1"/>
    </row>
    <row r="513" spans="1:25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29"/>
      <c r="T513" s="1"/>
      <c r="U513" s="1"/>
      <c r="V513" s="1"/>
      <c r="W513" s="1"/>
      <c r="X513" s="1"/>
      <c r="Y513" s="1"/>
    </row>
    <row r="514" spans="1:25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29"/>
      <c r="T514" s="1"/>
      <c r="U514" s="1"/>
      <c r="V514" s="1"/>
      <c r="W514" s="1"/>
      <c r="X514" s="1"/>
      <c r="Y514" s="1"/>
    </row>
    <row r="515" spans="1:2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29"/>
      <c r="T515" s="1"/>
      <c r="U515" s="1"/>
      <c r="V515" s="1"/>
      <c r="W515" s="1"/>
      <c r="X515" s="1"/>
      <c r="Y515" s="1"/>
    </row>
    <row r="516" spans="1:25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29"/>
      <c r="T516" s="1"/>
      <c r="U516" s="1"/>
      <c r="V516" s="1"/>
      <c r="W516" s="1"/>
      <c r="X516" s="1"/>
      <c r="Y516" s="1"/>
    </row>
    <row r="517" spans="1:25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9"/>
      <c r="T517" s="1"/>
      <c r="U517" s="1"/>
      <c r="V517" s="1"/>
      <c r="W517" s="1"/>
      <c r="X517" s="1"/>
      <c r="Y517" s="1"/>
    </row>
    <row r="518" spans="1:25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29"/>
      <c r="T518" s="1"/>
      <c r="U518" s="1"/>
      <c r="V518" s="1"/>
      <c r="W518" s="1"/>
      <c r="X518" s="1"/>
      <c r="Y518" s="1"/>
    </row>
    <row r="519" spans="1:25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29"/>
      <c r="T519" s="1"/>
      <c r="U519" s="1"/>
      <c r="V519" s="1"/>
      <c r="W519" s="1"/>
      <c r="X519" s="1"/>
      <c r="Y519" s="1"/>
    </row>
    <row r="520" spans="1:25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29"/>
      <c r="T520" s="1"/>
      <c r="U520" s="1"/>
      <c r="V520" s="1"/>
      <c r="W520" s="1"/>
      <c r="X520" s="1"/>
      <c r="Y520" s="1"/>
    </row>
    <row r="521" spans="1:25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9"/>
      <c r="T521" s="1"/>
      <c r="U521" s="1"/>
      <c r="V521" s="1"/>
      <c r="W521" s="1"/>
      <c r="X521" s="1"/>
      <c r="Y521" s="1"/>
    </row>
    <row r="522" spans="1:25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29"/>
      <c r="T522" s="1"/>
      <c r="U522" s="1"/>
      <c r="V522" s="1"/>
      <c r="W522" s="1"/>
      <c r="X522" s="1"/>
      <c r="Y522" s="1"/>
    </row>
    <row r="523" spans="1:25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29"/>
      <c r="T523" s="1"/>
      <c r="U523" s="1"/>
      <c r="V523" s="1"/>
      <c r="W523" s="1"/>
      <c r="X523" s="1"/>
      <c r="Y523" s="1"/>
    </row>
    <row r="524" spans="1:25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29"/>
      <c r="T524" s="1"/>
      <c r="U524" s="1"/>
      <c r="V524" s="1"/>
      <c r="W524" s="1"/>
      <c r="X524" s="1"/>
      <c r="Y524" s="1"/>
    </row>
    <row r="525" spans="1: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29"/>
      <c r="T525" s="1"/>
      <c r="U525" s="1"/>
      <c r="V525" s="1"/>
      <c r="W525" s="1"/>
      <c r="X525" s="1"/>
      <c r="Y525" s="1"/>
    </row>
    <row r="526" spans="1:25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29"/>
      <c r="T526" s="1"/>
      <c r="U526" s="1"/>
      <c r="V526" s="1"/>
      <c r="W526" s="1"/>
      <c r="X526" s="1"/>
      <c r="Y526" s="1"/>
    </row>
    <row r="527" spans="1:25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29"/>
      <c r="T527" s="1"/>
      <c r="U527" s="1"/>
      <c r="V527" s="1"/>
      <c r="W527" s="1"/>
      <c r="X527" s="1"/>
      <c r="Y527" s="1"/>
    </row>
    <row r="528" spans="1:25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29"/>
      <c r="T528" s="1"/>
      <c r="U528" s="1"/>
      <c r="V528" s="1"/>
      <c r="W528" s="1"/>
      <c r="X528" s="1"/>
      <c r="Y528" s="1"/>
    </row>
    <row r="529" spans="1:25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29"/>
      <c r="T529" s="1"/>
      <c r="U529" s="1"/>
      <c r="V529" s="1"/>
      <c r="W529" s="1"/>
      <c r="X529" s="1"/>
      <c r="Y529" s="1"/>
    </row>
    <row r="530" spans="1:25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29"/>
      <c r="T530" s="1"/>
      <c r="U530" s="1"/>
      <c r="V530" s="1"/>
      <c r="W530" s="1"/>
      <c r="X530" s="1"/>
      <c r="Y530" s="1"/>
    </row>
    <row r="531" spans="1:25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29"/>
      <c r="T531" s="1"/>
      <c r="U531" s="1"/>
      <c r="V531" s="1"/>
      <c r="W531" s="1"/>
      <c r="X531" s="1"/>
      <c r="Y531" s="1"/>
    </row>
    <row r="532" spans="1:25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29"/>
      <c r="T532" s="1"/>
      <c r="U532" s="1"/>
      <c r="V532" s="1"/>
      <c r="W532" s="1"/>
      <c r="X532" s="1"/>
      <c r="Y532" s="1"/>
    </row>
    <row r="533" spans="1:25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29"/>
      <c r="T533" s="1"/>
      <c r="U533" s="1"/>
      <c r="V533" s="1"/>
      <c r="W533" s="1"/>
      <c r="X533" s="1"/>
      <c r="Y533" s="1"/>
    </row>
    <row r="534" spans="1:25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29"/>
      <c r="T534" s="1"/>
      <c r="U534" s="1"/>
      <c r="V534" s="1"/>
      <c r="W534" s="1"/>
      <c r="X534" s="1"/>
      <c r="Y534" s="1"/>
    </row>
    <row r="535" spans="1:2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29"/>
      <c r="T535" s="1"/>
      <c r="U535" s="1"/>
      <c r="V535" s="1"/>
      <c r="W535" s="1"/>
      <c r="X535" s="1"/>
      <c r="Y535" s="1"/>
    </row>
    <row r="536" spans="1:25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9"/>
      <c r="T536" s="1"/>
      <c r="U536" s="1"/>
      <c r="V536" s="1"/>
      <c r="W536" s="1"/>
      <c r="X536" s="1"/>
      <c r="Y536" s="1"/>
    </row>
    <row r="537" spans="1:25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29"/>
      <c r="T537" s="1"/>
      <c r="U537" s="1"/>
      <c r="V537" s="1"/>
      <c r="W537" s="1"/>
      <c r="X537" s="1"/>
      <c r="Y537" s="1"/>
    </row>
    <row r="538" spans="1:25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29"/>
      <c r="T538" s="1"/>
      <c r="U538" s="1"/>
      <c r="V538" s="1"/>
      <c r="W538" s="1"/>
      <c r="X538" s="1"/>
      <c r="Y538" s="1"/>
    </row>
    <row r="539" spans="1:25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29"/>
      <c r="T539" s="1"/>
      <c r="U539" s="1"/>
      <c r="V539" s="1"/>
      <c r="W539" s="1"/>
      <c r="X539" s="1"/>
      <c r="Y539" s="1"/>
    </row>
    <row r="540" spans="1:25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29"/>
      <c r="T540" s="1"/>
      <c r="U540" s="1"/>
      <c r="V540" s="1"/>
      <c r="W540" s="1"/>
      <c r="X540" s="1"/>
      <c r="Y540" s="1"/>
    </row>
    <row r="541" spans="1:25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29"/>
      <c r="T541" s="1"/>
      <c r="U541" s="1"/>
      <c r="V541" s="1"/>
      <c r="W541" s="1"/>
      <c r="X541" s="1"/>
      <c r="Y541" s="1"/>
    </row>
    <row r="542" spans="1:25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29"/>
      <c r="T542" s="1"/>
      <c r="U542" s="1"/>
      <c r="V542" s="1"/>
      <c r="W542" s="1"/>
      <c r="X542" s="1"/>
      <c r="Y542" s="1"/>
    </row>
    <row r="543" spans="1:25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29"/>
      <c r="T543" s="1"/>
      <c r="U543" s="1"/>
      <c r="V543" s="1"/>
      <c r="W543" s="1"/>
      <c r="X543" s="1"/>
      <c r="Y543" s="1"/>
    </row>
    <row r="544" spans="1:25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9"/>
      <c r="T544" s="1"/>
      <c r="U544" s="1"/>
      <c r="V544" s="1"/>
      <c r="W544" s="1"/>
      <c r="X544" s="1"/>
      <c r="Y544" s="1"/>
    </row>
    <row r="545" spans="1:2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29"/>
      <c r="T545" s="1"/>
      <c r="U545" s="1"/>
      <c r="V545" s="1"/>
      <c r="W545" s="1"/>
      <c r="X545" s="1"/>
      <c r="Y545" s="1"/>
    </row>
    <row r="546" spans="1:25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29"/>
      <c r="T546" s="1"/>
      <c r="U546" s="1"/>
      <c r="V546" s="1"/>
      <c r="W546" s="1"/>
      <c r="X546" s="1"/>
      <c r="Y546" s="1"/>
    </row>
    <row r="547" spans="1:25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29"/>
      <c r="T547" s="1"/>
      <c r="U547" s="1"/>
      <c r="V547" s="1"/>
      <c r="W547" s="1"/>
      <c r="X547" s="1"/>
      <c r="Y547" s="1"/>
    </row>
    <row r="548" spans="1:25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29"/>
      <c r="T548" s="1"/>
      <c r="U548" s="1"/>
      <c r="V548" s="1"/>
      <c r="W548" s="1"/>
      <c r="X548" s="1"/>
      <c r="Y548" s="1"/>
    </row>
    <row r="549" spans="1:25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29"/>
      <c r="T549" s="1"/>
      <c r="U549" s="1"/>
      <c r="V549" s="1"/>
      <c r="W549" s="1"/>
      <c r="X549" s="1"/>
      <c r="Y549" s="1"/>
    </row>
    <row r="550" spans="1:25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29"/>
      <c r="T550" s="1"/>
      <c r="U550" s="1"/>
      <c r="V550" s="1"/>
      <c r="W550" s="1"/>
      <c r="X550" s="1"/>
      <c r="Y550" s="1"/>
    </row>
    <row r="551" spans="1:25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29"/>
      <c r="T551" s="1"/>
      <c r="U551" s="1"/>
      <c r="V551" s="1"/>
      <c r="W551" s="1"/>
      <c r="X551" s="1"/>
      <c r="Y551" s="1"/>
    </row>
    <row r="552" spans="1:25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29"/>
      <c r="T552" s="1"/>
      <c r="U552" s="1"/>
      <c r="V552" s="1"/>
      <c r="W552" s="1"/>
      <c r="X552" s="1"/>
      <c r="Y552" s="1"/>
    </row>
    <row r="553" spans="1:25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29"/>
      <c r="T553" s="1"/>
      <c r="U553" s="1"/>
      <c r="V553" s="1"/>
      <c r="W553" s="1"/>
      <c r="X553" s="1"/>
      <c r="Y553" s="1"/>
    </row>
    <row r="554" spans="1:25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29"/>
      <c r="T554" s="1"/>
      <c r="U554" s="1"/>
      <c r="V554" s="1"/>
      <c r="W554" s="1"/>
      <c r="X554" s="1"/>
      <c r="Y554" s="1"/>
    </row>
    <row r="555" spans="1:2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29"/>
      <c r="T555" s="1"/>
      <c r="U555" s="1"/>
      <c r="V555" s="1"/>
      <c r="W555" s="1"/>
      <c r="X555" s="1"/>
      <c r="Y555" s="1"/>
    </row>
    <row r="556" spans="1:25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29"/>
      <c r="T556" s="1"/>
      <c r="U556" s="1"/>
      <c r="V556" s="1"/>
      <c r="W556" s="1"/>
      <c r="X556" s="1"/>
      <c r="Y556" s="1"/>
    </row>
    <row r="557" spans="1:25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29"/>
      <c r="T557" s="1"/>
      <c r="U557" s="1"/>
      <c r="V557" s="1"/>
      <c r="W557" s="1"/>
      <c r="X557" s="1"/>
      <c r="Y557" s="1"/>
    </row>
    <row r="558" spans="1:25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29"/>
      <c r="T558" s="1"/>
      <c r="U558" s="1"/>
      <c r="V558" s="1"/>
      <c r="W558" s="1"/>
      <c r="X558" s="1"/>
      <c r="Y558" s="1"/>
    </row>
    <row r="559" spans="1:25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29"/>
      <c r="T559" s="1"/>
      <c r="U559" s="1"/>
      <c r="V559" s="1"/>
      <c r="W559" s="1"/>
      <c r="X559" s="1"/>
      <c r="Y559" s="1"/>
    </row>
    <row r="560" spans="1:25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29"/>
      <c r="T560" s="1"/>
      <c r="U560" s="1"/>
      <c r="V560" s="1"/>
      <c r="W560" s="1"/>
      <c r="X560" s="1"/>
      <c r="Y560" s="1"/>
    </row>
    <row r="561" spans="1:25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29"/>
      <c r="T561" s="1"/>
      <c r="U561" s="1"/>
      <c r="V561" s="1"/>
      <c r="W561" s="1"/>
      <c r="X561" s="1"/>
      <c r="Y561" s="1"/>
    </row>
    <row r="562" spans="1:25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29"/>
      <c r="T562" s="1"/>
      <c r="U562" s="1"/>
      <c r="V562" s="1"/>
      <c r="W562" s="1"/>
      <c r="X562" s="1"/>
      <c r="Y562" s="1"/>
    </row>
    <row r="563" spans="1:25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29"/>
      <c r="T563" s="1"/>
      <c r="U563" s="1"/>
      <c r="V563" s="1"/>
      <c r="W563" s="1"/>
      <c r="X563" s="1"/>
      <c r="Y563" s="1"/>
    </row>
    <row r="564" spans="1:25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29"/>
      <c r="T564" s="1"/>
      <c r="U564" s="1"/>
      <c r="V564" s="1"/>
      <c r="W564" s="1"/>
      <c r="X564" s="1"/>
      <c r="Y564" s="1"/>
    </row>
    <row r="565" spans="1:2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29"/>
      <c r="T565" s="1"/>
      <c r="U565" s="1"/>
      <c r="V565" s="1"/>
      <c r="W565" s="1"/>
      <c r="X565" s="1"/>
      <c r="Y565" s="1"/>
    </row>
    <row r="566" spans="1:25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29"/>
      <c r="T566" s="1"/>
      <c r="U566" s="1"/>
      <c r="V566" s="1"/>
      <c r="W566" s="1"/>
      <c r="X566" s="1"/>
      <c r="Y566" s="1"/>
    </row>
    <row r="567" spans="1:25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29"/>
      <c r="T567" s="1"/>
      <c r="U567" s="1"/>
      <c r="V567" s="1"/>
      <c r="W567" s="1"/>
      <c r="X567" s="1"/>
      <c r="Y567" s="1"/>
    </row>
    <row r="568" spans="1:25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29"/>
      <c r="T568" s="1"/>
      <c r="U568" s="1"/>
      <c r="V568" s="1"/>
      <c r="W568" s="1"/>
      <c r="X568" s="1"/>
      <c r="Y568" s="1"/>
    </row>
    <row r="569" spans="1:25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29"/>
      <c r="T569" s="1"/>
      <c r="U569" s="1"/>
      <c r="V569" s="1"/>
      <c r="W569" s="1"/>
      <c r="X569" s="1"/>
      <c r="Y569" s="1"/>
    </row>
    <row r="570" spans="1:25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29"/>
      <c r="T570" s="1"/>
      <c r="U570" s="1"/>
      <c r="V570" s="1"/>
      <c r="W570" s="1"/>
      <c r="X570" s="1"/>
      <c r="Y570" s="1"/>
    </row>
    <row r="571" spans="1:25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29"/>
      <c r="T571" s="1"/>
      <c r="U571" s="1"/>
      <c r="V571" s="1"/>
      <c r="W571" s="1"/>
      <c r="X571" s="1"/>
      <c r="Y571" s="1"/>
    </row>
    <row r="572" spans="1:25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29"/>
      <c r="T572" s="1"/>
      <c r="U572" s="1"/>
      <c r="V572" s="1"/>
      <c r="W572" s="1"/>
      <c r="X572" s="1"/>
      <c r="Y572" s="1"/>
    </row>
    <row r="573" spans="1:25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29"/>
      <c r="T573" s="1"/>
      <c r="U573" s="1"/>
      <c r="V573" s="1"/>
      <c r="W573" s="1"/>
      <c r="X573" s="1"/>
      <c r="Y573" s="1"/>
    </row>
    <row r="574" spans="1:25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29"/>
      <c r="T574" s="1"/>
      <c r="U574" s="1"/>
      <c r="V574" s="1"/>
      <c r="W574" s="1"/>
      <c r="X574" s="1"/>
      <c r="Y574" s="1"/>
    </row>
    <row r="575" spans="1:2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29"/>
      <c r="T575" s="1"/>
      <c r="U575" s="1"/>
      <c r="V575" s="1"/>
      <c r="W575" s="1"/>
      <c r="X575" s="1"/>
      <c r="Y575" s="1"/>
    </row>
    <row r="576" spans="1:25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29"/>
      <c r="T576" s="1"/>
      <c r="U576" s="1"/>
      <c r="V576" s="1"/>
      <c r="W576" s="1"/>
      <c r="X576" s="1"/>
      <c r="Y576" s="1"/>
    </row>
    <row r="577" spans="1:25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29"/>
      <c r="T577" s="1"/>
      <c r="U577" s="1"/>
      <c r="V577" s="1"/>
      <c r="W577" s="1"/>
      <c r="X577" s="1"/>
      <c r="Y577" s="1"/>
    </row>
    <row r="578" spans="1:25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29"/>
      <c r="T578" s="1"/>
      <c r="U578" s="1"/>
      <c r="V578" s="1"/>
      <c r="W578" s="1"/>
      <c r="X578" s="1"/>
      <c r="Y578" s="1"/>
    </row>
    <row r="579" spans="1:25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29"/>
      <c r="T579" s="1"/>
      <c r="U579" s="1"/>
      <c r="V579" s="1"/>
      <c r="W579" s="1"/>
      <c r="X579" s="1"/>
      <c r="Y579" s="1"/>
    </row>
    <row r="580" spans="1:25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29"/>
      <c r="T580" s="1"/>
      <c r="U580" s="1"/>
      <c r="V580" s="1"/>
      <c r="W580" s="1"/>
      <c r="X580" s="1"/>
      <c r="Y580" s="1"/>
    </row>
    <row r="581" spans="1:25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29"/>
      <c r="T581" s="1"/>
      <c r="U581" s="1"/>
      <c r="V581" s="1"/>
      <c r="W581" s="1"/>
      <c r="X581" s="1"/>
      <c r="Y581" s="1"/>
    </row>
    <row r="582" spans="1:25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29"/>
      <c r="T582" s="1"/>
      <c r="U582" s="1"/>
      <c r="V582" s="1"/>
      <c r="W582" s="1"/>
      <c r="X582" s="1"/>
      <c r="Y582" s="1"/>
    </row>
    <row r="583" spans="1:25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29"/>
      <c r="T583" s="1"/>
      <c r="U583" s="1"/>
      <c r="V583" s="1"/>
      <c r="W583" s="1"/>
      <c r="X583" s="1"/>
      <c r="Y583" s="1"/>
    </row>
    <row r="584" spans="1:25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9"/>
      <c r="T584" s="1"/>
      <c r="U584" s="1"/>
      <c r="V584" s="1"/>
      <c r="W584" s="1"/>
      <c r="X584" s="1"/>
      <c r="Y584" s="1"/>
    </row>
    <row r="585" spans="1:2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29"/>
      <c r="T585" s="1"/>
      <c r="U585" s="1"/>
      <c r="V585" s="1"/>
      <c r="W585" s="1"/>
      <c r="X585" s="1"/>
      <c r="Y585" s="1"/>
    </row>
    <row r="586" spans="1:25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29"/>
      <c r="T586" s="1"/>
      <c r="U586" s="1"/>
      <c r="V586" s="1"/>
      <c r="W586" s="1"/>
      <c r="X586" s="1"/>
      <c r="Y586" s="1"/>
    </row>
    <row r="587" spans="1:25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29"/>
      <c r="T587" s="1"/>
      <c r="U587" s="1"/>
      <c r="V587" s="1"/>
      <c r="W587" s="1"/>
      <c r="X587" s="1"/>
      <c r="Y587" s="1"/>
    </row>
    <row r="588" spans="1:25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29"/>
      <c r="T588" s="1"/>
      <c r="U588" s="1"/>
      <c r="V588" s="1"/>
      <c r="W588" s="1"/>
      <c r="X588" s="1"/>
      <c r="Y588" s="1"/>
    </row>
    <row r="589" spans="1:25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29"/>
      <c r="T589" s="1"/>
      <c r="U589" s="1"/>
      <c r="V589" s="1"/>
      <c r="W589" s="1"/>
      <c r="X589" s="1"/>
      <c r="Y589" s="1"/>
    </row>
    <row r="590" spans="1:25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29"/>
      <c r="T590" s="1"/>
      <c r="U590" s="1"/>
      <c r="V590" s="1"/>
      <c r="W590" s="1"/>
      <c r="X590" s="1"/>
      <c r="Y590" s="1"/>
    </row>
    <row r="591" spans="1:25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29"/>
      <c r="T591" s="1"/>
      <c r="U591" s="1"/>
      <c r="V591" s="1"/>
      <c r="W591" s="1"/>
      <c r="X591" s="1"/>
      <c r="Y591" s="1"/>
    </row>
    <row r="592" spans="1:25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29"/>
      <c r="T592" s="1"/>
      <c r="U592" s="1"/>
      <c r="V592" s="1"/>
      <c r="W592" s="1"/>
      <c r="X592" s="1"/>
      <c r="Y592" s="1"/>
    </row>
    <row r="593" spans="1:25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29"/>
      <c r="T593" s="1"/>
      <c r="U593" s="1"/>
      <c r="V593" s="1"/>
      <c r="W593" s="1"/>
      <c r="X593" s="1"/>
      <c r="Y593" s="1"/>
    </row>
    <row r="594" spans="1:25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29"/>
      <c r="T594" s="1"/>
      <c r="U594" s="1"/>
      <c r="V594" s="1"/>
      <c r="W594" s="1"/>
      <c r="X594" s="1"/>
      <c r="Y594" s="1"/>
    </row>
    <row r="595" spans="1:2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29"/>
      <c r="T595" s="1"/>
      <c r="U595" s="1"/>
      <c r="V595" s="1"/>
      <c r="W595" s="1"/>
      <c r="X595" s="1"/>
      <c r="Y595" s="1"/>
    </row>
    <row r="596" spans="1:25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29"/>
      <c r="T596" s="1"/>
      <c r="U596" s="1"/>
      <c r="V596" s="1"/>
      <c r="W596" s="1"/>
      <c r="X596" s="1"/>
      <c r="Y596" s="1"/>
    </row>
    <row r="597" spans="1:25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29"/>
      <c r="T597" s="1"/>
      <c r="U597" s="1"/>
      <c r="V597" s="1"/>
      <c r="W597" s="1"/>
      <c r="X597" s="1"/>
      <c r="Y597" s="1"/>
    </row>
    <row r="598" spans="1:25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29"/>
      <c r="T598" s="1"/>
      <c r="U598" s="1"/>
      <c r="V598" s="1"/>
      <c r="W598" s="1"/>
      <c r="X598" s="1"/>
      <c r="Y598" s="1"/>
    </row>
    <row r="599" spans="1:25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29"/>
      <c r="T599" s="1"/>
      <c r="U599" s="1"/>
      <c r="V599" s="1"/>
      <c r="W599" s="1"/>
      <c r="X599" s="1"/>
      <c r="Y599" s="1"/>
    </row>
    <row r="600" spans="1:25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29"/>
      <c r="T600" s="1"/>
      <c r="U600" s="1"/>
      <c r="V600" s="1"/>
      <c r="W600" s="1"/>
      <c r="X600" s="1"/>
      <c r="Y600" s="1"/>
    </row>
    <row r="601" spans="1:25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29"/>
      <c r="T601" s="1"/>
      <c r="U601" s="1"/>
      <c r="V601" s="1"/>
      <c r="W601" s="1"/>
      <c r="X601" s="1"/>
      <c r="Y601" s="1"/>
    </row>
    <row r="602" spans="1:25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29"/>
      <c r="T602" s="1"/>
      <c r="U602" s="1"/>
      <c r="V602" s="1"/>
      <c r="W602" s="1"/>
      <c r="X602" s="1"/>
      <c r="Y602" s="1"/>
    </row>
    <row r="603" spans="1:25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29"/>
      <c r="T603" s="1"/>
      <c r="U603" s="1"/>
      <c r="V603" s="1"/>
      <c r="W603" s="1"/>
      <c r="X603" s="1"/>
      <c r="Y603" s="1"/>
    </row>
    <row r="604" spans="1:25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29"/>
      <c r="T604" s="1"/>
      <c r="U604" s="1"/>
      <c r="V604" s="1"/>
      <c r="W604" s="1"/>
      <c r="X604" s="1"/>
      <c r="Y604" s="1"/>
    </row>
    <row r="605" spans="1:2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29"/>
      <c r="T605" s="1"/>
      <c r="U605" s="1"/>
      <c r="V605" s="1"/>
      <c r="W605" s="1"/>
      <c r="X605" s="1"/>
      <c r="Y605" s="1"/>
    </row>
    <row r="606" spans="1:25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29"/>
      <c r="T606" s="1"/>
      <c r="U606" s="1"/>
      <c r="V606" s="1"/>
      <c r="W606" s="1"/>
      <c r="X606" s="1"/>
      <c r="Y606" s="1"/>
    </row>
    <row r="607" spans="1:25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29"/>
      <c r="T607" s="1"/>
      <c r="U607" s="1"/>
      <c r="V607" s="1"/>
      <c r="W607" s="1"/>
      <c r="X607" s="1"/>
      <c r="Y607" s="1"/>
    </row>
    <row r="608" spans="1:25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29"/>
      <c r="T608" s="1"/>
      <c r="U608" s="1"/>
      <c r="V608" s="1"/>
      <c r="W608" s="1"/>
      <c r="X608" s="1"/>
      <c r="Y608" s="1"/>
    </row>
    <row r="609" spans="1:25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29"/>
      <c r="T609" s="1"/>
      <c r="U609" s="1"/>
      <c r="V609" s="1"/>
      <c r="W609" s="1"/>
      <c r="X609" s="1"/>
      <c r="Y609" s="1"/>
    </row>
    <row r="610" spans="1:25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29"/>
      <c r="T610" s="1"/>
      <c r="U610" s="1"/>
      <c r="V610" s="1"/>
      <c r="W610" s="1"/>
      <c r="X610" s="1"/>
      <c r="Y610" s="1"/>
    </row>
    <row r="611" spans="1:25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29"/>
      <c r="T611" s="1"/>
      <c r="U611" s="1"/>
      <c r="V611" s="1"/>
      <c r="W611" s="1"/>
      <c r="X611" s="1"/>
      <c r="Y611" s="1"/>
    </row>
    <row r="612" spans="1:25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29"/>
      <c r="T612" s="1"/>
      <c r="U612" s="1"/>
      <c r="V612" s="1"/>
      <c r="W612" s="1"/>
      <c r="X612" s="1"/>
      <c r="Y612" s="1"/>
    </row>
    <row r="613" spans="1:25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29"/>
      <c r="T613" s="1"/>
      <c r="U613" s="1"/>
      <c r="V613" s="1"/>
      <c r="W613" s="1"/>
      <c r="X613" s="1"/>
      <c r="Y613" s="1"/>
    </row>
    <row r="614" spans="1:25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29"/>
      <c r="T614" s="1"/>
      <c r="U614" s="1"/>
      <c r="V614" s="1"/>
      <c r="W614" s="1"/>
      <c r="X614" s="1"/>
      <c r="Y614" s="1"/>
    </row>
    <row r="615" spans="1:2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29"/>
      <c r="T615" s="1"/>
      <c r="U615" s="1"/>
      <c r="V615" s="1"/>
      <c r="W615" s="1"/>
      <c r="X615" s="1"/>
      <c r="Y615" s="1"/>
    </row>
    <row r="616" spans="1:25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29"/>
      <c r="T616" s="1"/>
      <c r="U616" s="1"/>
      <c r="V616" s="1"/>
      <c r="W616" s="1"/>
      <c r="X616" s="1"/>
      <c r="Y616" s="1"/>
    </row>
    <row r="617" spans="1:25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29"/>
      <c r="T617" s="1"/>
      <c r="U617" s="1"/>
      <c r="V617" s="1"/>
      <c r="W617" s="1"/>
      <c r="X617" s="1"/>
      <c r="Y617" s="1"/>
    </row>
    <row r="618" spans="1:25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29"/>
      <c r="T618" s="1"/>
      <c r="U618" s="1"/>
      <c r="V618" s="1"/>
      <c r="W618" s="1"/>
      <c r="X618" s="1"/>
      <c r="Y618" s="1"/>
    </row>
    <row r="619" spans="1:25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29"/>
      <c r="T619" s="1"/>
      <c r="U619" s="1"/>
      <c r="V619" s="1"/>
      <c r="W619" s="1"/>
      <c r="X619" s="1"/>
      <c r="Y619" s="1"/>
    </row>
    <row r="620" spans="1:25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29"/>
      <c r="T620" s="1"/>
      <c r="U620" s="1"/>
      <c r="V620" s="1"/>
      <c r="W620" s="1"/>
      <c r="X620" s="1"/>
      <c r="Y620" s="1"/>
    </row>
    <row r="621" spans="1:25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29"/>
      <c r="T621" s="1"/>
      <c r="U621" s="1"/>
      <c r="V621" s="1"/>
      <c r="W621" s="1"/>
      <c r="X621" s="1"/>
      <c r="Y621" s="1"/>
    </row>
    <row r="622" spans="1:25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29"/>
      <c r="T622" s="1"/>
      <c r="U622" s="1"/>
      <c r="V622" s="1"/>
      <c r="W622" s="1"/>
      <c r="X622" s="1"/>
      <c r="Y622" s="1"/>
    </row>
    <row r="623" spans="1:25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29"/>
      <c r="T623" s="1"/>
      <c r="U623" s="1"/>
      <c r="V623" s="1"/>
      <c r="W623" s="1"/>
      <c r="X623" s="1"/>
      <c r="Y623" s="1"/>
    </row>
    <row r="624" spans="1:25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29"/>
      <c r="T624" s="1"/>
      <c r="U624" s="1"/>
      <c r="V624" s="1"/>
      <c r="W624" s="1"/>
      <c r="X624" s="1"/>
      <c r="Y624" s="1"/>
    </row>
    <row r="625" spans="1: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29"/>
      <c r="T625" s="1"/>
      <c r="U625" s="1"/>
      <c r="V625" s="1"/>
      <c r="W625" s="1"/>
      <c r="X625" s="1"/>
      <c r="Y625" s="1"/>
    </row>
    <row r="626" spans="1:25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29"/>
      <c r="T626" s="1"/>
      <c r="U626" s="1"/>
      <c r="V626" s="1"/>
      <c r="W626" s="1"/>
      <c r="X626" s="1"/>
      <c r="Y626" s="1"/>
    </row>
    <row r="627" spans="1:25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29"/>
      <c r="T627" s="1"/>
      <c r="U627" s="1"/>
      <c r="V627" s="1"/>
      <c r="W627" s="1"/>
      <c r="X627" s="1"/>
      <c r="Y627" s="1"/>
    </row>
    <row r="628" spans="1:25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29"/>
      <c r="T628" s="1"/>
      <c r="U628" s="1"/>
      <c r="V628" s="1"/>
      <c r="W628" s="1"/>
      <c r="X628" s="1"/>
      <c r="Y628" s="1"/>
    </row>
    <row r="629" spans="1:25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29"/>
      <c r="T629" s="1"/>
      <c r="U629" s="1"/>
      <c r="V629" s="1"/>
      <c r="W629" s="1"/>
      <c r="X629" s="1"/>
      <c r="Y629" s="1"/>
    </row>
    <row r="630" spans="1:25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29"/>
      <c r="T630" s="1"/>
      <c r="U630" s="1"/>
      <c r="V630" s="1"/>
      <c r="W630" s="1"/>
      <c r="X630" s="1"/>
      <c r="Y630" s="1"/>
    </row>
    <row r="631" spans="1:25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29"/>
      <c r="T631" s="1"/>
      <c r="U631" s="1"/>
      <c r="V631" s="1"/>
      <c r="W631" s="1"/>
      <c r="X631" s="1"/>
      <c r="Y631" s="1"/>
    </row>
    <row r="632" spans="1:25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29"/>
      <c r="T632" s="1"/>
      <c r="U632" s="1"/>
      <c r="V632" s="1"/>
      <c r="W632" s="1"/>
      <c r="X632" s="1"/>
      <c r="Y632" s="1"/>
    </row>
    <row r="633" spans="1:25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29"/>
      <c r="T633" s="1"/>
      <c r="U633" s="1"/>
      <c r="V633" s="1"/>
      <c r="W633" s="1"/>
      <c r="X633" s="1"/>
      <c r="Y633" s="1"/>
    </row>
    <row r="634" spans="1:25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29"/>
      <c r="T634" s="1"/>
      <c r="U634" s="1"/>
      <c r="V634" s="1"/>
      <c r="W634" s="1"/>
      <c r="X634" s="1"/>
      <c r="Y634" s="1"/>
    </row>
    <row r="635" spans="1:2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29"/>
      <c r="T635" s="1"/>
      <c r="U635" s="1"/>
      <c r="V635" s="1"/>
      <c r="W635" s="1"/>
      <c r="X635" s="1"/>
      <c r="Y635" s="1"/>
    </row>
    <row r="636" spans="1:25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29"/>
      <c r="T636" s="1"/>
      <c r="U636" s="1"/>
      <c r="V636" s="1"/>
      <c r="W636" s="1"/>
      <c r="X636" s="1"/>
      <c r="Y636" s="1"/>
    </row>
    <row r="637" spans="1:25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29"/>
      <c r="T637" s="1"/>
      <c r="U637" s="1"/>
      <c r="V637" s="1"/>
      <c r="W637" s="1"/>
      <c r="X637" s="1"/>
      <c r="Y637" s="1"/>
    </row>
    <row r="638" spans="1:25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29"/>
      <c r="T638" s="1"/>
      <c r="U638" s="1"/>
      <c r="V638" s="1"/>
      <c r="W638" s="1"/>
      <c r="X638" s="1"/>
      <c r="Y638" s="1"/>
    </row>
    <row r="639" spans="1:25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29"/>
      <c r="T639" s="1"/>
      <c r="U639" s="1"/>
      <c r="V639" s="1"/>
      <c r="W639" s="1"/>
      <c r="X639" s="1"/>
      <c r="Y639" s="1"/>
    </row>
    <row r="640" spans="1:25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29"/>
      <c r="T640" s="1"/>
      <c r="U640" s="1"/>
      <c r="V640" s="1"/>
      <c r="W640" s="1"/>
      <c r="X640" s="1"/>
      <c r="Y640" s="1"/>
    </row>
    <row r="641" spans="1:25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29"/>
      <c r="T641" s="1"/>
      <c r="U641" s="1"/>
      <c r="V641" s="1"/>
      <c r="W641" s="1"/>
      <c r="X641" s="1"/>
      <c r="Y641" s="1"/>
    </row>
    <row r="642" spans="1:25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29"/>
      <c r="T642" s="1"/>
      <c r="U642" s="1"/>
      <c r="V642" s="1"/>
      <c r="W642" s="1"/>
      <c r="X642" s="1"/>
      <c r="Y642" s="1"/>
    </row>
    <row r="643" spans="1:25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29"/>
      <c r="T643" s="1"/>
      <c r="U643" s="1"/>
      <c r="V643" s="1"/>
      <c r="W643" s="1"/>
      <c r="X643" s="1"/>
      <c r="Y643" s="1"/>
    </row>
    <row r="644" spans="1:25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29"/>
      <c r="T644" s="1"/>
      <c r="U644" s="1"/>
      <c r="V644" s="1"/>
      <c r="W644" s="1"/>
      <c r="X644" s="1"/>
      <c r="Y644" s="1"/>
    </row>
    <row r="645" spans="1:2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29"/>
      <c r="T645" s="1"/>
      <c r="U645" s="1"/>
      <c r="V645" s="1"/>
      <c r="W645" s="1"/>
      <c r="X645" s="1"/>
      <c r="Y645" s="1"/>
    </row>
    <row r="646" spans="1:25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29"/>
      <c r="T646" s="1"/>
      <c r="U646" s="1"/>
      <c r="V646" s="1"/>
      <c r="W646" s="1"/>
      <c r="X646" s="1"/>
      <c r="Y646" s="1"/>
    </row>
    <row r="647" spans="1:25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29"/>
      <c r="T647" s="1"/>
      <c r="U647" s="1"/>
      <c r="V647" s="1"/>
      <c r="W647" s="1"/>
      <c r="X647" s="1"/>
      <c r="Y647" s="1"/>
    </row>
    <row r="648" spans="1:25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9"/>
      <c r="T648" s="1"/>
      <c r="U648" s="1"/>
      <c r="V648" s="1"/>
      <c r="W648" s="1"/>
      <c r="X648" s="1"/>
      <c r="Y648" s="1"/>
    </row>
    <row r="649" spans="1:25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29"/>
      <c r="T649" s="1"/>
      <c r="U649" s="1"/>
      <c r="V649" s="1"/>
      <c r="W649" s="1"/>
      <c r="X649" s="1"/>
      <c r="Y649" s="1"/>
    </row>
    <row r="650" spans="1:25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29"/>
      <c r="T650" s="1"/>
      <c r="U650" s="1"/>
      <c r="V650" s="1"/>
      <c r="W650" s="1"/>
      <c r="X650" s="1"/>
      <c r="Y650" s="1"/>
    </row>
    <row r="651" spans="1:25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29"/>
      <c r="T651" s="1"/>
      <c r="U651" s="1"/>
      <c r="V651" s="1"/>
      <c r="W651" s="1"/>
      <c r="X651" s="1"/>
      <c r="Y651" s="1"/>
    </row>
    <row r="652" spans="1:25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29"/>
      <c r="T652" s="1"/>
      <c r="U652" s="1"/>
      <c r="V652" s="1"/>
      <c r="W652" s="1"/>
      <c r="X652" s="1"/>
      <c r="Y652" s="1"/>
    </row>
    <row r="653" spans="1:25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29"/>
      <c r="T653" s="1"/>
      <c r="U653" s="1"/>
      <c r="V653" s="1"/>
      <c r="W653" s="1"/>
      <c r="X653" s="1"/>
      <c r="Y653" s="1"/>
    </row>
    <row r="654" spans="1:25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29"/>
      <c r="T654" s="1"/>
      <c r="U654" s="1"/>
      <c r="V654" s="1"/>
      <c r="W654" s="1"/>
      <c r="X654" s="1"/>
      <c r="Y654" s="1"/>
    </row>
    <row r="655" spans="1:2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29"/>
      <c r="T655" s="1"/>
      <c r="U655" s="1"/>
      <c r="V655" s="1"/>
      <c r="W655" s="1"/>
      <c r="X655" s="1"/>
      <c r="Y655" s="1"/>
    </row>
    <row r="656" spans="1:25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9"/>
      <c r="T656" s="1"/>
      <c r="U656" s="1"/>
      <c r="V656" s="1"/>
      <c r="W656" s="1"/>
      <c r="X656" s="1"/>
      <c r="Y656" s="1"/>
    </row>
    <row r="657" spans="1:25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9"/>
      <c r="T657" s="1"/>
      <c r="U657" s="1"/>
      <c r="V657" s="1"/>
      <c r="W657" s="1"/>
      <c r="X657" s="1"/>
      <c r="Y657" s="1"/>
    </row>
    <row r="658" spans="1:25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29"/>
      <c r="T658" s="1"/>
      <c r="U658" s="1"/>
      <c r="V658" s="1"/>
      <c r="W658" s="1"/>
      <c r="X658" s="1"/>
      <c r="Y658" s="1"/>
    </row>
    <row r="659" spans="1:25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29"/>
      <c r="T659" s="1"/>
      <c r="U659" s="1"/>
      <c r="V659" s="1"/>
      <c r="W659" s="1"/>
      <c r="X659" s="1"/>
      <c r="Y659" s="1"/>
    </row>
    <row r="660" spans="1:25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29"/>
      <c r="T660" s="1"/>
      <c r="U660" s="1"/>
      <c r="V660" s="1"/>
      <c r="W660" s="1"/>
      <c r="X660" s="1"/>
      <c r="Y660" s="1"/>
    </row>
    <row r="661" spans="1:25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29"/>
      <c r="T661" s="1"/>
      <c r="U661" s="1"/>
      <c r="V661" s="1"/>
      <c r="W661" s="1"/>
      <c r="X661" s="1"/>
      <c r="Y661" s="1"/>
    </row>
    <row r="662" spans="1:25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29"/>
      <c r="T662" s="1"/>
      <c r="U662" s="1"/>
      <c r="V662" s="1"/>
      <c r="W662" s="1"/>
      <c r="X662" s="1"/>
      <c r="Y662" s="1"/>
    </row>
    <row r="663" spans="1:25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29"/>
      <c r="T663" s="1"/>
      <c r="U663" s="1"/>
      <c r="V663" s="1"/>
      <c r="W663" s="1"/>
      <c r="X663" s="1"/>
      <c r="Y663" s="1"/>
    </row>
    <row r="664" spans="1:25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29"/>
      <c r="T664" s="1"/>
      <c r="U664" s="1"/>
      <c r="V664" s="1"/>
      <c r="W664" s="1"/>
      <c r="X664" s="1"/>
      <c r="Y664" s="1"/>
    </row>
    <row r="665" spans="1:2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29"/>
      <c r="T665" s="1"/>
      <c r="U665" s="1"/>
      <c r="V665" s="1"/>
      <c r="W665" s="1"/>
      <c r="X665" s="1"/>
      <c r="Y665" s="1"/>
    </row>
    <row r="666" spans="1:25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29"/>
      <c r="T666" s="1"/>
      <c r="U666" s="1"/>
      <c r="V666" s="1"/>
      <c r="W666" s="1"/>
      <c r="X666" s="1"/>
      <c r="Y666" s="1"/>
    </row>
    <row r="667" spans="1:25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29"/>
      <c r="T667" s="1"/>
      <c r="U667" s="1"/>
      <c r="V667" s="1"/>
      <c r="W667" s="1"/>
      <c r="X667" s="1"/>
      <c r="Y667" s="1"/>
    </row>
    <row r="668" spans="1:25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29"/>
      <c r="T668" s="1"/>
      <c r="U668" s="1"/>
      <c r="V668" s="1"/>
      <c r="W668" s="1"/>
      <c r="X668" s="1"/>
      <c r="Y668" s="1"/>
    </row>
    <row r="669" spans="1:25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29"/>
      <c r="T669" s="1"/>
      <c r="U669" s="1"/>
      <c r="V669" s="1"/>
      <c r="W669" s="1"/>
      <c r="X669" s="1"/>
      <c r="Y669" s="1"/>
    </row>
    <row r="670" spans="1:25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29"/>
      <c r="T670" s="1"/>
      <c r="U670" s="1"/>
      <c r="V670" s="1"/>
      <c r="W670" s="1"/>
      <c r="X670" s="1"/>
      <c r="Y670" s="1"/>
    </row>
    <row r="671" spans="1:25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29"/>
      <c r="T671" s="1"/>
      <c r="U671" s="1"/>
      <c r="V671" s="1"/>
      <c r="W671" s="1"/>
      <c r="X671" s="1"/>
      <c r="Y671" s="1"/>
    </row>
    <row r="672" spans="1:25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9"/>
      <c r="T672" s="1"/>
      <c r="U672" s="1"/>
      <c r="V672" s="1"/>
      <c r="W672" s="1"/>
      <c r="X672" s="1"/>
      <c r="Y672" s="1"/>
    </row>
    <row r="673" spans="1:25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9"/>
      <c r="T673" s="1"/>
      <c r="U673" s="1"/>
      <c r="V673" s="1"/>
      <c r="W673" s="1"/>
      <c r="X673" s="1"/>
      <c r="Y673" s="1"/>
    </row>
    <row r="674" spans="1:25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9"/>
      <c r="T674" s="1"/>
      <c r="U674" s="1"/>
      <c r="V674" s="1"/>
      <c r="W674" s="1"/>
      <c r="X674" s="1"/>
      <c r="Y674" s="1"/>
    </row>
    <row r="675" spans="1:2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9"/>
      <c r="T675" s="1"/>
      <c r="U675" s="1"/>
      <c r="V675" s="1"/>
      <c r="W675" s="1"/>
      <c r="X675" s="1"/>
      <c r="Y675" s="1"/>
    </row>
    <row r="676" spans="1:25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29"/>
      <c r="T676" s="1"/>
      <c r="U676" s="1"/>
      <c r="V676" s="1"/>
      <c r="W676" s="1"/>
      <c r="X676" s="1"/>
      <c r="Y676" s="1"/>
    </row>
    <row r="677" spans="1:25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29"/>
      <c r="T677" s="1"/>
      <c r="U677" s="1"/>
      <c r="V677" s="1"/>
      <c r="W677" s="1"/>
      <c r="X677" s="1"/>
      <c r="Y677" s="1"/>
    </row>
    <row r="678" spans="1:25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29"/>
      <c r="T678" s="1"/>
      <c r="U678" s="1"/>
      <c r="V678" s="1"/>
      <c r="W678" s="1"/>
      <c r="X678" s="1"/>
      <c r="Y678" s="1"/>
    </row>
    <row r="679" spans="1:25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29"/>
      <c r="T679" s="1"/>
      <c r="U679" s="1"/>
      <c r="V679" s="1"/>
      <c r="W679" s="1"/>
      <c r="X679" s="1"/>
      <c r="Y679" s="1"/>
    </row>
    <row r="680" spans="1:25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29"/>
      <c r="T680" s="1"/>
      <c r="U680" s="1"/>
      <c r="V680" s="1"/>
      <c r="W680" s="1"/>
      <c r="X680" s="1"/>
      <c r="Y680" s="1"/>
    </row>
    <row r="681" spans="1:25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29"/>
      <c r="T681" s="1"/>
      <c r="U681" s="1"/>
      <c r="V681" s="1"/>
      <c r="W681" s="1"/>
      <c r="X681" s="1"/>
      <c r="Y681" s="1"/>
    </row>
    <row r="682" spans="1:25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29"/>
      <c r="T682" s="1"/>
      <c r="U682" s="1"/>
      <c r="V682" s="1"/>
      <c r="W682" s="1"/>
      <c r="X682" s="1"/>
      <c r="Y682" s="1"/>
    </row>
    <row r="683" spans="1:25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29"/>
      <c r="T683" s="1"/>
      <c r="U683" s="1"/>
      <c r="V683" s="1"/>
      <c r="W683" s="1"/>
      <c r="X683" s="1"/>
      <c r="Y683" s="1"/>
    </row>
    <row r="684" spans="1:25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29"/>
      <c r="T684" s="1"/>
      <c r="U684" s="1"/>
      <c r="V684" s="1"/>
      <c r="W684" s="1"/>
      <c r="X684" s="1"/>
      <c r="Y684" s="1"/>
    </row>
    <row r="685" spans="1:2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29"/>
      <c r="T685" s="1"/>
      <c r="U685" s="1"/>
      <c r="V685" s="1"/>
      <c r="W685" s="1"/>
      <c r="X685" s="1"/>
      <c r="Y685" s="1"/>
    </row>
    <row r="686" spans="1:25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29"/>
      <c r="T686" s="1"/>
      <c r="U686" s="1"/>
      <c r="V686" s="1"/>
      <c r="W686" s="1"/>
      <c r="X686" s="1"/>
      <c r="Y686" s="1"/>
    </row>
    <row r="687" spans="1:25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29"/>
      <c r="T687" s="1"/>
      <c r="U687" s="1"/>
      <c r="V687" s="1"/>
      <c r="W687" s="1"/>
      <c r="X687" s="1"/>
      <c r="Y687" s="1"/>
    </row>
    <row r="688" spans="1:25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29"/>
      <c r="T688" s="1"/>
      <c r="U688" s="1"/>
      <c r="V688" s="1"/>
      <c r="W688" s="1"/>
      <c r="X688" s="1"/>
      <c r="Y688" s="1"/>
    </row>
    <row r="689" spans="1:25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29"/>
      <c r="T689" s="1"/>
      <c r="U689" s="1"/>
      <c r="V689" s="1"/>
      <c r="W689" s="1"/>
      <c r="X689" s="1"/>
      <c r="Y689" s="1"/>
    </row>
    <row r="690" spans="1:25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29"/>
      <c r="T690" s="1"/>
      <c r="U690" s="1"/>
      <c r="V690" s="1"/>
      <c r="W690" s="1"/>
      <c r="X690" s="1"/>
      <c r="Y690" s="1"/>
    </row>
    <row r="691" spans="1:25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29"/>
      <c r="T691" s="1"/>
      <c r="U691" s="1"/>
      <c r="V691" s="1"/>
      <c r="W691" s="1"/>
      <c r="X691" s="1"/>
      <c r="Y691" s="1"/>
    </row>
    <row r="692" spans="1:25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9"/>
      <c r="T692" s="1"/>
      <c r="U692" s="1"/>
      <c r="V692" s="1"/>
      <c r="W692" s="1"/>
      <c r="X692" s="1"/>
      <c r="Y692" s="1"/>
    </row>
    <row r="693" spans="1:25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9"/>
      <c r="T693" s="1"/>
      <c r="U693" s="1"/>
      <c r="V693" s="1"/>
      <c r="W693" s="1"/>
      <c r="X693" s="1"/>
      <c r="Y693" s="1"/>
    </row>
    <row r="694" spans="1:25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29"/>
      <c r="T694" s="1"/>
      <c r="U694" s="1"/>
      <c r="V694" s="1"/>
      <c r="W694" s="1"/>
      <c r="X694" s="1"/>
      <c r="Y694" s="1"/>
    </row>
    <row r="695" spans="1:2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29"/>
      <c r="T695" s="1"/>
      <c r="U695" s="1"/>
      <c r="V695" s="1"/>
      <c r="W695" s="1"/>
      <c r="X695" s="1"/>
      <c r="Y695" s="1"/>
    </row>
    <row r="696" spans="1:25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9"/>
      <c r="T696" s="1"/>
      <c r="U696" s="1"/>
      <c r="V696" s="1"/>
      <c r="W696" s="1"/>
      <c r="X696" s="1"/>
      <c r="Y696" s="1"/>
    </row>
    <row r="697" spans="1:25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9"/>
      <c r="T697" s="1"/>
      <c r="U697" s="1"/>
      <c r="V697" s="1"/>
      <c r="W697" s="1"/>
      <c r="X697" s="1"/>
      <c r="Y697" s="1"/>
    </row>
    <row r="698" spans="1:25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29"/>
      <c r="T698" s="1"/>
      <c r="U698" s="1"/>
      <c r="V698" s="1"/>
      <c r="W698" s="1"/>
      <c r="X698" s="1"/>
      <c r="Y698" s="1"/>
    </row>
    <row r="699" spans="1:25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29"/>
      <c r="T699" s="1"/>
      <c r="U699" s="1"/>
      <c r="V699" s="1"/>
      <c r="W699" s="1"/>
      <c r="X699" s="1"/>
      <c r="Y699" s="1"/>
    </row>
    <row r="700" spans="1:25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29"/>
      <c r="T700" s="1"/>
      <c r="U700" s="1"/>
      <c r="V700" s="1"/>
      <c r="W700" s="1"/>
      <c r="X700" s="1"/>
      <c r="Y700" s="1"/>
    </row>
    <row r="701" spans="1:25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29"/>
      <c r="T701" s="1"/>
      <c r="U701" s="1"/>
      <c r="V701" s="1"/>
      <c r="W701" s="1"/>
      <c r="X701" s="1"/>
      <c r="Y701" s="1"/>
    </row>
    <row r="702" spans="1:25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29"/>
      <c r="T702" s="1"/>
      <c r="U702" s="1"/>
      <c r="V702" s="1"/>
      <c r="W702" s="1"/>
      <c r="X702" s="1"/>
      <c r="Y702" s="1"/>
    </row>
    <row r="703" spans="1:25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29"/>
      <c r="T703" s="1"/>
      <c r="U703" s="1"/>
      <c r="V703" s="1"/>
      <c r="W703" s="1"/>
      <c r="X703" s="1"/>
      <c r="Y703" s="1"/>
    </row>
    <row r="704" spans="1:25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29"/>
      <c r="T704" s="1"/>
      <c r="U704" s="1"/>
      <c r="V704" s="1"/>
      <c r="W704" s="1"/>
      <c r="X704" s="1"/>
      <c r="Y704" s="1"/>
    </row>
    <row r="705" spans="1:2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29"/>
      <c r="T705" s="1"/>
      <c r="U705" s="1"/>
      <c r="V705" s="1"/>
      <c r="W705" s="1"/>
      <c r="X705" s="1"/>
      <c r="Y705" s="1"/>
    </row>
    <row r="706" spans="1:25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29"/>
      <c r="T706" s="1"/>
      <c r="U706" s="1"/>
      <c r="V706" s="1"/>
      <c r="W706" s="1"/>
      <c r="X706" s="1"/>
      <c r="Y706" s="1"/>
    </row>
    <row r="707" spans="1:25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29"/>
      <c r="T707" s="1"/>
      <c r="U707" s="1"/>
      <c r="V707" s="1"/>
      <c r="W707" s="1"/>
      <c r="X707" s="1"/>
      <c r="Y707" s="1"/>
    </row>
    <row r="708" spans="1:25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29"/>
      <c r="T708" s="1"/>
      <c r="U708" s="1"/>
      <c r="V708" s="1"/>
      <c r="W708" s="1"/>
      <c r="X708" s="1"/>
      <c r="Y708" s="1"/>
    </row>
    <row r="709" spans="1:25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29"/>
      <c r="T709" s="1"/>
      <c r="U709" s="1"/>
      <c r="V709" s="1"/>
      <c r="W709" s="1"/>
      <c r="X709" s="1"/>
      <c r="Y709" s="1"/>
    </row>
    <row r="710" spans="1:25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9"/>
      <c r="T710" s="1"/>
      <c r="U710" s="1"/>
      <c r="V710" s="1"/>
      <c r="W710" s="1"/>
      <c r="X710" s="1"/>
      <c r="Y710" s="1"/>
    </row>
    <row r="711" spans="1:25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29"/>
      <c r="T711" s="1"/>
      <c r="U711" s="1"/>
      <c r="V711" s="1"/>
      <c r="W711" s="1"/>
      <c r="X711" s="1"/>
      <c r="Y711" s="1"/>
    </row>
    <row r="712" spans="1:25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29"/>
      <c r="T712" s="1"/>
      <c r="U712" s="1"/>
      <c r="V712" s="1"/>
      <c r="W712" s="1"/>
      <c r="X712" s="1"/>
      <c r="Y712" s="1"/>
    </row>
    <row r="713" spans="1:25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29"/>
      <c r="T713" s="1"/>
      <c r="U713" s="1"/>
      <c r="V713" s="1"/>
      <c r="W713" s="1"/>
      <c r="X713" s="1"/>
      <c r="Y713" s="1"/>
    </row>
    <row r="714" spans="1:25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29"/>
      <c r="T714" s="1"/>
      <c r="U714" s="1"/>
      <c r="V714" s="1"/>
      <c r="W714" s="1"/>
      <c r="X714" s="1"/>
      <c r="Y714" s="1"/>
    </row>
    <row r="715" spans="1:2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29"/>
      <c r="T715" s="1"/>
      <c r="U715" s="1"/>
      <c r="V715" s="1"/>
      <c r="W715" s="1"/>
      <c r="X715" s="1"/>
      <c r="Y715" s="1"/>
    </row>
    <row r="716" spans="1:25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29"/>
      <c r="T716" s="1"/>
      <c r="U716" s="1"/>
      <c r="V716" s="1"/>
      <c r="W716" s="1"/>
      <c r="X716" s="1"/>
      <c r="Y716" s="1"/>
    </row>
    <row r="717" spans="1:25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29"/>
      <c r="T717" s="1"/>
      <c r="U717" s="1"/>
      <c r="V717" s="1"/>
      <c r="W717" s="1"/>
      <c r="X717" s="1"/>
      <c r="Y717" s="1"/>
    </row>
    <row r="718" spans="1:25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29"/>
      <c r="T718" s="1"/>
      <c r="U718" s="1"/>
      <c r="V718" s="1"/>
      <c r="W718" s="1"/>
      <c r="X718" s="1"/>
      <c r="Y718" s="1"/>
    </row>
    <row r="719" spans="1:25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29"/>
      <c r="T719" s="1"/>
      <c r="U719" s="1"/>
      <c r="V719" s="1"/>
      <c r="W719" s="1"/>
      <c r="X719" s="1"/>
      <c r="Y719" s="1"/>
    </row>
    <row r="720" spans="1:25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9"/>
      <c r="T720" s="1"/>
      <c r="U720" s="1"/>
      <c r="V720" s="1"/>
      <c r="W720" s="1"/>
      <c r="X720" s="1"/>
      <c r="Y720" s="1"/>
    </row>
    <row r="721" spans="1:25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29"/>
      <c r="T721" s="1"/>
      <c r="U721" s="1"/>
      <c r="V721" s="1"/>
      <c r="W721" s="1"/>
      <c r="X721" s="1"/>
      <c r="Y721" s="1"/>
    </row>
    <row r="722" spans="1:25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29"/>
      <c r="T722" s="1"/>
      <c r="U722" s="1"/>
      <c r="V722" s="1"/>
      <c r="W722" s="1"/>
      <c r="X722" s="1"/>
      <c r="Y722" s="1"/>
    </row>
    <row r="723" spans="1:25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29"/>
      <c r="T723" s="1"/>
      <c r="U723" s="1"/>
      <c r="V723" s="1"/>
      <c r="W723" s="1"/>
      <c r="X723" s="1"/>
      <c r="Y723" s="1"/>
    </row>
    <row r="724" spans="1:25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29"/>
      <c r="T724" s="1"/>
      <c r="U724" s="1"/>
      <c r="V724" s="1"/>
      <c r="W724" s="1"/>
      <c r="X724" s="1"/>
      <c r="Y724" s="1"/>
    </row>
    <row r="725" spans="1: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29"/>
      <c r="T725" s="1"/>
      <c r="U725" s="1"/>
      <c r="V725" s="1"/>
      <c r="W725" s="1"/>
      <c r="X725" s="1"/>
      <c r="Y725" s="1"/>
    </row>
    <row r="726" spans="1:25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29"/>
      <c r="T726" s="1"/>
      <c r="U726" s="1"/>
      <c r="V726" s="1"/>
      <c r="W726" s="1"/>
      <c r="X726" s="1"/>
      <c r="Y726" s="1"/>
    </row>
    <row r="727" spans="1:25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29"/>
      <c r="T727" s="1"/>
      <c r="U727" s="1"/>
      <c r="V727" s="1"/>
      <c r="W727" s="1"/>
      <c r="X727" s="1"/>
      <c r="Y727" s="1"/>
    </row>
    <row r="728" spans="1:25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29"/>
      <c r="T728" s="1"/>
      <c r="U728" s="1"/>
      <c r="V728" s="1"/>
      <c r="W728" s="1"/>
      <c r="X728" s="1"/>
      <c r="Y728" s="1"/>
    </row>
    <row r="729" spans="1:25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29"/>
      <c r="T729" s="1"/>
      <c r="U729" s="1"/>
      <c r="V729" s="1"/>
      <c r="W729" s="1"/>
      <c r="X729" s="1"/>
      <c r="Y729" s="1"/>
    </row>
    <row r="730" spans="1:25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9"/>
      <c r="T730" s="1"/>
      <c r="U730" s="1"/>
      <c r="V730" s="1"/>
      <c r="W730" s="1"/>
      <c r="X730" s="1"/>
      <c r="Y730" s="1"/>
    </row>
    <row r="731" spans="1:25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29"/>
      <c r="T731" s="1"/>
      <c r="U731" s="1"/>
      <c r="V731" s="1"/>
      <c r="W731" s="1"/>
      <c r="X731" s="1"/>
      <c r="Y731" s="1"/>
    </row>
    <row r="732" spans="1:25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29"/>
      <c r="T732" s="1"/>
      <c r="U732" s="1"/>
      <c r="V732" s="1"/>
      <c r="W732" s="1"/>
      <c r="X732" s="1"/>
      <c r="Y732" s="1"/>
    </row>
    <row r="733" spans="1:25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29"/>
      <c r="T733" s="1"/>
      <c r="U733" s="1"/>
      <c r="V733" s="1"/>
      <c r="W733" s="1"/>
      <c r="X733" s="1"/>
      <c r="Y733" s="1"/>
    </row>
    <row r="734" spans="1:25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9"/>
      <c r="T734" s="1"/>
      <c r="U734" s="1"/>
      <c r="V734" s="1"/>
      <c r="W734" s="1"/>
      <c r="X734" s="1"/>
      <c r="Y734" s="1"/>
    </row>
    <row r="735" spans="1:2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29"/>
      <c r="T735" s="1"/>
      <c r="U735" s="1"/>
      <c r="V735" s="1"/>
      <c r="W735" s="1"/>
      <c r="X735" s="1"/>
      <c r="Y735" s="1"/>
    </row>
    <row r="736" spans="1:25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29"/>
      <c r="T736" s="1"/>
      <c r="U736" s="1"/>
      <c r="V736" s="1"/>
      <c r="W736" s="1"/>
      <c r="X736" s="1"/>
      <c r="Y736" s="1"/>
    </row>
    <row r="737" spans="1:25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29"/>
      <c r="T737" s="1"/>
      <c r="U737" s="1"/>
      <c r="V737" s="1"/>
      <c r="W737" s="1"/>
      <c r="X737" s="1"/>
      <c r="Y737" s="1"/>
    </row>
    <row r="738" spans="1:25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29"/>
      <c r="T738" s="1"/>
      <c r="U738" s="1"/>
      <c r="V738" s="1"/>
      <c r="W738" s="1"/>
      <c r="X738" s="1"/>
      <c r="Y738" s="1"/>
    </row>
    <row r="739" spans="1:25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29"/>
      <c r="T739" s="1"/>
      <c r="U739" s="1"/>
      <c r="V739" s="1"/>
      <c r="W739" s="1"/>
      <c r="X739" s="1"/>
      <c r="Y739" s="1"/>
    </row>
    <row r="740" spans="1:25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29"/>
      <c r="T740" s="1"/>
      <c r="U740" s="1"/>
      <c r="V740" s="1"/>
      <c r="W740" s="1"/>
      <c r="X740" s="1"/>
      <c r="Y740" s="1"/>
    </row>
    <row r="741" spans="1:25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29"/>
      <c r="T741" s="1"/>
      <c r="U741" s="1"/>
      <c r="V741" s="1"/>
      <c r="W741" s="1"/>
      <c r="X741" s="1"/>
      <c r="Y741" s="1"/>
    </row>
    <row r="742" spans="1:25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29"/>
      <c r="T742" s="1"/>
      <c r="U742" s="1"/>
      <c r="V742" s="1"/>
      <c r="W742" s="1"/>
      <c r="X742" s="1"/>
      <c r="Y742" s="1"/>
    </row>
    <row r="743" spans="1:25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29"/>
      <c r="T743" s="1"/>
      <c r="U743" s="1"/>
      <c r="V743" s="1"/>
      <c r="W743" s="1"/>
      <c r="X743" s="1"/>
      <c r="Y743" s="1"/>
    </row>
    <row r="744" spans="1:25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29"/>
      <c r="T744" s="1"/>
      <c r="U744" s="1"/>
      <c r="V744" s="1"/>
      <c r="W744" s="1"/>
      <c r="X744" s="1"/>
      <c r="Y744" s="1"/>
    </row>
    <row r="745" spans="1:2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9"/>
      <c r="T745" s="1"/>
      <c r="U745" s="1"/>
      <c r="V745" s="1"/>
      <c r="W745" s="1"/>
      <c r="X745" s="1"/>
      <c r="Y745" s="1"/>
    </row>
    <row r="746" spans="1:25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29"/>
      <c r="T746" s="1"/>
      <c r="U746" s="1"/>
      <c r="V746" s="1"/>
      <c r="W746" s="1"/>
      <c r="X746" s="1"/>
      <c r="Y746" s="1"/>
    </row>
    <row r="747" spans="1:25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9"/>
      <c r="T747" s="1"/>
      <c r="U747" s="1"/>
      <c r="V747" s="1"/>
      <c r="W747" s="1"/>
      <c r="X747" s="1"/>
      <c r="Y747" s="1"/>
    </row>
    <row r="748" spans="1:25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9"/>
      <c r="T748" s="1"/>
      <c r="U748" s="1"/>
      <c r="V748" s="1"/>
      <c r="W748" s="1"/>
      <c r="X748" s="1"/>
      <c r="Y748" s="1"/>
    </row>
    <row r="749" spans="1:25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29"/>
      <c r="T749" s="1"/>
      <c r="U749" s="1"/>
      <c r="V749" s="1"/>
      <c r="W749" s="1"/>
      <c r="X749" s="1"/>
      <c r="Y749" s="1"/>
    </row>
    <row r="750" spans="1:25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9"/>
      <c r="T750" s="1"/>
      <c r="U750" s="1"/>
      <c r="V750" s="1"/>
      <c r="W750" s="1"/>
      <c r="X750" s="1"/>
      <c r="Y750" s="1"/>
    </row>
    <row r="751" spans="1:25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9"/>
      <c r="T751" s="1"/>
      <c r="U751" s="1"/>
      <c r="V751" s="1"/>
      <c r="W751" s="1"/>
      <c r="X751" s="1"/>
      <c r="Y751" s="1"/>
    </row>
    <row r="752" spans="1:25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29"/>
      <c r="T752" s="1"/>
      <c r="U752" s="1"/>
      <c r="V752" s="1"/>
      <c r="W752" s="1"/>
      <c r="X752" s="1"/>
      <c r="Y752" s="1"/>
    </row>
    <row r="753" spans="1:25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29"/>
      <c r="T753" s="1"/>
      <c r="U753" s="1"/>
      <c r="V753" s="1"/>
      <c r="W753" s="1"/>
      <c r="X753" s="1"/>
      <c r="Y753" s="1"/>
    </row>
    <row r="754" spans="1:25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9"/>
      <c r="T754" s="1"/>
      <c r="U754" s="1"/>
      <c r="V754" s="1"/>
      <c r="W754" s="1"/>
      <c r="X754" s="1"/>
      <c r="Y754" s="1"/>
    </row>
    <row r="755" spans="1:2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9"/>
      <c r="T755" s="1"/>
      <c r="U755" s="1"/>
      <c r="V755" s="1"/>
      <c r="W755" s="1"/>
      <c r="X755" s="1"/>
      <c r="Y755" s="1"/>
    </row>
    <row r="756" spans="1:25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29"/>
      <c r="T756" s="1"/>
      <c r="U756" s="1"/>
      <c r="V756" s="1"/>
      <c r="W756" s="1"/>
      <c r="X756" s="1"/>
      <c r="Y756" s="1"/>
    </row>
    <row r="757" spans="1:25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29"/>
      <c r="T757" s="1"/>
      <c r="U757" s="1"/>
      <c r="V757" s="1"/>
      <c r="W757" s="1"/>
      <c r="X757" s="1"/>
      <c r="Y757" s="1"/>
    </row>
    <row r="758" spans="1:25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29"/>
      <c r="T758" s="1"/>
      <c r="U758" s="1"/>
      <c r="V758" s="1"/>
      <c r="W758" s="1"/>
      <c r="X758" s="1"/>
      <c r="Y758" s="1"/>
    </row>
    <row r="759" spans="1:25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29"/>
      <c r="T759" s="1"/>
      <c r="U759" s="1"/>
      <c r="V759" s="1"/>
      <c r="W759" s="1"/>
      <c r="X759" s="1"/>
      <c r="Y759" s="1"/>
    </row>
    <row r="760" spans="1:25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29"/>
      <c r="T760" s="1"/>
      <c r="U760" s="1"/>
      <c r="V760" s="1"/>
      <c r="W760" s="1"/>
      <c r="X760" s="1"/>
      <c r="Y760" s="1"/>
    </row>
    <row r="761" spans="1:25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29"/>
      <c r="T761" s="1"/>
      <c r="U761" s="1"/>
      <c r="V761" s="1"/>
      <c r="W761" s="1"/>
      <c r="X761" s="1"/>
      <c r="Y761" s="1"/>
    </row>
    <row r="762" spans="1:25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9"/>
      <c r="T762" s="1"/>
      <c r="U762" s="1"/>
      <c r="V762" s="1"/>
      <c r="W762" s="1"/>
      <c r="X762" s="1"/>
      <c r="Y762" s="1"/>
    </row>
    <row r="763" spans="1:25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29"/>
      <c r="T763" s="1"/>
      <c r="U763" s="1"/>
      <c r="V763" s="1"/>
      <c r="W763" s="1"/>
      <c r="X763" s="1"/>
      <c r="Y763" s="1"/>
    </row>
    <row r="764" spans="1:25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29"/>
      <c r="T764" s="1"/>
      <c r="U764" s="1"/>
      <c r="V764" s="1"/>
      <c r="W764" s="1"/>
      <c r="X764" s="1"/>
      <c r="Y764" s="1"/>
    </row>
    <row r="765" spans="1:2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29"/>
      <c r="T765" s="1"/>
      <c r="U765" s="1"/>
      <c r="V765" s="1"/>
      <c r="W765" s="1"/>
      <c r="X765" s="1"/>
      <c r="Y765" s="1"/>
    </row>
    <row r="766" spans="1:25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29"/>
      <c r="T766" s="1"/>
      <c r="U766" s="1"/>
      <c r="V766" s="1"/>
      <c r="W766" s="1"/>
      <c r="X766" s="1"/>
      <c r="Y766" s="1"/>
    </row>
    <row r="767" spans="1:25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9"/>
      <c r="T767" s="1"/>
      <c r="U767" s="1"/>
      <c r="V767" s="1"/>
      <c r="W767" s="1"/>
      <c r="X767" s="1"/>
      <c r="Y767" s="1"/>
    </row>
    <row r="768" spans="1:25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9"/>
      <c r="T768" s="1"/>
      <c r="U768" s="1"/>
      <c r="V768" s="1"/>
      <c r="W768" s="1"/>
      <c r="X768" s="1"/>
      <c r="Y768" s="1"/>
    </row>
    <row r="769" spans="1:25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29"/>
      <c r="T769" s="1"/>
      <c r="U769" s="1"/>
      <c r="V769" s="1"/>
      <c r="W769" s="1"/>
      <c r="X769" s="1"/>
      <c r="Y769" s="1"/>
    </row>
    <row r="770" spans="1:25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29"/>
      <c r="T770" s="1"/>
      <c r="U770" s="1"/>
      <c r="V770" s="1"/>
      <c r="W770" s="1"/>
      <c r="X770" s="1"/>
      <c r="Y770" s="1"/>
    </row>
    <row r="771" spans="1:25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29"/>
      <c r="T771" s="1"/>
      <c r="U771" s="1"/>
      <c r="V771" s="1"/>
      <c r="W771" s="1"/>
      <c r="X771" s="1"/>
      <c r="Y771" s="1"/>
    </row>
    <row r="772" spans="1:25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29"/>
      <c r="T772" s="1"/>
      <c r="U772" s="1"/>
      <c r="V772" s="1"/>
      <c r="W772" s="1"/>
      <c r="X772" s="1"/>
      <c r="Y772" s="1"/>
    </row>
    <row r="773" spans="1:25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29"/>
      <c r="T773" s="1"/>
      <c r="U773" s="1"/>
      <c r="V773" s="1"/>
      <c r="W773" s="1"/>
      <c r="X773" s="1"/>
      <c r="Y773" s="1"/>
    </row>
    <row r="774" spans="1:25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9"/>
      <c r="T774" s="1"/>
      <c r="U774" s="1"/>
      <c r="V774" s="1"/>
      <c r="W774" s="1"/>
      <c r="X774" s="1"/>
      <c r="Y774" s="1"/>
    </row>
    <row r="775" spans="1:2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29"/>
      <c r="T775" s="1"/>
      <c r="U775" s="1"/>
      <c r="V775" s="1"/>
      <c r="W775" s="1"/>
      <c r="X775" s="1"/>
      <c r="Y775" s="1"/>
    </row>
    <row r="776" spans="1:25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9"/>
      <c r="T776" s="1"/>
      <c r="U776" s="1"/>
      <c r="V776" s="1"/>
      <c r="W776" s="1"/>
      <c r="X776" s="1"/>
      <c r="Y776" s="1"/>
    </row>
    <row r="777" spans="1:25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29"/>
      <c r="T777" s="1"/>
      <c r="U777" s="1"/>
      <c r="V777" s="1"/>
      <c r="W777" s="1"/>
      <c r="X777" s="1"/>
      <c r="Y777" s="1"/>
    </row>
    <row r="778" spans="1:25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29"/>
      <c r="T778" s="1"/>
      <c r="U778" s="1"/>
      <c r="V778" s="1"/>
      <c r="W778" s="1"/>
      <c r="X778" s="1"/>
      <c r="Y778" s="1"/>
    </row>
    <row r="779" spans="1:25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29"/>
      <c r="T779" s="1"/>
      <c r="U779" s="1"/>
      <c r="V779" s="1"/>
      <c r="W779" s="1"/>
      <c r="X779" s="1"/>
      <c r="Y779" s="1"/>
    </row>
    <row r="780" spans="1:25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29"/>
      <c r="T780" s="1"/>
      <c r="U780" s="1"/>
      <c r="V780" s="1"/>
      <c r="W780" s="1"/>
      <c r="X780" s="1"/>
      <c r="Y780" s="1"/>
    </row>
    <row r="781" spans="1:25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29"/>
      <c r="T781" s="1"/>
      <c r="U781" s="1"/>
      <c r="V781" s="1"/>
      <c r="W781" s="1"/>
      <c r="X781" s="1"/>
      <c r="Y781" s="1"/>
    </row>
    <row r="782" spans="1:25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29"/>
      <c r="T782" s="1"/>
      <c r="U782" s="1"/>
      <c r="V782" s="1"/>
      <c r="W782" s="1"/>
      <c r="X782" s="1"/>
      <c r="Y782" s="1"/>
    </row>
    <row r="783" spans="1:25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29"/>
      <c r="T783" s="1"/>
      <c r="U783" s="1"/>
      <c r="V783" s="1"/>
      <c r="W783" s="1"/>
      <c r="X783" s="1"/>
      <c r="Y783" s="1"/>
    </row>
    <row r="784" spans="1:25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29"/>
      <c r="T784" s="1"/>
      <c r="U784" s="1"/>
      <c r="V784" s="1"/>
      <c r="W784" s="1"/>
      <c r="X784" s="1"/>
      <c r="Y784" s="1"/>
    </row>
    <row r="785" spans="1:2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29"/>
      <c r="T785" s="1"/>
      <c r="U785" s="1"/>
      <c r="V785" s="1"/>
      <c r="W785" s="1"/>
      <c r="X785" s="1"/>
      <c r="Y785" s="1"/>
    </row>
    <row r="786" spans="1:25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29"/>
      <c r="T786" s="1"/>
      <c r="U786" s="1"/>
      <c r="V786" s="1"/>
      <c r="W786" s="1"/>
      <c r="X786" s="1"/>
      <c r="Y786" s="1"/>
    </row>
    <row r="787" spans="1:25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29"/>
      <c r="T787" s="1"/>
      <c r="U787" s="1"/>
      <c r="V787" s="1"/>
      <c r="W787" s="1"/>
      <c r="X787" s="1"/>
      <c r="Y787" s="1"/>
    </row>
    <row r="788" spans="1:25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29"/>
      <c r="T788" s="1"/>
      <c r="U788" s="1"/>
      <c r="V788" s="1"/>
      <c r="W788" s="1"/>
      <c r="X788" s="1"/>
      <c r="Y788" s="1"/>
    </row>
    <row r="789" spans="1:25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29"/>
      <c r="T789" s="1"/>
      <c r="U789" s="1"/>
      <c r="V789" s="1"/>
      <c r="W789" s="1"/>
      <c r="X789" s="1"/>
      <c r="Y789" s="1"/>
    </row>
    <row r="790" spans="1:25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29"/>
      <c r="T790" s="1"/>
      <c r="U790" s="1"/>
      <c r="V790" s="1"/>
      <c r="W790" s="1"/>
      <c r="X790" s="1"/>
      <c r="Y790" s="1"/>
    </row>
    <row r="791" spans="1:25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29"/>
      <c r="T791" s="1"/>
      <c r="U791" s="1"/>
      <c r="V791" s="1"/>
      <c r="W791" s="1"/>
      <c r="X791" s="1"/>
      <c r="Y791" s="1"/>
    </row>
    <row r="792" spans="1:25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9"/>
      <c r="T792" s="1"/>
      <c r="U792" s="1"/>
      <c r="V792" s="1"/>
      <c r="W792" s="1"/>
      <c r="X792" s="1"/>
      <c r="Y792" s="1"/>
    </row>
    <row r="793" spans="1:25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29"/>
      <c r="T793" s="1"/>
      <c r="U793" s="1"/>
      <c r="V793" s="1"/>
      <c r="W793" s="1"/>
      <c r="X793" s="1"/>
      <c r="Y793" s="1"/>
    </row>
    <row r="794" spans="1:25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29"/>
      <c r="T794" s="1"/>
      <c r="U794" s="1"/>
      <c r="V794" s="1"/>
      <c r="W794" s="1"/>
      <c r="X794" s="1"/>
      <c r="Y794" s="1"/>
    </row>
    <row r="795" spans="1:2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29"/>
      <c r="T795" s="1"/>
      <c r="U795" s="1"/>
      <c r="V795" s="1"/>
      <c r="W795" s="1"/>
      <c r="X795" s="1"/>
      <c r="Y795" s="1"/>
    </row>
    <row r="796" spans="1:25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29"/>
      <c r="T796" s="1"/>
      <c r="U796" s="1"/>
      <c r="V796" s="1"/>
      <c r="W796" s="1"/>
      <c r="X796" s="1"/>
      <c r="Y796" s="1"/>
    </row>
    <row r="797" spans="1:25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9"/>
      <c r="T797" s="1"/>
      <c r="U797" s="1"/>
      <c r="V797" s="1"/>
      <c r="W797" s="1"/>
      <c r="X797" s="1"/>
      <c r="Y797" s="1"/>
    </row>
    <row r="798" spans="1:25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29"/>
      <c r="T798" s="1"/>
      <c r="U798" s="1"/>
      <c r="V798" s="1"/>
      <c r="W798" s="1"/>
      <c r="X798" s="1"/>
      <c r="Y798" s="1"/>
    </row>
    <row r="799" spans="1:25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29"/>
      <c r="T799" s="1"/>
      <c r="U799" s="1"/>
      <c r="V799" s="1"/>
      <c r="W799" s="1"/>
      <c r="X799" s="1"/>
      <c r="Y799" s="1"/>
    </row>
    <row r="800" spans="1:25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29"/>
      <c r="T800" s="1"/>
      <c r="U800" s="1"/>
      <c r="V800" s="1"/>
      <c r="W800" s="1"/>
      <c r="X800" s="1"/>
      <c r="Y800" s="1"/>
    </row>
    <row r="801" spans="1:25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9"/>
      <c r="T801" s="1"/>
      <c r="U801" s="1"/>
      <c r="V801" s="1"/>
      <c r="W801" s="1"/>
      <c r="X801" s="1"/>
      <c r="Y801" s="1"/>
    </row>
    <row r="802" spans="1:25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29"/>
      <c r="T802" s="1"/>
      <c r="U802" s="1"/>
      <c r="V802" s="1"/>
      <c r="W802" s="1"/>
      <c r="X802" s="1"/>
      <c r="Y802" s="1"/>
    </row>
    <row r="803" spans="1:25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29"/>
      <c r="T803" s="1"/>
      <c r="U803" s="1"/>
      <c r="V803" s="1"/>
      <c r="W803" s="1"/>
      <c r="X803" s="1"/>
      <c r="Y803" s="1"/>
    </row>
    <row r="804" spans="1:25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29"/>
      <c r="T804" s="1"/>
      <c r="U804" s="1"/>
      <c r="V804" s="1"/>
      <c r="W804" s="1"/>
      <c r="X804" s="1"/>
      <c r="Y804" s="1"/>
    </row>
    <row r="805" spans="1:2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29"/>
      <c r="T805" s="1"/>
      <c r="U805" s="1"/>
      <c r="V805" s="1"/>
      <c r="W805" s="1"/>
      <c r="X805" s="1"/>
      <c r="Y805" s="1"/>
    </row>
    <row r="806" spans="1:25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29"/>
      <c r="T806" s="1"/>
      <c r="U806" s="1"/>
      <c r="V806" s="1"/>
      <c r="W806" s="1"/>
      <c r="X806" s="1"/>
      <c r="Y806" s="1"/>
    </row>
    <row r="807" spans="1:25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29"/>
      <c r="T807" s="1"/>
      <c r="U807" s="1"/>
      <c r="V807" s="1"/>
      <c r="W807" s="1"/>
      <c r="X807" s="1"/>
      <c r="Y807" s="1"/>
    </row>
    <row r="808" spans="1:25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29"/>
      <c r="T808" s="1"/>
      <c r="U808" s="1"/>
      <c r="V808" s="1"/>
      <c r="W808" s="1"/>
      <c r="X808" s="1"/>
      <c r="Y808" s="1"/>
    </row>
    <row r="809" spans="1:25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29"/>
      <c r="T809" s="1"/>
      <c r="U809" s="1"/>
      <c r="V809" s="1"/>
      <c r="W809" s="1"/>
      <c r="X809" s="1"/>
      <c r="Y809" s="1"/>
    </row>
    <row r="810" spans="1:25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9"/>
      <c r="T810" s="1"/>
      <c r="U810" s="1"/>
      <c r="V810" s="1"/>
      <c r="W810" s="1"/>
      <c r="X810" s="1"/>
      <c r="Y810" s="1"/>
    </row>
    <row r="811" spans="1:25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9"/>
      <c r="T811" s="1"/>
      <c r="U811" s="1"/>
      <c r="V811" s="1"/>
      <c r="W811" s="1"/>
      <c r="X811" s="1"/>
      <c r="Y811" s="1"/>
    </row>
    <row r="812" spans="1:25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29"/>
      <c r="T812" s="1"/>
      <c r="U812" s="1"/>
      <c r="V812" s="1"/>
      <c r="W812" s="1"/>
      <c r="X812" s="1"/>
      <c r="Y812" s="1"/>
    </row>
    <row r="813" spans="1:25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9"/>
      <c r="T813" s="1"/>
      <c r="U813" s="1"/>
      <c r="V813" s="1"/>
      <c r="W813" s="1"/>
      <c r="X813" s="1"/>
      <c r="Y813" s="1"/>
    </row>
    <row r="814" spans="1:25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9"/>
      <c r="T814" s="1"/>
      <c r="U814" s="1"/>
      <c r="V814" s="1"/>
      <c r="W814" s="1"/>
      <c r="X814" s="1"/>
      <c r="Y814" s="1"/>
    </row>
    <row r="815" spans="1:2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9"/>
      <c r="T815" s="1"/>
      <c r="U815" s="1"/>
      <c r="V815" s="1"/>
      <c r="W815" s="1"/>
      <c r="X815" s="1"/>
      <c r="Y815" s="1"/>
    </row>
    <row r="816" spans="1:25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29"/>
      <c r="T816" s="1"/>
      <c r="U816" s="1"/>
      <c r="V816" s="1"/>
      <c r="W816" s="1"/>
      <c r="X816" s="1"/>
      <c r="Y816" s="1"/>
    </row>
    <row r="817" spans="1:25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9"/>
      <c r="T817" s="1"/>
      <c r="U817" s="1"/>
      <c r="V817" s="1"/>
      <c r="W817" s="1"/>
      <c r="X817" s="1"/>
      <c r="Y817" s="1"/>
    </row>
    <row r="818" spans="1:25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9"/>
      <c r="T818" s="1"/>
      <c r="U818" s="1"/>
      <c r="V818" s="1"/>
      <c r="W818" s="1"/>
      <c r="X818" s="1"/>
      <c r="Y818" s="1"/>
    </row>
    <row r="819" spans="1:25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9"/>
      <c r="T819" s="1"/>
      <c r="U819" s="1"/>
      <c r="V819" s="1"/>
      <c r="W819" s="1"/>
      <c r="X819" s="1"/>
      <c r="Y819" s="1"/>
    </row>
    <row r="820" spans="1:25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9"/>
      <c r="T820" s="1"/>
      <c r="U820" s="1"/>
      <c r="V820" s="1"/>
      <c r="W820" s="1"/>
      <c r="X820" s="1"/>
      <c r="Y820" s="1"/>
    </row>
    <row r="821" spans="1:25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29"/>
      <c r="T821" s="1"/>
      <c r="U821" s="1"/>
      <c r="V821" s="1"/>
      <c r="W821" s="1"/>
      <c r="X821" s="1"/>
      <c r="Y821" s="1"/>
    </row>
    <row r="822" spans="1:25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29"/>
      <c r="T822" s="1"/>
      <c r="U822" s="1"/>
      <c r="V822" s="1"/>
      <c r="W822" s="1"/>
      <c r="X822" s="1"/>
      <c r="Y822" s="1"/>
    </row>
    <row r="823" spans="1:25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29"/>
      <c r="T823" s="1"/>
      <c r="U823" s="1"/>
      <c r="V823" s="1"/>
      <c r="W823" s="1"/>
      <c r="X823" s="1"/>
      <c r="Y823" s="1"/>
    </row>
    <row r="824" spans="1:25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9"/>
      <c r="T824" s="1"/>
      <c r="U824" s="1"/>
      <c r="V824" s="1"/>
      <c r="W824" s="1"/>
      <c r="X824" s="1"/>
      <c r="Y824" s="1"/>
    </row>
    <row r="825" spans="1: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29"/>
      <c r="T825" s="1"/>
      <c r="U825" s="1"/>
      <c r="V825" s="1"/>
      <c r="W825" s="1"/>
      <c r="X825" s="1"/>
      <c r="Y825" s="1"/>
    </row>
    <row r="826" spans="1:25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9"/>
      <c r="T826" s="1"/>
      <c r="U826" s="1"/>
      <c r="V826" s="1"/>
      <c r="W826" s="1"/>
      <c r="X826" s="1"/>
      <c r="Y826" s="1"/>
    </row>
    <row r="827" spans="1:25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29"/>
      <c r="T827" s="1"/>
      <c r="U827" s="1"/>
      <c r="V827" s="1"/>
      <c r="W827" s="1"/>
      <c r="X827" s="1"/>
      <c r="Y827" s="1"/>
    </row>
    <row r="828" spans="1:25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29"/>
      <c r="T828" s="1"/>
      <c r="U828" s="1"/>
      <c r="V828" s="1"/>
      <c r="W828" s="1"/>
      <c r="X828" s="1"/>
      <c r="Y828" s="1"/>
    </row>
    <row r="829" spans="1:25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29"/>
      <c r="T829" s="1"/>
      <c r="U829" s="1"/>
      <c r="V829" s="1"/>
      <c r="W829" s="1"/>
      <c r="X829" s="1"/>
      <c r="Y829" s="1"/>
    </row>
    <row r="830" spans="1:25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29"/>
      <c r="T830" s="1"/>
      <c r="U830" s="1"/>
      <c r="V830" s="1"/>
      <c r="W830" s="1"/>
      <c r="X830" s="1"/>
      <c r="Y830" s="1"/>
    </row>
    <row r="831" spans="1:25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29"/>
      <c r="T831" s="1"/>
      <c r="U831" s="1"/>
      <c r="V831" s="1"/>
      <c r="W831" s="1"/>
      <c r="X831" s="1"/>
      <c r="Y831" s="1"/>
    </row>
    <row r="832" spans="1:25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29"/>
      <c r="T832" s="1"/>
      <c r="U832" s="1"/>
      <c r="V832" s="1"/>
      <c r="W832" s="1"/>
      <c r="X832" s="1"/>
      <c r="Y832" s="1"/>
    </row>
    <row r="833" spans="1:25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29"/>
      <c r="T833" s="1"/>
      <c r="U833" s="1"/>
      <c r="V833" s="1"/>
      <c r="W833" s="1"/>
      <c r="X833" s="1"/>
      <c r="Y833" s="1"/>
    </row>
    <row r="834" spans="1:25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9"/>
      <c r="T834" s="1"/>
      <c r="U834" s="1"/>
      <c r="V834" s="1"/>
      <c r="W834" s="1"/>
      <c r="X834" s="1"/>
      <c r="Y834" s="1"/>
    </row>
    <row r="835" spans="1:2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29"/>
      <c r="T835" s="1"/>
      <c r="U835" s="1"/>
      <c r="V835" s="1"/>
      <c r="W835" s="1"/>
      <c r="X835" s="1"/>
      <c r="Y835" s="1"/>
    </row>
    <row r="836" spans="1:25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29"/>
      <c r="T836" s="1"/>
      <c r="U836" s="1"/>
      <c r="V836" s="1"/>
      <c r="W836" s="1"/>
      <c r="X836" s="1"/>
      <c r="Y836" s="1"/>
    </row>
    <row r="837" spans="1:25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29"/>
      <c r="T837" s="1"/>
      <c r="U837" s="1"/>
      <c r="V837" s="1"/>
      <c r="W837" s="1"/>
      <c r="X837" s="1"/>
      <c r="Y837" s="1"/>
    </row>
    <row r="838" spans="1:25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29"/>
      <c r="T838" s="1"/>
      <c r="U838" s="1"/>
      <c r="V838" s="1"/>
      <c r="W838" s="1"/>
      <c r="X838" s="1"/>
      <c r="Y838" s="1"/>
    </row>
    <row r="839" spans="1:25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29"/>
      <c r="T839" s="1"/>
      <c r="U839" s="1"/>
      <c r="V839" s="1"/>
      <c r="W839" s="1"/>
      <c r="X839" s="1"/>
      <c r="Y839" s="1"/>
    </row>
    <row r="840" spans="1:25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29"/>
      <c r="T840" s="1"/>
      <c r="U840" s="1"/>
      <c r="V840" s="1"/>
      <c r="W840" s="1"/>
      <c r="X840" s="1"/>
      <c r="Y840" s="1"/>
    </row>
    <row r="841" spans="1:25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29"/>
      <c r="T841" s="1"/>
      <c r="U841" s="1"/>
      <c r="V841" s="1"/>
      <c r="W841" s="1"/>
      <c r="X841" s="1"/>
      <c r="Y841" s="1"/>
    </row>
    <row r="842" spans="1:25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29"/>
      <c r="T842" s="1"/>
      <c r="U842" s="1"/>
      <c r="V842" s="1"/>
      <c r="W842" s="1"/>
      <c r="X842" s="1"/>
      <c r="Y842" s="1"/>
    </row>
    <row r="843" spans="1:25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29"/>
      <c r="T843" s="1"/>
      <c r="U843" s="1"/>
      <c r="V843" s="1"/>
      <c r="W843" s="1"/>
      <c r="X843" s="1"/>
      <c r="Y843" s="1"/>
    </row>
    <row r="844" spans="1:25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29"/>
      <c r="T844" s="1"/>
      <c r="U844" s="1"/>
      <c r="V844" s="1"/>
      <c r="W844" s="1"/>
      <c r="X844" s="1"/>
      <c r="Y844" s="1"/>
    </row>
    <row r="845" spans="1:2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29"/>
      <c r="T845" s="1"/>
      <c r="U845" s="1"/>
      <c r="V845" s="1"/>
      <c r="W845" s="1"/>
      <c r="X845" s="1"/>
      <c r="Y845" s="1"/>
    </row>
    <row r="846" spans="1:25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29"/>
      <c r="T846" s="1"/>
      <c r="U846" s="1"/>
      <c r="V846" s="1"/>
      <c r="W846" s="1"/>
      <c r="X846" s="1"/>
      <c r="Y846" s="1"/>
    </row>
    <row r="847" spans="1:25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29"/>
      <c r="T847" s="1"/>
      <c r="U847" s="1"/>
      <c r="V847" s="1"/>
      <c r="W847" s="1"/>
      <c r="X847" s="1"/>
      <c r="Y847" s="1"/>
    </row>
    <row r="848" spans="1:25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29"/>
      <c r="T848" s="1"/>
      <c r="U848" s="1"/>
      <c r="V848" s="1"/>
      <c r="W848" s="1"/>
      <c r="X848" s="1"/>
      <c r="Y848" s="1"/>
    </row>
    <row r="849" spans="1:25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29"/>
      <c r="T849" s="1"/>
      <c r="U849" s="1"/>
      <c r="V849" s="1"/>
      <c r="W849" s="1"/>
      <c r="X849" s="1"/>
      <c r="Y849" s="1"/>
    </row>
    <row r="850" spans="1:25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29"/>
      <c r="T850" s="1"/>
      <c r="U850" s="1"/>
      <c r="V850" s="1"/>
      <c r="W850" s="1"/>
      <c r="X850" s="1"/>
      <c r="Y850" s="1"/>
    </row>
    <row r="851" spans="1:25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29"/>
      <c r="T851" s="1"/>
      <c r="U851" s="1"/>
      <c r="V851" s="1"/>
      <c r="W851" s="1"/>
      <c r="X851" s="1"/>
      <c r="Y851" s="1"/>
    </row>
    <row r="852" spans="1:25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29"/>
      <c r="T852" s="1"/>
      <c r="U852" s="1"/>
      <c r="V852" s="1"/>
      <c r="W852" s="1"/>
      <c r="X852" s="1"/>
      <c r="Y852" s="1"/>
    </row>
    <row r="853" spans="1:25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9"/>
      <c r="T853" s="1"/>
      <c r="U853" s="1"/>
      <c r="V853" s="1"/>
      <c r="W853" s="1"/>
      <c r="X853" s="1"/>
      <c r="Y853" s="1"/>
    </row>
    <row r="854" spans="1:25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9"/>
      <c r="T854" s="1"/>
      <c r="U854" s="1"/>
      <c r="V854" s="1"/>
      <c r="W854" s="1"/>
      <c r="X854" s="1"/>
      <c r="Y854" s="1"/>
    </row>
    <row r="855" spans="1:2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29"/>
      <c r="T855" s="1"/>
      <c r="U855" s="1"/>
      <c r="V855" s="1"/>
      <c r="W855" s="1"/>
      <c r="X855" s="1"/>
      <c r="Y855" s="1"/>
    </row>
    <row r="856" spans="1:25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29"/>
      <c r="T856" s="1"/>
      <c r="U856" s="1"/>
      <c r="V856" s="1"/>
      <c r="W856" s="1"/>
      <c r="X856" s="1"/>
      <c r="Y856" s="1"/>
    </row>
    <row r="857" spans="1:25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29"/>
      <c r="T857" s="1"/>
      <c r="U857" s="1"/>
      <c r="V857" s="1"/>
      <c r="W857" s="1"/>
      <c r="X857" s="1"/>
      <c r="Y857" s="1"/>
    </row>
    <row r="858" spans="1:25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29"/>
      <c r="T858" s="1"/>
      <c r="U858" s="1"/>
      <c r="V858" s="1"/>
      <c r="W858" s="1"/>
      <c r="X858" s="1"/>
      <c r="Y858" s="1"/>
    </row>
    <row r="859" spans="1:25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29"/>
      <c r="T859" s="1"/>
      <c r="U859" s="1"/>
      <c r="V859" s="1"/>
      <c r="W859" s="1"/>
      <c r="X859" s="1"/>
      <c r="Y859" s="1"/>
    </row>
    <row r="860" spans="1:25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29"/>
      <c r="T860" s="1"/>
      <c r="U860" s="1"/>
      <c r="V860" s="1"/>
      <c r="W860" s="1"/>
      <c r="X860" s="1"/>
      <c r="Y860" s="1"/>
    </row>
    <row r="861" spans="1:25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29"/>
      <c r="T861" s="1"/>
      <c r="U861" s="1"/>
      <c r="V861" s="1"/>
      <c r="W861" s="1"/>
      <c r="X861" s="1"/>
      <c r="Y861" s="1"/>
    </row>
    <row r="862" spans="1:25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29"/>
      <c r="T862" s="1"/>
      <c r="U862" s="1"/>
      <c r="V862" s="1"/>
      <c r="W862" s="1"/>
      <c r="X862" s="1"/>
      <c r="Y862" s="1"/>
    </row>
    <row r="863" spans="1:25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29"/>
      <c r="T863" s="1"/>
      <c r="U863" s="1"/>
      <c r="V863" s="1"/>
      <c r="W863" s="1"/>
      <c r="X863" s="1"/>
      <c r="Y863" s="1"/>
    </row>
    <row r="864" spans="1:25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29"/>
      <c r="T864" s="1"/>
      <c r="U864" s="1"/>
      <c r="V864" s="1"/>
      <c r="W864" s="1"/>
      <c r="X864" s="1"/>
      <c r="Y864" s="1"/>
    </row>
    <row r="865" spans="1:2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9"/>
      <c r="T865" s="1"/>
      <c r="U865" s="1"/>
      <c r="V865" s="1"/>
      <c r="W865" s="1"/>
      <c r="X865" s="1"/>
      <c r="Y865" s="1"/>
    </row>
    <row r="866" spans="1:25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29"/>
      <c r="T866" s="1"/>
      <c r="U866" s="1"/>
      <c r="V866" s="1"/>
      <c r="W866" s="1"/>
      <c r="X866" s="1"/>
      <c r="Y866" s="1"/>
    </row>
    <row r="867" spans="1:25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29"/>
      <c r="T867" s="1"/>
      <c r="U867" s="1"/>
      <c r="V867" s="1"/>
      <c r="W867" s="1"/>
      <c r="X867" s="1"/>
      <c r="Y867" s="1"/>
    </row>
    <row r="868" spans="1:25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29"/>
      <c r="T868" s="1"/>
      <c r="U868" s="1"/>
      <c r="V868" s="1"/>
      <c r="W868" s="1"/>
      <c r="X868" s="1"/>
      <c r="Y868" s="1"/>
    </row>
    <row r="869" spans="1:25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29"/>
      <c r="T869" s="1"/>
      <c r="U869" s="1"/>
      <c r="V869" s="1"/>
      <c r="W869" s="1"/>
      <c r="X869" s="1"/>
      <c r="Y869" s="1"/>
    </row>
    <row r="870" spans="1:25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29"/>
      <c r="T870" s="1"/>
      <c r="U870" s="1"/>
      <c r="V870" s="1"/>
      <c r="W870" s="1"/>
      <c r="X870" s="1"/>
      <c r="Y870" s="1"/>
    </row>
    <row r="871" spans="1:25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29"/>
      <c r="T871" s="1"/>
      <c r="U871" s="1"/>
      <c r="V871" s="1"/>
      <c r="W871" s="1"/>
      <c r="X871" s="1"/>
      <c r="Y871" s="1"/>
    </row>
    <row r="872" spans="1:25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29"/>
      <c r="T872" s="1"/>
      <c r="U872" s="1"/>
      <c r="V872" s="1"/>
      <c r="W872" s="1"/>
      <c r="X872" s="1"/>
      <c r="Y872" s="1"/>
    </row>
    <row r="873" spans="1:25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9"/>
      <c r="T873" s="1"/>
      <c r="U873" s="1"/>
      <c r="V873" s="1"/>
      <c r="W873" s="1"/>
      <c r="X873" s="1"/>
      <c r="Y873" s="1"/>
    </row>
    <row r="874" spans="1:25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29"/>
      <c r="T874" s="1"/>
      <c r="U874" s="1"/>
      <c r="V874" s="1"/>
      <c r="W874" s="1"/>
      <c r="X874" s="1"/>
      <c r="Y874" s="1"/>
    </row>
    <row r="875" spans="1:2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9"/>
      <c r="T875" s="1"/>
      <c r="U875" s="1"/>
      <c r="V875" s="1"/>
      <c r="W875" s="1"/>
      <c r="X875" s="1"/>
      <c r="Y875" s="1"/>
    </row>
    <row r="876" spans="1:25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29"/>
      <c r="T876" s="1"/>
      <c r="U876" s="1"/>
      <c r="V876" s="1"/>
      <c r="W876" s="1"/>
      <c r="X876" s="1"/>
      <c r="Y876" s="1"/>
    </row>
    <row r="877" spans="1:25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29"/>
      <c r="T877" s="1"/>
      <c r="U877" s="1"/>
      <c r="V877" s="1"/>
      <c r="W877" s="1"/>
      <c r="X877" s="1"/>
      <c r="Y877" s="1"/>
    </row>
    <row r="878" spans="1:25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29"/>
      <c r="T878" s="1"/>
      <c r="U878" s="1"/>
      <c r="V878" s="1"/>
      <c r="W878" s="1"/>
      <c r="X878" s="1"/>
      <c r="Y878" s="1"/>
    </row>
    <row r="879" spans="1:25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29"/>
      <c r="T879" s="1"/>
      <c r="U879" s="1"/>
      <c r="V879" s="1"/>
      <c r="W879" s="1"/>
      <c r="X879" s="1"/>
      <c r="Y879" s="1"/>
    </row>
    <row r="880" spans="1:25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9"/>
      <c r="T880" s="1"/>
      <c r="U880" s="1"/>
      <c r="V880" s="1"/>
      <c r="W880" s="1"/>
      <c r="X880" s="1"/>
      <c r="Y880" s="1"/>
    </row>
    <row r="881" spans="1:25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29"/>
      <c r="T881" s="1"/>
      <c r="U881" s="1"/>
      <c r="V881" s="1"/>
      <c r="W881" s="1"/>
      <c r="X881" s="1"/>
      <c r="Y881" s="1"/>
    </row>
    <row r="882" spans="1:25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29"/>
      <c r="T882" s="1"/>
      <c r="U882" s="1"/>
      <c r="V882" s="1"/>
      <c r="W882" s="1"/>
      <c r="X882" s="1"/>
      <c r="Y882" s="1"/>
    </row>
    <row r="883" spans="1:25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29"/>
      <c r="T883" s="1"/>
      <c r="U883" s="1"/>
      <c r="V883" s="1"/>
      <c r="W883" s="1"/>
      <c r="X883" s="1"/>
      <c r="Y883" s="1"/>
    </row>
    <row r="884" spans="1:25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29"/>
      <c r="T884" s="1"/>
      <c r="U884" s="1"/>
      <c r="V884" s="1"/>
      <c r="W884" s="1"/>
      <c r="X884" s="1"/>
      <c r="Y884" s="1"/>
    </row>
    <row r="885" spans="1:2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29"/>
      <c r="T885" s="1"/>
      <c r="U885" s="1"/>
      <c r="V885" s="1"/>
      <c r="W885" s="1"/>
      <c r="X885" s="1"/>
      <c r="Y885" s="1"/>
    </row>
    <row r="886" spans="1:25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29"/>
      <c r="T886" s="1"/>
      <c r="U886" s="1"/>
      <c r="V886" s="1"/>
      <c r="W886" s="1"/>
      <c r="X886" s="1"/>
      <c r="Y886" s="1"/>
    </row>
    <row r="887" spans="1:25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29"/>
      <c r="T887" s="1"/>
      <c r="U887" s="1"/>
      <c r="V887" s="1"/>
      <c r="W887" s="1"/>
      <c r="X887" s="1"/>
      <c r="Y887" s="1"/>
    </row>
    <row r="888" spans="1:25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29"/>
      <c r="T888" s="1"/>
      <c r="U888" s="1"/>
      <c r="V888" s="1"/>
      <c r="W888" s="1"/>
      <c r="X888" s="1"/>
      <c r="Y888" s="1"/>
    </row>
    <row r="889" spans="1:25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29"/>
      <c r="T889" s="1"/>
      <c r="U889" s="1"/>
      <c r="V889" s="1"/>
      <c r="W889" s="1"/>
      <c r="X889" s="1"/>
      <c r="Y889" s="1"/>
    </row>
    <row r="890" spans="1:25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29"/>
      <c r="T890" s="1"/>
      <c r="U890" s="1"/>
      <c r="V890" s="1"/>
      <c r="W890" s="1"/>
      <c r="X890" s="1"/>
      <c r="Y890" s="1"/>
    </row>
    <row r="891" spans="1:25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9"/>
      <c r="T891" s="1"/>
      <c r="U891" s="1"/>
      <c r="V891" s="1"/>
      <c r="W891" s="1"/>
      <c r="X891" s="1"/>
      <c r="Y891" s="1"/>
    </row>
    <row r="892" spans="1:25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29"/>
      <c r="T892" s="1"/>
      <c r="U892" s="1"/>
      <c r="V892" s="1"/>
      <c r="W892" s="1"/>
      <c r="X892" s="1"/>
      <c r="Y892" s="1"/>
    </row>
    <row r="893" spans="1:25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29"/>
      <c r="T893" s="1"/>
      <c r="U893" s="1"/>
      <c r="V893" s="1"/>
      <c r="W893" s="1"/>
      <c r="X893" s="1"/>
      <c r="Y893" s="1"/>
    </row>
    <row r="894" spans="1:25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29"/>
      <c r="T894" s="1"/>
      <c r="U894" s="1"/>
      <c r="V894" s="1"/>
      <c r="W894" s="1"/>
      <c r="X894" s="1"/>
      <c r="Y894" s="1"/>
    </row>
    <row r="895" spans="1:2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29"/>
      <c r="T895" s="1"/>
      <c r="U895" s="1"/>
      <c r="V895" s="1"/>
      <c r="W895" s="1"/>
      <c r="X895" s="1"/>
      <c r="Y895" s="1"/>
    </row>
    <row r="896" spans="1:25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29"/>
      <c r="T896" s="1"/>
      <c r="U896" s="1"/>
      <c r="V896" s="1"/>
      <c r="W896" s="1"/>
      <c r="X896" s="1"/>
      <c r="Y896" s="1"/>
    </row>
    <row r="897" spans="1:25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29"/>
      <c r="T897" s="1"/>
      <c r="U897" s="1"/>
      <c r="V897" s="1"/>
      <c r="W897" s="1"/>
      <c r="X897" s="1"/>
      <c r="Y897" s="1"/>
    </row>
    <row r="898" spans="1:25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29"/>
      <c r="T898" s="1"/>
      <c r="U898" s="1"/>
      <c r="V898" s="1"/>
      <c r="W898" s="1"/>
      <c r="X898" s="1"/>
      <c r="Y898" s="1"/>
    </row>
    <row r="899" spans="1:25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29"/>
      <c r="T899" s="1"/>
      <c r="U899" s="1"/>
      <c r="V899" s="1"/>
      <c r="W899" s="1"/>
      <c r="X899" s="1"/>
      <c r="Y899" s="1"/>
    </row>
    <row r="900" spans="1:25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29"/>
      <c r="T900" s="1"/>
      <c r="U900" s="1"/>
      <c r="V900" s="1"/>
      <c r="W900" s="1"/>
      <c r="X900" s="1"/>
      <c r="Y900" s="1"/>
    </row>
    <row r="901" spans="1:25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29"/>
      <c r="T901" s="1"/>
      <c r="U901" s="1"/>
      <c r="V901" s="1"/>
      <c r="W901" s="1"/>
      <c r="X901" s="1"/>
      <c r="Y901" s="1"/>
    </row>
    <row r="902" spans="1:25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29"/>
      <c r="T902" s="1"/>
      <c r="U902" s="1"/>
      <c r="V902" s="1"/>
      <c r="W902" s="1"/>
      <c r="X902" s="1"/>
      <c r="Y902" s="1"/>
    </row>
    <row r="903" spans="1:25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29"/>
      <c r="T903" s="1"/>
      <c r="U903" s="1"/>
      <c r="V903" s="1"/>
      <c r="W903" s="1"/>
      <c r="X903" s="1"/>
      <c r="Y903" s="1"/>
    </row>
    <row r="904" spans="1:25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29"/>
      <c r="T904" s="1"/>
      <c r="U904" s="1"/>
      <c r="V904" s="1"/>
      <c r="W904" s="1"/>
      <c r="X904" s="1"/>
      <c r="Y904" s="1"/>
    </row>
    <row r="905" spans="1:2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29"/>
      <c r="T905" s="1"/>
      <c r="U905" s="1"/>
      <c r="V905" s="1"/>
      <c r="W905" s="1"/>
      <c r="X905" s="1"/>
      <c r="Y905" s="1"/>
    </row>
    <row r="906" spans="1:25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29"/>
      <c r="T906" s="1"/>
      <c r="U906" s="1"/>
      <c r="V906" s="1"/>
      <c r="W906" s="1"/>
      <c r="X906" s="1"/>
      <c r="Y906" s="1"/>
    </row>
    <row r="907" spans="1:25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9"/>
      <c r="T907" s="1"/>
      <c r="U907" s="1"/>
      <c r="V907" s="1"/>
      <c r="W907" s="1"/>
      <c r="X907" s="1"/>
      <c r="Y907" s="1"/>
    </row>
    <row r="908" spans="1:25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29"/>
      <c r="T908" s="1"/>
      <c r="U908" s="1"/>
      <c r="V908" s="1"/>
      <c r="W908" s="1"/>
      <c r="X908" s="1"/>
      <c r="Y908" s="1"/>
    </row>
    <row r="909" spans="1:25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29"/>
      <c r="T909" s="1"/>
      <c r="U909" s="1"/>
      <c r="V909" s="1"/>
      <c r="W909" s="1"/>
      <c r="X909" s="1"/>
      <c r="Y909" s="1"/>
    </row>
    <row r="910" spans="1:25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29"/>
      <c r="T910" s="1"/>
      <c r="U910" s="1"/>
      <c r="V910" s="1"/>
      <c r="W910" s="1"/>
      <c r="X910" s="1"/>
      <c r="Y910" s="1"/>
    </row>
    <row r="911" spans="1:25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29"/>
      <c r="T911" s="1"/>
      <c r="U911" s="1"/>
      <c r="V911" s="1"/>
      <c r="W911" s="1"/>
      <c r="X911" s="1"/>
      <c r="Y911" s="1"/>
    </row>
    <row r="912" spans="1:25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29"/>
      <c r="T912" s="1"/>
      <c r="U912" s="1"/>
      <c r="V912" s="1"/>
      <c r="W912" s="1"/>
      <c r="X912" s="1"/>
      <c r="Y912" s="1"/>
    </row>
    <row r="913" spans="1:25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29"/>
      <c r="T913" s="1"/>
      <c r="U913" s="1"/>
      <c r="V913" s="1"/>
      <c r="W913" s="1"/>
      <c r="X913" s="1"/>
      <c r="Y913" s="1"/>
    </row>
    <row r="914" spans="1:25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29"/>
      <c r="T914" s="1"/>
      <c r="U914" s="1"/>
      <c r="V914" s="1"/>
      <c r="W914" s="1"/>
      <c r="X914" s="1"/>
      <c r="Y914" s="1"/>
    </row>
    <row r="915" spans="1:2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29"/>
      <c r="T915" s="1"/>
      <c r="U915" s="1"/>
      <c r="V915" s="1"/>
      <c r="W915" s="1"/>
      <c r="X915" s="1"/>
      <c r="Y915" s="1"/>
    </row>
    <row r="916" spans="1:25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29"/>
      <c r="T916" s="1"/>
      <c r="U916" s="1"/>
      <c r="V916" s="1"/>
      <c r="W916" s="1"/>
      <c r="X916" s="1"/>
      <c r="Y916" s="1"/>
    </row>
    <row r="917" spans="1:25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29"/>
      <c r="T917" s="1"/>
      <c r="U917" s="1"/>
      <c r="V917" s="1"/>
      <c r="W917" s="1"/>
      <c r="X917" s="1"/>
      <c r="Y917" s="1"/>
    </row>
    <row r="918" spans="1:25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29"/>
      <c r="T918" s="1"/>
      <c r="U918" s="1"/>
      <c r="V918" s="1"/>
      <c r="W918" s="1"/>
      <c r="X918" s="1"/>
      <c r="Y918" s="1"/>
    </row>
    <row r="919" spans="1:25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29"/>
      <c r="T919" s="1"/>
      <c r="U919" s="1"/>
      <c r="V919" s="1"/>
      <c r="W919" s="1"/>
      <c r="X919" s="1"/>
      <c r="Y919" s="1"/>
    </row>
    <row r="920" spans="1:25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9"/>
      <c r="T920" s="1"/>
      <c r="U920" s="1"/>
      <c r="V920" s="1"/>
      <c r="W920" s="1"/>
      <c r="X920" s="1"/>
      <c r="Y920" s="1"/>
    </row>
    <row r="921" spans="1:25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29"/>
      <c r="T921" s="1"/>
      <c r="U921" s="1"/>
      <c r="V921" s="1"/>
      <c r="W921" s="1"/>
      <c r="X921" s="1"/>
      <c r="Y921" s="1"/>
    </row>
    <row r="922" spans="1:25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29"/>
      <c r="T922" s="1"/>
      <c r="U922" s="1"/>
      <c r="V922" s="1"/>
      <c r="W922" s="1"/>
      <c r="X922" s="1"/>
      <c r="Y922" s="1"/>
    </row>
    <row r="923" spans="1:25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29"/>
      <c r="T923" s="1"/>
      <c r="U923" s="1"/>
      <c r="V923" s="1"/>
      <c r="W923" s="1"/>
      <c r="X923" s="1"/>
      <c r="Y923" s="1"/>
    </row>
    <row r="924" spans="1:25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29"/>
      <c r="T924" s="1"/>
      <c r="U924" s="1"/>
      <c r="V924" s="1"/>
      <c r="W924" s="1"/>
      <c r="X924" s="1"/>
      <c r="Y924" s="1"/>
    </row>
    <row r="925" spans="1: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29"/>
      <c r="T925" s="1"/>
      <c r="U925" s="1"/>
      <c r="V925" s="1"/>
      <c r="W925" s="1"/>
      <c r="X925" s="1"/>
      <c r="Y925" s="1"/>
    </row>
    <row r="926" spans="1:25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29"/>
      <c r="T926" s="1"/>
      <c r="U926" s="1"/>
      <c r="V926" s="1"/>
      <c r="W926" s="1"/>
      <c r="X926" s="1"/>
      <c r="Y926" s="1"/>
    </row>
    <row r="927" spans="1:25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29"/>
      <c r="T927" s="1"/>
      <c r="U927" s="1"/>
      <c r="V927" s="1"/>
      <c r="W927" s="1"/>
      <c r="X927" s="1"/>
      <c r="Y927" s="1"/>
    </row>
    <row r="928" spans="1:25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9"/>
      <c r="T928" s="1"/>
      <c r="U928" s="1"/>
      <c r="V928" s="1"/>
      <c r="W928" s="1"/>
      <c r="X928" s="1"/>
      <c r="Y928" s="1"/>
    </row>
    <row r="929" spans="1:25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29"/>
      <c r="T929" s="1"/>
      <c r="U929" s="1"/>
      <c r="V929" s="1"/>
      <c r="W929" s="1"/>
      <c r="X929" s="1"/>
      <c r="Y929" s="1"/>
    </row>
    <row r="930" spans="1:25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29"/>
      <c r="T930" s="1"/>
      <c r="U930" s="1"/>
      <c r="V930" s="1"/>
      <c r="W930" s="1"/>
      <c r="X930" s="1"/>
      <c r="Y930" s="1"/>
    </row>
    <row r="931" spans="1:25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29"/>
      <c r="T931" s="1"/>
      <c r="U931" s="1"/>
      <c r="V931" s="1"/>
      <c r="W931" s="1"/>
      <c r="X931" s="1"/>
      <c r="Y931" s="1"/>
    </row>
    <row r="932" spans="1:25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29"/>
      <c r="T932" s="1"/>
      <c r="U932" s="1"/>
      <c r="V932" s="1"/>
      <c r="W932" s="1"/>
      <c r="X932" s="1"/>
      <c r="Y932" s="1"/>
    </row>
    <row r="933" spans="1:25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29"/>
      <c r="T933" s="1"/>
      <c r="U933" s="1"/>
      <c r="V933" s="1"/>
      <c r="W933" s="1"/>
      <c r="X933" s="1"/>
      <c r="Y933" s="1"/>
    </row>
    <row r="934" spans="1:25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29"/>
      <c r="T934" s="1"/>
      <c r="U934" s="1"/>
      <c r="V934" s="1"/>
      <c r="W934" s="1"/>
      <c r="X934" s="1"/>
      <c r="Y934" s="1"/>
    </row>
    <row r="935" spans="1:2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29"/>
      <c r="T935" s="1"/>
      <c r="U935" s="1"/>
      <c r="V935" s="1"/>
      <c r="W935" s="1"/>
      <c r="X935" s="1"/>
      <c r="Y935" s="1"/>
    </row>
    <row r="936" spans="1:25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29"/>
      <c r="T936" s="1"/>
      <c r="U936" s="1"/>
      <c r="V936" s="1"/>
      <c r="W936" s="1"/>
      <c r="X936" s="1"/>
      <c r="Y936" s="1"/>
    </row>
    <row r="937" spans="1:25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29"/>
      <c r="T937" s="1"/>
      <c r="U937" s="1"/>
      <c r="V937" s="1"/>
      <c r="W937" s="1"/>
      <c r="X937" s="1"/>
      <c r="Y937" s="1"/>
    </row>
    <row r="938" spans="1:25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29"/>
      <c r="T938" s="1"/>
      <c r="U938" s="1"/>
      <c r="V938" s="1"/>
      <c r="W938" s="1"/>
      <c r="X938" s="1"/>
      <c r="Y938" s="1"/>
    </row>
    <row r="939" spans="1:25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29"/>
      <c r="T939" s="1"/>
      <c r="U939" s="1"/>
      <c r="V939" s="1"/>
      <c r="W939" s="1"/>
      <c r="X939" s="1"/>
      <c r="Y939" s="1"/>
    </row>
    <row r="940" spans="1:25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29"/>
      <c r="T940" s="1"/>
      <c r="U940" s="1"/>
      <c r="V940" s="1"/>
      <c r="W940" s="1"/>
      <c r="X940" s="1"/>
      <c r="Y940" s="1"/>
    </row>
    <row r="941" spans="1:25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29"/>
      <c r="T941" s="1"/>
      <c r="U941" s="1"/>
      <c r="V941" s="1"/>
      <c r="W941" s="1"/>
      <c r="X941" s="1"/>
      <c r="Y941" s="1"/>
    </row>
    <row r="942" spans="1:25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29"/>
      <c r="T942" s="1"/>
      <c r="U942" s="1"/>
      <c r="V942" s="1"/>
      <c r="W942" s="1"/>
      <c r="X942" s="1"/>
      <c r="Y942" s="1"/>
    </row>
    <row r="943" spans="1:25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29"/>
      <c r="T943" s="1"/>
      <c r="U943" s="1"/>
      <c r="V943" s="1"/>
      <c r="W943" s="1"/>
      <c r="X943" s="1"/>
      <c r="Y943" s="1"/>
    </row>
    <row r="944" spans="1:25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9"/>
      <c r="T944" s="1"/>
      <c r="U944" s="1"/>
      <c r="V944" s="1"/>
      <c r="W944" s="1"/>
      <c r="X944" s="1"/>
      <c r="Y944" s="1"/>
    </row>
    <row r="945" spans="1:2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29"/>
      <c r="T945" s="1"/>
      <c r="U945" s="1"/>
      <c r="V945" s="1"/>
      <c r="W945" s="1"/>
      <c r="X945" s="1"/>
      <c r="Y945" s="1"/>
    </row>
    <row r="946" spans="1:25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9"/>
      <c r="T946" s="1"/>
      <c r="U946" s="1"/>
      <c r="V946" s="1"/>
      <c r="W946" s="1"/>
      <c r="X946" s="1"/>
      <c r="Y946" s="1"/>
    </row>
    <row r="947" spans="1:25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29"/>
      <c r="T947" s="1"/>
      <c r="U947" s="1"/>
      <c r="V947" s="1"/>
      <c r="W947" s="1"/>
      <c r="X947" s="1"/>
      <c r="Y947" s="1"/>
    </row>
    <row r="948" spans="1:25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29"/>
      <c r="T948" s="1"/>
      <c r="U948" s="1"/>
      <c r="V948" s="1"/>
      <c r="W948" s="1"/>
      <c r="X948" s="1"/>
      <c r="Y948" s="1"/>
    </row>
    <row r="949" spans="1:25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29"/>
      <c r="T949" s="1"/>
      <c r="U949" s="1"/>
      <c r="V949" s="1"/>
      <c r="W949" s="1"/>
      <c r="X949" s="1"/>
      <c r="Y949" s="1"/>
    </row>
    <row r="950" spans="1:25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29"/>
      <c r="T950" s="1"/>
      <c r="U950" s="1"/>
      <c r="V950" s="1"/>
      <c r="W950" s="1"/>
      <c r="X950" s="1"/>
      <c r="Y950" s="1"/>
    </row>
    <row r="951" spans="1:25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29"/>
      <c r="T951" s="1"/>
      <c r="U951" s="1"/>
      <c r="V951" s="1"/>
      <c r="W951" s="1"/>
      <c r="X951" s="1"/>
      <c r="Y951" s="1"/>
    </row>
    <row r="952" spans="1:25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29"/>
      <c r="T952" s="1"/>
      <c r="U952" s="1"/>
      <c r="V952" s="1"/>
      <c r="W952" s="1"/>
      <c r="X952" s="1"/>
      <c r="Y952" s="1"/>
    </row>
    <row r="953" spans="1:25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29"/>
      <c r="T953" s="1"/>
      <c r="U953" s="1"/>
      <c r="V953" s="1"/>
      <c r="W953" s="1"/>
      <c r="X953" s="1"/>
      <c r="Y953" s="1"/>
    </row>
    <row r="954" spans="1:25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29"/>
      <c r="T954" s="1"/>
      <c r="U954" s="1"/>
      <c r="V954" s="1"/>
      <c r="W954" s="1"/>
      <c r="X954" s="1"/>
      <c r="Y954" s="1"/>
    </row>
    <row r="955" spans="1:2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29"/>
      <c r="T955" s="1"/>
      <c r="U955" s="1"/>
      <c r="V955" s="1"/>
      <c r="W955" s="1"/>
      <c r="X955" s="1"/>
      <c r="Y955" s="1"/>
    </row>
    <row r="956" spans="1:25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9"/>
      <c r="T956" s="1"/>
      <c r="U956" s="1"/>
      <c r="V956" s="1"/>
      <c r="W956" s="1"/>
      <c r="X956" s="1"/>
      <c r="Y956" s="1"/>
    </row>
    <row r="957" spans="1:25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29"/>
      <c r="T957" s="1"/>
      <c r="U957" s="1"/>
      <c r="V957" s="1"/>
      <c r="W957" s="1"/>
      <c r="X957" s="1"/>
      <c r="Y957" s="1"/>
    </row>
    <row r="958" spans="1:25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29"/>
      <c r="T958" s="1"/>
      <c r="U958" s="1"/>
      <c r="V958" s="1"/>
      <c r="W958" s="1"/>
      <c r="X958" s="1"/>
      <c r="Y958" s="1"/>
    </row>
    <row r="959" spans="1:25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29"/>
      <c r="T959" s="1"/>
      <c r="U959" s="1"/>
      <c r="V959" s="1"/>
      <c r="W959" s="1"/>
      <c r="X959" s="1"/>
      <c r="Y959" s="1"/>
    </row>
    <row r="960" spans="1:25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29"/>
      <c r="T960" s="1"/>
      <c r="U960" s="1"/>
      <c r="V960" s="1"/>
      <c r="W960" s="1"/>
      <c r="X960" s="1"/>
      <c r="Y960" s="1"/>
    </row>
    <row r="961" spans="1:25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29"/>
      <c r="T961" s="1"/>
      <c r="U961" s="1"/>
      <c r="V961" s="1"/>
      <c r="W961" s="1"/>
      <c r="X961" s="1"/>
      <c r="Y961" s="1"/>
    </row>
    <row r="962" spans="1:25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29"/>
      <c r="T962" s="1"/>
      <c r="U962" s="1"/>
      <c r="V962" s="1"/>
      <c r="W962" s="1"/>
      <c r="X962" s="1"/>
      <c r="Y962" s="1"/>
    </row>
    <row r="963" spans="1:25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29"/>
      <c r="T963" s="1"/>
      <c r="U963" s="1"/>
      <c r="V963" s="1"/>
      <c r="W963" s="1"/>
      <c r="X963" s="1"/>
      <c r="Y963" s="1"/>
    </row>
    <row r="964" spans="1:25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29"/>
      <c r="T964" s="1"/>
      <c r="U964" s="1"/>
      <c r="V964" s="1"/>
      <c r="W964" s="1"/>
      <c r="X964" s="1"/>
      <c r="Y964" s="1"/>
    </row>
    <row r="965" spans="1:2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29"/>
      <c r="T965" s="1"/>
      <c r="U965" s="1"/>
      <c r="V965" s="1"/>
      <c r="W965" s="1"/>
      <c r="X965" s="1"/>
      <c r="Y965" s="1"/>
    </row>
    <row r="966" spans="1:25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29"/>
      <c r="T966" s="1"/>
      <c r="U966" s="1"/>
      <c r="V966" s="1"/>
      <c r="W966" s="1"/>
      <c r="X966" s="1"/>
      <c r="Y966" s="1"/>
    </row>
    <row r="967" spans="1:25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9"/>
      <c r="T967" s="1"/>
      <c r="U967" s="1"/>
      <c r="V967" s="1"/>
      <c r="W967" s="1"/>
      <c r="X967" s="1"/>
      <c r="Y967" s="1"/>
    </row>
    <row r="968" spans="1:25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29"/>
      <c r="T968" s="1"/>
      <c r="U968" s="1"/>
      <c r="V968" s="1"/>
      <c r="W968" s="1"/>
      <c r="X968" s="1"/>
      <c r="Y968" s="1"/>
    </row>
    <row r="969" spans="1:25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29"/>
      <c r="T969" s="1"/>
      <c r="U969" s="1"/>
      <c r="V969" s="1"/>
      <c r="W969" s="1"/>
      <c r="X969" s="1"/>
      <c r="Y969" s="1"/>
    </row>
    <row r="970" spans="1:25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29"/>
      <c r="T970" s="1"/>
      <c r="U970" s="1"/>
      <c r="V970" s="1"/>
      <c r="W970" s="1"/>
      <c r="X970" s="1"/>
      <c r="Y970" s="1"/>
    </row>
    <row r="971" spans="1:25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29"/>
      <c r="T971" s="1"/>
      <c r="U971" s="1"/>
      <c r="V971" s="1"/>
      <c r="W971" s="1"/>
      <c r="X971" s="1"/>
      <c r="Y971" s="1"/>
    </row>
    <row r="972" spans="1:25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29"/>
      <c r="T972" s="1"/>
      <c r="U972" s="1"/>
      <c r="V972" s="1"/>
      <c r="W972" s="1"/>
      <c r="X972" s="1"/>
      <c r="Y972" s="1"/>
    </row>
    <row r="973" spans="1:25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29"/>
      <c r="T973" s="1"/>
      <c r="U973" s="1"/>
      <c r="V973" s="1"/>
      <c r="W973" s="1"/>
      <c r="X973" s="1"/>
      <c r="Y973" s="1"/>
    </row>
    <row r="974" spans="1:25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29"/>
      <c r="T974" s="1"/>
      <c r="U974" s="1"/>
      <c r="V974" s="1"/>
      <c r="W974" s="1"/>
      <c r="X974" s="1"/>
      <c r="Y974" s="1"/>
    </row>
    <row r="975" spans="1:2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29"/>
      <c r="T975" s="1"/>
      <c r="U975" s="1"/>
      <c r="V975" s="1"/>
      <c r="W975" s="1"/>
      <c r="X975" s="1"/>
      <c r="Y975" s="1"/>
    </row>
    <row r="976" spans="1:25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29"/>
      <c r="T976" s="1"/>
      <c r="U976" s="1"/>
      <c r="V976" s="1"/>
      <c r="W976" s="1"/>
      <c r="X976" s="1"/>
      <c r="Y976" s="1"/>
    </row>
    <row r="977" spans="1:25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29"/>
      <c r="T977" s="1"/>
      <c r="U977" s="1"/>
      <c r="V977" s="1"/>
      <c r="W977" s="1"/>
      <c r="X977" s="1"/>
      <c r="Y977" s="1"/>
    </row>
    <row r="978" spans="1:25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29"/>
      <c r="T978" s="1"/>
      <c r="U978" s="1"/>
      <c r="V978" s="1"/>
      <c r="W978" s="1"/>
      <c r="X978" s="1"/>
      <c r="Y978" s="1"/>
    </row>
    <row r="979" spans="1:25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29"/>
      <c r="T979" s="1"/>
      <c r="U979" s="1"/>
      <c r="V979" s="1"/>
      <c r="W979" s="1"/>
      <c r="X979" s="1"/>
      <c r="Y979" s="1"/>
    </row>
    <row r="980" spans="1:25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29"/>
      <c r="T980" s="1"/>
      <c r="U980" s="1"/>
      <c r="V980" s="1"/>
      <c r="W980" s="1"/>
      <c r="X980" s="1"/>
      <c r="Y980" s="1"/>
    </row>
    <row r="981" spans="1:25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29"/>
      <c r="T981" s="1"/>
      <c r="U981" s="1"/>
      <c r="V981" s="1"/>
      <c r="W981" s="1"/>
      <c r="X981" s="1"/>
      <c r="Y981" s="1"/>
    </row>
    <row r="982" spans="1:25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29"/>
      <c r="T982" s="1"/>
      <c r="U982" s="1"/>
      <c r="V982" s="1"/>
      <c r="W982" s="1"/>
      <c r="X982" s="1"/>
      <c r="Y982" s="1"/>
    </row>
    <row r="983" spans="1:25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29"/>
      <c r="T983" s="1"/>
      <c r="U983" s="1"/>
      <c r="V983" s="1"/>
      <c r="W983" s="1"/>
      <c r="X983" s="1"/>
      <c r="Y983" s="1"/>
    </row>
    <row r="984" spans="1:25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29"/>
      <c r="T984" s="1"/>
      <c r="U984" s="1"/>
      <c r="V984" s="1"/>
      <c r="W984" s="1"/>
      <c r="X984" s="1"/>
      <c r="Y984" s="1"/>
    </row>
    <row r="985" spans="1:2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29"/>
      <c r="T985" s="1"/>
      <c r="U985" s="1"/>
      <c r="V985" s="1"/>
      <c r="W985" s="1"/>
      <c r="X985" s="1"/>
      <c r="Y985" s="1"/>
    </row>
    <row r="986" spans="1:25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29"/>
      <c r="T986" s="1"/>
      <c r="U986" s="1"/>
      <c r="V986" s="1"/>
      <c r="W986" s="1"/>
      <c r="X986" s="1"/>
      <c r="Y986" s="1"/>
    </row>
    <row r="987" spans="1:25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29"/>
      <c r="T987" s="1"/>
      <c r="U987" s="1"/>
      <c r="V987" s="1"/>
      <c r="W987" s="1"/>
      <c r="X987" s="1"/>
      <c r="Y987" s="1"/>
    </row>
    <row r="988" spans="1:25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29"/>
      <c r="T988" s="1"/>
      <c r="U988" s="1"/>
      <c r="V988" s="1"/>
      <c r="W988" s="1"/>
      <c r="X988" s="1"/>
      <c r="Y988" s="1"/>
    </row>
    <row r="989" spans="1:25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29"/>
      <c r="T989" s="1"/>
      <c r="U989" s="1"/>
      <c r="V989" s="1"/>
      <c r="W989" s="1"/>
      <c r="X989" s="1"/>
      <c r="Y989" s="1"/>
    </row>
    <row r="990" spans="1:25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9"/>
      <c r="T990" s="1"/>
      <c r="U990" s="1"/>
      <c r="V990" s="1"/>
      <c r="W990" s="1"/>
      <c r="X990" s="1"/>
      <c r="Y990" s="1"/>
    </row>
    <row r="991" spans="1:25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9"/>
      <c r="T991" s="1"/>
      <c r="U991" s="1"/>
      <c r="V991" s="1"/>
      <c r="W991" s="1"/>
      <c r="X991" s="1"/>
      <c r="Y991" s="1"/>
    </row>
    <row r="992" spans="1:25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29"/>
      <c r="T992" s="1"/>
      <c r="U992" s="1"/>
      <c r="V992" s="1"/>
      <c r="W992" s="1"/>
      <c r="X992" s="1"/>
      <c r="Y992" s="1"/>
    </row>
    <row r="993" spans="1:25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29"/>
      <c r="T993" s="1"/>
      <c r="U993" s="1"/>
      <c r="V993" s="1"/>
      <c r="W993" s="1"/>
      <c r="X993" s="1"/>
      <c r="Y993" s="1"/>
    </row>
    <row r="994" spans="1:25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29"/>
      <c r="T994" s="1"/>
      <c r="U994" s="1"/>
      <c r="V994" s="1"/>
      <c r="W994" s="1"/>
      <c r="X994" s="1"/>
      <c r="Y994" s="1"/>
    </row>
    <row r="995" spans="1:2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29"/>
      <c r="T995" s="1"/>
      <c r="U995" s="1"/>
      <c r="V995" s="1"/>
      <c r="W995" s="1"/>
      <c r="X995" s="1"/>
      <c r="Y995" s="1"/>
    </row>
    <row r="996" spans="1:25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29"/>
      <c r="T996" s="1"/>
      <c r="U996" s="1"/>
      <c r="V996" s="1"/>
      <c r="W996" s="1"/>
      <c r="X996" s="1"/>
      <c r="Y996" s="1"/>
    </row>
    <row r="997" spans="1:25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29"/>
      <c r="T997" s="1"/>
      <c r="U997" s="1"/>
      <c r="V997" s="1"/>
      <c r="W997" s="1"/>
      <c r="X997" s="1"/>
      <c r="Y997" s="1"/>
    </row>
    <row r="998" spans="1:25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29"/>
      <c r="T998" s="1"/>
      <c r="U998" s="1"/>
      <c r="V998" s="1"/>
      <c r="W998" s="1"/>
      <c r="X998" s="1"/>
      <c r="Y998" s="1"/>
    </row>
    <row r="999" spans="1:25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29"/>
      <c r="T999" s="1"/>
      <c r="U999" s="1"/>
      <c r="V999" s="1"/>
      <c r="W999" s="1"/>
      <c r="X999" s="1"/>
      <c r="Y999" s="1"/>
    </row>
    <row r="1000" spans="1:25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9"/>
      <c r="T1000" s="1"/>
      <c r="U1000" s="1"/>
      <c r="V1000" s="1"/>
      <c r="W1000" s="1"/>
      <c r="X1000" s="1"/>
      <c r="Y1000" s="1"/>
    </row>
    <row r="1001" spans="1:25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9"/>
      <c r="T1001" s="1"/>
      <c r="U1001" s="1"/>
      <c r="V1001" s="1"/>
      <c r="W1001" s="1"/>
      <c r="X1001" s="1"/>
      <c r="Y1001" s="1"/>
    </row>
    <row r="1002" spans="1:25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29"/>
      <c r="T1002" s="1"/>
      <c r="U1002" s="1"/>
      <c r="V1002" s="1"/>
      <c r="W1002" s="1"/>
      <c r="X1002" s="1"/>
      <c r="Y1002" s="1"/>
    </row>
    <row r="1003" spans="1:25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29"/>
      <c r="T1003" s="1"/>
      <c r="U1003" s="1"/>
      <c r="V1003" s="1"/>
      <c r="W1003" s="1"/>
      <c r="X1003" s="1"/>
      <c r="Y1003" s="1"/>
    </row>
    <row r="1004" spans="1:25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29"/>
      <c r="T1004" s="1"/>
      <c r="U1004" s="1"/>
      <c r="V1004" s="1"/>
      <c r="W1004" s="1"/>
      <c r="X1004" s="1"/>
      <c r="Y1004" s="1"/>
    </row>
    <row r="1005" spans="1:25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29"/>
      <c r="T1005" s="1"/>
      <c r="U1005" s="1"/>
      <c r="V1005" s="1"/>
      <c r="W1005" s="1"/>
      <c r="X1005" s="1"/>
      <c r="Y1005" s="1"/>
    </row>
    <row r="1006" spans="1:25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29"/>
      <c r="T1006" s="1"/>
      <c r="U1006" s="1"/>
      <c r="V1006" s="1"/>
      <c r="W1006" s="1"/>
      <c r="X1006" s="1"/>
      <c r="Y1006" s="1"/>
    </row>
    <row r="1007" spans="1:25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29"/>
      <c r="T1007" s="1"/>
      <c r="U1007" s="1"/>
      <c r="V1007" s="1"/>
      <c r="W1007" s="1"/>
      <c r="X1007" s="1"/>
      <c r="Y1007" s="1"/>
    </row>
  </sheetData>
  <autoFilter ref="N18:X18" xr:uid="{00000000-0001-0000-0500-000000000000}"/>
  <mergeCells count="5">
    <mergeCell ref="B1:B3"/>
    <mergeCell ref="D2:G2"/>
    <mergeCell ref="B16:K16"/>
    <mergeCell ref="N16:X16"/>
    <mergeCell ref="Q2:V2"/>
  </mergeCells>
  <pageMargins left="0.7" right="0.7" top="0.75" bottom="0.75" header="0" footer="0"/>
  <pageSetup orientation="landscape"/>
  <ignoredErrors>
    <ignoredError sqref="V19:V73" formula="1"/>
  </ignoredErrors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7"/>
  <sheetViews>
    <sheetView showGridLines="0" workbookViewId="0">
      <selection activeCell="I10" sqref="I10"/>
    </sheetView>
  </sheetViews>
  <sheetFormatPr defaultColWidth="14.44140625" defaultRowHeight="15" customHeight="1"/>
  <cols>
    <col min="1" max="1" width="4" customWidth="1"/>
    <col min="2" max="2" width="14.88671875" customWidth="1"/>
    <col min="3" max="3" width="8.6640625" customWidth="1"/>
    <col min="4" max="4" width="12.5546875" customWidth="1"/>
    <col min="5" max="8" width="8.6640625" customWidth="1"/>
    <col min="9" max="9" width="9.33203125" customWidth="1"/>
    <col min="10" max="10" width="14.33203125" customWidth="1"/>
    <col min="11" max="11" width="20.33203125" customWidth="1"/>
    <col min="12" max="12" width="1.88671875" customWidth="1"/>
    <col min="13" max="13" width="8.6640625" customWidth="1"/>
    <col min="14" max="14" width="24.33203125" customWidth="1"/>
    <col min="15" max="15" width="11.33203125" customWidth="1"/>
    <col min="16" max="17" width="8.6640625" customWidth="1"/>
    <col min="18" max="18" width="7.77734375" customWidth="1"/>
    <col min="19" max="19" width="8.21875" style="32" customWidth="1"/>
    <col min="20" max="20" width="14.21875" customWidth="1"/>
    <col min="21" max="21" width="10.6640625" customWidth="1"/>
    <col min="22" max="22" width="12" customWidth="1"/>
    <col min="23" max="23" width="14.6640625" customWidth="1"/>
    <col min="24" max="25" width="8.6640625" customWidth="1"/>
  </cols>
  <sheetData>
    <row r="1" spans="1:25" ht="14.25" customHeight="1">
      <c r="A1" s="1"/>
      <c r="B1" s="4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1330</v>
      </c>
      <c r="O1" s="1"/>
      <c r="P1" s="1"/>
      <c r="Q1" s="1"/>
      <c r="R1" s="1"/>
      <c r="S1" s="31"/>
      <c r="T1" s="1"/>
      <c r="U1" s="1"/>
      <c r="V1" s="1"/>
      <c r="W1" s="1"/>
      <c r="X1" s="1"/>
      <c r="Y1" s="1"/>
    </row>
    <row r="2" spans="1:25" ht="14.25" customHeight="1">
      <c r="A2" s="1"/>
      <c r="B2" s="45"/>
      <c r="C2" s="1" t="s">
        <v>0</v>
      </c>
      <c r="D2" s="46" t="s">
        <v>1234</v>
      </c>
      <c r="E2" s="47"/>
      <c r="F2" s="47"/>
      <c r="G2" s="48"/>
      <c r="H2" s="1"/>
      <c r="K2" s="1"/>
      <c r="L2" s="1"/>
      <c r="M2" s="1"/>
      <c r="N2" s="25" t="s">
        <v>18</v>
      </c>
      <c r="O2" s="24" t="s">
        <v>1325</v>
      </c>
      <c r="P2" s="1"/>
      <c r="Q2" s="49" t="s">
        <v>1331</v>
      </c>
      <c r="R2" s="49"/>
      <c r="S2" s="49"/>
      <c r="T2" s="49"/>
      <c r="U2" s="49"/>
      <c r="V2" s="49"/>
      <c r="W2" s="1"/>
      <c r="X2" s="1"/>
      <c r="Y2" s="1"/>
    </row>
    <row r="3" spans="1:25" ht="14.25" customHeight="1">
      <c r="A3" s="1"/>
      <c r="B3" s="45"/>
      <c r="C3" s="1"/>
      <c r="D3" s="1"/>
      <c r="E3" s="1"/>
      <c r="F3" s="1"/>
      <c r="G3" s="1"/>
      <c r="H3" s="1"/>
      <c r="I3" s="1"/>
      <c r="J3" s="1"/>
      <c r="K3" s="1"/>
      <c r="L3" s="3"/>
      <c r="M3" s="3"/>
      <c r="N3" s="2" t="s">
        <v>23</v>
      </c>
      <c r="O3" s="10">
        <f>COUNT(B18:B367)</f>
        <v>251</v>
      </c>
      <c r="P3" s="1"/>
      <c r="Q3" s="1"/>
      <c r="R3" s="1"/>
      <c r="S3" s="31"/>
      <c r="T3" s="1"/>
      <c r="U3" s="1"/>
      <c r="V3" s="1"/>
      <c r="W3" s="1"/>
      <c r="X3" s="1"/>
      <c r="Y3" s="1"/>
    </row>
    <row r="4" spans="1:25" ht="14.25" customHeight="1">
      <c r="A4" s="1"/>
      <c r="B4" s="4" t="s">
        <v>2</v>
      </c>
      <c r="C4" s="5">
        <f>SUM(O19:O269)/ COUNTIF(X19:X269,"Yes")</f>
        <v>35.055084745762713</v>
      </c>
      <c r="D4" s="5">
        <f>AVERAGE(P19:P269)</f>
        <v>32.36326530612245</v>
      </c>
      <c r="E4" s="5">
        <f t="shared" ref="E4:F4" si="0">AVERAGE(Q19:Q269)</f>
        <v>4.6204081632653065</v>
      </c>
      <c r="F4" s="5">
        <f t="shared" si="0"/>
        <v>0.55510204081632653</v>
      </c>
      <c r="G4" s="21">
        <f>SUM(O19:O269)/SUM(P19:P269)</f>
        <v>1.0433850422499684</v>
      </c>
      <c r="H4" s="6"/>
      <c r="I4" s="6"/>
      <c r="J4" s="6"/>
      <c r="K4" s="7"/>
      <c r="L4" s="3"/>
      <c r="M4" s="1"/>
      <c r="N4" s="2" t="s">
        <v>25</v>
      </c>
      <c r="O4" s="10">
        <f>MAX(O18:O367)</f>
        <v>219</v>
      </c>
      <c r="P4" s="1"/>
      <c r="Q4" s="1"/>
      <c r="R4" s="1"/>
      <c r="S4" s="31"/>
      <c r="T4" s="1"/>
      <c r="U4" s="1"/>
      <c r="V4" s="1"/>
      <c r="W4" s="1"/>
      <c r="X4" s="1"/>
      <c r="Y4" s="1"/>
    </row>
    <row r="5" spans="1:25" ht="14.25" customHeight="1">
      <c r="A5" s="1"/>
      <c r="B5" s="8" t="s">
        <v>3</v>
      </c>
      <c r="C5" s="9">
        <f>MEDIAN(O19:O269)</f>
        <v>23</v>
      </c>
      <c r="D5" s="9">
        <f t="shared" ref="D5:G5" si="1">MEDIAN(P19:P269)</f>
        <v>25</v>
      </c>
      <c r="E5" s="9">
        <f t="shared" si="1"/>
        <v>3</v>
      </c>
      <c r="F5" s="9">
        <f t="shared" si="1"/>
        <v>0</v>
      </c>
      <c r="G5" s="9">
        <f t="shared" si="1"/>
        <v>92.23</v>
      </c>
      <c r="H5" s="10"/>
      <c r="I5" s="10"/>
      <c r="J5" s="10"/>
      <c r="K5" s="11"/>
      <c r="L5" s="3"/>
      <c r="M5" s="3"/>
      <c r="N5" s="2" t="s">
        <v>28</v>
      </c>
      <c r="O5" s="10">
        <f>COUNTIF(O18:O367,0)</f>
        <v>14</v>
      </c>
      <c r="P5" s="1"/>
      <c r="Q5" s="1"/>
      <c r="R5" s="1"/>
      <c r="S5" s="31"/>
      <c r="T5" s="1"/>
      <c r="U5" s="1"/>
      <c r="V5" s="1"/>
      <c r="W5" s="1"/>
      <c r="X5" s="1"/>
      <c r="Y5" s="1"/>
    </row>
    <row r="6" spans="1:25" ht="14.25" customHeight="1">
      <c r="A6" s="1"/>
      <c r="B6" s="8" t="s">
        <v>4</v>
      </c>
      <c r="C6" s="9"/>
      <c r="D6" s="9"/>
      <c r="E6" s="9"/>
      <c r="F6" s="9"/>
      <c r="G6" s="9"/>
      <c r="H6" s="10"/>
      <c r="I6" s="10"/>
      <c r="J6" s="10"/>
      <c r="K6" s="20"/>
      <c r="L6" s="1"/>
      <c r="M6" s="1"/>
      <c r="N6" s="2" t="s">
        <v>30</v>
      </c>
      <c r="O6" s="10">
        <f>COUNTIF(O18:O367, "&gt;=100")</f>
        <v>15</v>
      </c>
      <c r="P6" s="1"/>
      <c r="Q6" s="1"/>
      <c r="R6" s="1"/>
      <c r="S6" s="31"/>
      <c r="T6" s="1"/>
      <c r="U6" s="1"/>
      <c r="V6" s="1"/>
      <c r="W6" s="1"/>
      <c r="X6" s="1"/>
      <c r="Y6" s="1"/>
    </row>
    <row r="7" spans="1:25" ht="14.25" customHeight="1">
      <c r="A7" s="1"/>
      <c r="B7" s="8" t="s">
        <v>5</v>
      </c>
      <c r="C7" s="9">
        <f>_xlfn.STDEV.S(O19:O269)</f>
        <v>34.809418994279469</v>
      </c>
      <c r="D7" s="9">
        <f t="shared" ref="D7:G7" si="2">_xlfn.STDEV.S(P19:P269)</f>
        <v>29.175744289869431</v>
      </c>
      <c r="E7" s="9">
        <f t="shared" si="2"/>
        <v>4.5833349047514975</v>
      </c>
      <c r="F7" s="9">
        <f t="shared" si="2"/>
        <v>1.1244417967592171</v>
      </c>
      <c r="G7" s="9">
        <f t="shared" si="2"/>
        <v>46.830715933645628</v>
      </c>
      <c r="H7" s="10"/>
      <c r="I7" s="10"/>
      <c r="J7" s="10"/>
      <c r="K7" s="11"/>
      <c r="L7" s="1"/>
      <c r="M7" s="1"/>
      <c r="N7" s="2" t="s">
        <v>31</v>
      </c>
      <c r="O7" s="10">
        <f>COUNTIFS(O18:O367, "&gt;=50", O18:O367, "&lt;=100")</f>
        <v>39</v>
      </c>
      <c r="P7" s="1"/>
      <c r="Q7" s="1"/>
      <c r="R7" s="1"/>
      <c r="S7" s="31"/>
      <c r="T7" s="1"/>
      <c r="U7" s="1"/>
      <c r="V7" s="1"/>
      <c r="W7" s="1"/>
      <c r="X7" s="1"/>
      <c r="Y7" s="1"/>
    </row>
    <row r="8" spans="1:25" ht="14.25" customHeight="1">
      <c r="A8" s="1"/>
      <c r="B8" s="8" t="s">
        <v>6</v>
      </c>
      <c r="C8" s="9">
        <f>SKEW(O19:O269)</f>
        <v>1.7656733657639661</v>
      </c>
      <c r="D8" s="9">
        <f t="shared" ref="D8:G8" si="3">SKEW(P19:P269)</f>
        <v>1.5197641478447805</v>
      </c>
      <c r="E8" s="9">
        <f t="shared" si="3"/>
        <v>1.3466118561438694</v>
      </c>
      <c r="F8" s="9">
        <f t="shared" si="3"/>
        <v>2.9480911575271729</v>
      </c>
      <c r="G8" s="9">
        <f t="shared" si="3"/>
        <v>0.20612444782136197</v>
      </c>
      <c r="H8" s="10"/>
      <c r="I8" s="10"/>
      <c r="J8" s="10"/>
      <c r="K8" s="11"/>
      <c r="L8" s="1"/>
      <c r="M8" s="1"/>
      <c r="N8" s="2" t="s">
        <v>34</v>
      </c>
      <c r="O8" s="10">
        <f>SUM(Q18:Q367)*4+SUM(R18:R367)*6</f>
        <v>5344</v>
      </c>
      <c r="P8" s="1"/>
      <c r="Q8" s="1"/>
      <c r="R8" s="1"/>
      <c r="S8" s="31"/>
      <c r="T8" s="1"/>
      <c r="U8" s="1"/>
      <c r="V8" s="1"/>
      <c r="W8" s="1"/>
      <c r="X8" s="1"/>
      <c r="Y8" s="1"/>
    </row>
    <row r="9" spans="1:25" ht="14.25" customHeight="1">
      <c r="A9" s="1"/>
      <c r="B9" s="12" t="s">
        <v>7</v>
      </c>
      <c r="C9" s="13">
        <f>KURT(O19:O269)</f>
        <v>4.1594657942403934</v>
      </c>
      <c r="D9" s="13">
        <f t="shared" ref="D9:G9" si="4">KURT(P19:P269)</f>
        <v>2.3747525802654557</v>
      </c>
      <c r="E9" s="13">
        <f t="shared" si="4"/>
        <v>1.9752841796951199</v>
      </c>
      <c r="F9" s="13">
        <f t="shared" si="4"/>
        <v>10.3265164108379</v>
      </c>
      <c r="G9" s="13">
        <f t="shared" si="4"/>
        <v>0.5685377569092358</v>
      </c>
      <c r="H9" s="14"/>
      <c r="I9" s="14"/>
      <c r="J9" s="14"/>
      <c r="K9" s="15"/>
      <c r="L9" s="1"/>
      <c r="M9" s="1"/>
      <c r="N9" s="2" t="s">
        <v>37</v>
      </c>
      <c r="O9" s="18">
        <f>O8/SUM(O18:O367)</f>
        <v>0.64595672670131754</v>
      </c>
      <c r="P9" s="1"/>
      <c r="Q9" s="1"/>
      <c r="R9" s="1"/>
      <c r="S9" s="31"/>
      <c r="T9" s="1"/>
      <c r="U9" s="1"/>
      <c r="V9" s="1"/>
      <c r="W9" s="1"/>
      <c r="X9" s="1"/>
      <c r="Y9" s="1"/>
    </row>
    <row r="10" spans="1:25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 t="s">
        <v>41</v>
      </c>
      <c r="O10" s="18">
        <f>C7/C4</f>
        <v>0.99299200805632226</v>
      </c>
      <c r="P10" s="1"/>
      <c r="Q10" s="1"/>
      <c r="R10" s="1"/>
      <c r="S10" s="31"/>
      <c r="T10" s="1"/>
      <c r="U10" s="1"/>
      <c r="V10" s="1"/>
      <c r="W10" s="1"/>
      <c r="X10" s="1"/>
      <c r="Y10" s="1"/>
    </row>
    <row r="11" spans="1:25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1"/>
      <c r="T11" s="1"/>
      <c r="U11" s="1"/>
      <c r="V11" s="1"/>
      <c r="W11" s="1"/>
      <c r="X11" s="1"/>
      <c r="Y11" s="1"/>
    </row>
    <row r="12" spans="1:25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 t="s">
        <v>47</v>
      </c>
      <c r="O12" s="18">
        <f>COUNTIF(T18:T367, "run out")/COUNTIF(X18:X367, "Yes")</f>
        <v>8.4745762711864403E-2</v>
      </c>
      <c r="P12" s="1"/>
      <c r="Q12" s="1"/>
      <c r="R12" s="1"/>
      <c r="S12" s="31"/>
      <c r="T12" s="1"/>
      <c r="U12" s="1"/>
      <c r="V12" s="1"/>
      <c r="W12" s="1"/>
      <c r="X12" s="1"/>
      <c r="Y12" s="1"/>
    </row>
    <row r="13" spans="1:25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 t="s">
        <v>49</v>
      </c>
      <c r="O13" s="10">
        <f>SUMIFS(R19:R269,V19:V269, "*Sri Lanka")</f>
        <v>20</v>
      </c>
      <c r="P13" s="1"/>
      <c r="Q13" s="1"/>
      <c r="R13" s="1"/>
      <c r="S13" s="31"/>
      <c r="T13" s="1"/>
      <c r="U13" s="1"/>
      <c r="V13" s="1"/>
      <c r="W13" s="1"/>
      <c r="X13" s="1"/>
      <c r="Y13" s="1"/>
    </row>
    <row r="14" spans="1:25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1"/>
      <c r="T14" s="1"/>
      <c r="U14" s="1"/>
      <c r="V14" s="1"/>
      <c r="W14" s="1"/>
      <c r="X14" s="1"/>
      <c r="Y14" s="1"/>
    </row>
    <row r="15" spans="1:2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1"/>
      <c r="T15" s="1"/>
      <c r="U15" s="1"/>
      <c r="V15" s="1"/>
      <c r="W15" s="1"/>
      <c r="X15" s="1"/>
      <c r="Y15" s="1"/>
    </row>
    <row r="16" spans="1:25" ht="14.25" customHeight="1">
      <c r="A16" s="1"/>
      <c r="B16" s="49" t="s">
        <v>125</v>
      </c>
      <c r="C16" s="49"/>
      <c r="D16" s="49"/>
      <c r="E16" s="49"/>
      <c r="F16" s="49"/>
      <c r="G16" s="49"/>
      <c r="H16" s="49"/>
      <c r="I16" s="49"/>
      <c r="J16" s="49"/>
      <c r="K16" s="49"/>
      <c r="L16" s="1"/>
      <c r="M16" s="1"/>
      <c r="N16" s="49" t="s">
        <v>126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1"/>
    </row>
    <row r="17" spans="1:25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1"/>
      <c r="T17" s="1"/>
      <c r="U17" s="1"/>
      <c r="V17" s="1"/>
      <c r="W17" s="1"/>
      <c r="X17" s="1"/>
      <c r="Y17" s="1"/>
    </row>
    <row r="18" spans="1:25" ht="14.25" customHeight="1">
      <c r="A18" s="1"/>
      <c r="B18" s="16" t="s">
        <v>127</v>
      </c>
      <c r="C18" s="16" t="s">
        <v>9</v>
      </c>
      <c r="D18" s="16" t="s">
        <v>10</v>
      </c>
      <c r="E18" s="16" t="s">
        <v>11</v>
      </c>
      <c r="F18" s="16" t="s">
        <v>12</v>
      </c>
      <c r="G18" s="16" t="s">
        <v>13</v>
      </c>
      <c r="H18" s="16" t="s">
        <v>14</v>
      </c>
      <c r="I18" s="16" t="s">
        <v>529</v>
      </c>
      <c r="J18" s="16" t="s">
        <v>15</v>
      </c>
      <c r="K18" s="16" t="s">
        <v>16</v>
      </c>
      <c r="L18" s="19"/>
      <c r="M18" s="1"/>
      <c r="N18" s="23" t="s">
        <v>57</v>
      </c>
      <c r="O18" s="23" t="s">
        <v>9</v>
      </c>
      <c r="P18" s="23" t="s">
        <v>10</v>
      </c>
      <c r="Q18" s="23" t="s">
        <v>11</v>
      </c>
      <c r="R18" s="16" t="s">
        <v>12</v>
      </c>
      <c r="S18" s="43" t="s">
        <v>13</v>
      </c>
      <c r="T18" s="16" t="s">
        <v>14</v>
      </c>
      <c r="U18" s="16" t="s">
        <v>529</v>
      </c>
      <c r="V18" s="16" t="s">
        <v>15</v>
      </c>
      <c r="W18" s="16" t="s">
        <v>16</v>
      </c>
      <c r="X18" s="16" t="s">
        <v>17</v>
      </c>
      <c r="Y18" s="1"/>
    </row>
    <row r="19" spans="1:25" ht="14.25" customHeight="1">
      <c r="A19" s="1"/>
      <c r="B19" s="1">
        <v>1</v>
      </c>
      <c r="C19" s="1" t="s">
        <v>130</v>
      </c>
      <c r="D19" s="1" t="s">
        <v>151</v>
      </c>
      <c r="E19" s="1" t="s">
        <v>131</v>
      </c>
      <c r="F19" s="1" t="s">
        <v>131</v>
      </c>
      <c r="G19" s="1" t="s">
        <v>204</v>
      </c>
      <c r="H19" s="1" t="s">
        <v>19</v>
      </c>
      <c r="I19" s="1" t="s">
        <v>130</v>
      </c>
      <c r="J19" s="1" t="s">
        <v>156</v>
      </c>
      <c r="K19" s="1" t="s">
        <v>46</v>
      </c>
      <c r="L19" s="1"/>
      <c r="M19" s="1"/>
      <c r="N19" s="1" t="str">
        <f t="shared" ref="N19:N82" si="5">IF(OR(C19="DNB",C19="TDNB"),"Yes","No")</f>
        <v>No</v>
      </c>
      <c r="O19" s="1">
        <f>IF(N19="Yes", "NA",SUBSTITUTE(C19,"*","")*1)</f>
        <v>1</v>
      </c>
      <c r="P19" s="1">
        <f>IF(D19="-","NA",D19*1)</f>
        <v>2</v>
      </c>
      <c r="Q19" s="1">
        <f t="shared" ref="Q19:S34" si="6">IF(E19="-","NA",E19*1)</f>
        <v>0</v>
      </c>
      <c r="R19" s="1">
        <f t="shared" si="6"/>
        <v>0</v>
      </c>
      <c r="S19" s="31">
        <f t="shared" si="6"/>
        <v>50</v>
      </c>
      <c r="T19" s="1" t="str">
        <f>IF(H19="-","NA",H19)</f>
        <v>lbw</v>
      </c>
      <c r="U19" s="1" t="str">
        <f>I19</f>
        <v>1</v>
      </c>
      <c r="V19" s="1" t="str">
        <f>SUBSTITUTE(J19,"v","")</f>
        <v xml:space="preserve"> Pakistan</v>
      </c>
      <c r="W19" s="1" t="str">
        <f>K19</f>
        <v>Mohali</v>
      </c>
      <c r="X19" s="1" t="str">
        <f t="shared" ref="X19:X83" si="7">IF(N19="Yes","No",IF(T19="not out","No","Yes"))</f>
        <v>Yes</v>
      </c>
      <c r="Y19" s="1"/>
    </row>
    <row r="20" spans="1:25" ht="14.25" customHeight="1">
      <c r="A20" s="1"/>
      <c r="B20" s="1">
        <v>2</v>
      </c>
      <c r="C20" s="1" t="s">
        <v>57</v>
      </c>
      <c r="D20" s="1" t="s">
        <v>157</v>
      </c>
      <c r="E20" s="1" t="s">
        <v>157</v>
      </c>
      <c r="F20" s="1" t="s">
        <v>157</v>
      </c>
      <c r="G20" s="1" t="s">
        <v>157</v>
      </c>
      <c r="H20" s="1" t="s">
        <v>157</v>
      </c>
      <c r="I20" s="1" t="s">
        <v>151</v>
      </c>
      <c r="J20" s="1" t="s">
        <v>195</v>
      </c>
      <c r="K20" s="1" t="s">
        <v>101</v>
      </c>
      <c r="L20" s="1"/>
      <c r="M20" s="1"/>
      <c r="N20" s="1" t="str">
        <f t="shared" si="5"/>
        <v>Yes</v>
      </c>
      <c r="O20" s="1" t="str">
        <f t="shared" ref="O20:O83" si="8">IF(N20="Yes", "NA",SUBSTITUTE(C20,"*","")*1)</f>
        <v>NA</v>
      </c>
      <c r="P20" s="1" t="str">
        <f t="shared" ref="P20:P83" si="9">IF(D20="-","NA",D20*1)</f>
        <v>NA</v>
      </c>
      <c r="Q20" s="1" t="str">
        <f t="shared" si="6"/>
        <v>NA</v>
      </c>
      <c r="R20" s="1" t="str">
        <f t="shared" si="6"/>
        <v>NA</v>
      </c>
      <c r="S20" s="31" t="str">
        <f t="shared" si="6"/>
        <v>NA</v>
      </c>
      <c r="T20" s="1" t="str">
        <f t="shared" ref="T20:T83" si="10">IF(H20="-","NA",H20)</f>
        <v>NA</v>
      </c>
      <c r="U20" s="1" t="str">
        <f t="shared" ref="U20:U83" si="11">I20</f>
        <v>2</v>
      </c>
      <c r="V20" s="1" t="str">
        <f t="shared" ref="V20:V83" si="12">SUBSTITUTE(J20,"v","")</f>
        <v xml:space="preserve"> Zimbabwe</v>
      </c>
      <c r="W20" s="1" t="str">
        <f t="shared" ref="W20:W83" si="13">K20</f>
        <v>Kanpur</v>
      </c>
      <c r="X20" s="1" t="str">
        <f t="shared" si="7"/>
        <v>No</v>
      </c>
      <c r="Y20" s="1"/>
    </row>
    <row r="21" spans="1:25" ht="14.25" customHeight="1">
      <c r="A21" s="1"/>
      <c r="B21" s="1">
        <v>3</v>
      </c>
      <c r="C21" s="1" t="s">
        <v>170</v>
      </c>
      <c r="D21" s="1" t="s">
        <v>154</v>
      </c>
      <c r="E21" s="1" t="s">
        <v>131</v>
      </c>
      <c r="F21" s="1" t="s">
        <v>130</v>
      </c>
      <c r="G21" s="1" t="s">
        <v>387</v>
      </c>
      <c r="H21" s="1" t="s">
        <v>24</v>
      </c>
      <c r="I21" s="1" t="s">
        <v>130</v>
      </c>
      <c r="J21" s="1" t="s">
        <v>195</v>
      </c>
      <c r="K21" s="1" t="s">
        <v>48</v>
      </c>
      <c r="L21" s="1"/>
      <c r="M21" s="1"/>
      <c r="N21" s="1" t="str">
        <f t="shared" si="5"/>
        <v>No</v>
      </c>
      <c r="O21" s="1">
        <f t="shared" si="8"/>
        <v>19</v>
      </c>
      <c r="P21" s="1">
        <f t="shared" si="9"/>
        <v>24</v>
      </c>
      <c r="Q21" s="1">
        <f t="shared" si="6"/>
        <v>0</v>
      </c>
      <c r="R21" s="1">
        <f t="shared" si="6"/>
        <v>1</v>
      </c>
      <c r="S21" s="31">
        <f t="shared" si="6"/>
        <v>79.16</v>
      </c>
      <c r="T21" s="1" t="str">
        <f t="shared" si="10"/>
        <v>caught</v>
      </c>
      <c r="U21" s="1" t="str">
        <f t="shared" si="11"/>
        <v>1</v>
      </c>
      <c r="V21" s="1" t="str">
        <f t="shared" si="12"/>
        <v xml:space="preserve"> Zimbabwe</v>
      </c>
      <c r="W21" s="1" t="str">
        <f t="shared" si="13"/>
        <v>Rajkot</v>
      </c>
      <c r="X21" s="1" t="str">
        <f t="shared" si="7"/>
        <v>Yes</v>
      </c>
      <c r="Y21" s="1"/>
    </row>
    <row r="22" spans="1:25" ht="14.25" customHeight="1">
      <c r="A22" s="1"/>
      <c r="B22" s="1">
        <v>4</v>
      </c>
      <c r="C22" s="1" t="s">
        <v>582</v>
      </c>
      <c r="D22" s="1" t="s">
        <v>142</v>
      </c>
      <c r="E22" s="1" t="s">
        <v>189</v>
      </c>
      <c r="F22" s="1" t="s">
        <v>131</v>
      </c>
      <c r="G22" s="1" t="s">
        <v>1177</v>
      </c>
      <c r="H22" s="1" t="s">
        <v>29</v>
      </c>
      <c r="I22" s="1" t="s">
        <v>130</v>
      </c>
      <c r="J22" s="1" t="s">
        <v>158</v>
      </c>
      <c r="K22" s="1" t="s">
        <v>67</v>
      </c>
      <c r="L22" s="1"/>
      <c r="M22" s="1"/>
      <c r="N22" s="1" t="str">
        <f t="shared" si="5"/>
        <v>No</v>
      </c>
      <c r="O22" s="1">
        <f t="shared" si="8"/>
        <v>58</v>
      </c>
      <c r="P22" s="1">
        <f t="shared" si="9"/>
        <v>54</v>
      </c>
      <c r="Q22" s="1">
        <f t="shared" si="6"/>
        <v>8</v>
      </c>
      <c r="R22" s="1">
        <f t="shared" si="6"/>
        <v>0</v>
      </c>
      <c r="S22" s="31">
        <f t="shared" si="6"/>
        <v>107.4</v>
      </c>
      <c r="T22" s="1" t="str">
        <f t="shared" si="10"/>
        <v>bowled</v>
      </c>
      <c r="U22" s="1" t="str">
        <f t="shared" si="11"/>
        <v>1</v>
      </c>
      <c r="V22" s="1" t="str">
        <f t="shared" si="12"/>
        <v xml:space="preserve"> Australia</v>
      </c>
      <c r="W22" s="1" t="str">
        <f t="shared" si="13"/>
        <v>Bengaluru</v>
      </c>
      <c r="X22" s="1" t="str">
        <f t="shared" si="7"/>
        <v>Yes</v>
      </c>
      <c r="Y22" s="1"/>
    </row>
    <row r="23" spans="1:25" ht="14.25" customHeight="1">
      <c r="A23" s="1"/>
      <c r="B23" s="1">
        <v>5</v>
      </c>
      <c r="C23" s="1" t="s">
        <v>57</v>
      </c>
      <c r="D23" s="1" t="s">
        <v>157</v>
      </c>
      <c r="E23" s="1" t="s">
        <v>157</v>
      </c>
      <c r="F23" s="1" t="s">
        <v>157</v>
      </c>
      <c r="G23" s="1" t="s">
        <v>157</v>
      </c>
      <c r="H23" s="1" t="s">
        <v>157</v>
      </c>
      <c r="I23" s="1" t="s">
        <v>151</v>
      </c>
      <c r="J23" s="1" t="s">
        <v>195</v>
      </c>
      <c r="K23" s="1" t="s">
        <v>62</v>
      </c>
      <c r="L23" s="1"/>
      <c r="M23" s="1"/>
      <c r="N23" s="1" t="str">
        <f t="shared" si="5"/>
        <v>Yes</v>
      </c>
      <c r="O23" s="1" t="str">
        <f t="shared" si="8"/>
        <v>NA</v>
      </c>
      <c r="P23" s="1" t="str">
        <f t="shared" si="9"/>
        <v>NA</v>
      </c>
      <c r="Q23" s="1" t="str">
        <f t="shared" si="6"/>
        <v>NA</v>
      </c>
      <c r="R23" s="1" t="str">
        <f t="shared" si="6"/>
        <v>NA</v>
      </c>
      <c r="S23" s="31" t="str">
        <f t="shared" si="6"/>
        <v>NA</v>
      </c>
      <c r="T23" s="1" t="str">
        <f t="shared" si="10"/>
        <v>NA</v>
      </c>
      <c r="U23" s="1" t="str">
        <f t="shared" si="11"/>
        <v>2</v>
      </c>
      <c r="V23" s="1" t="str">
        <f t="shared" si="12"/>
        <v xml:space="preserve"> Zimbabwe</v>
      </c>
      <c r="W23" s="1" t="str">
        <f t="shared" si="13"/>
        <v>Harare</v>
      </c>
      <c r="X23" s="1" t="str">
        <f t="shared" si="7"/>
        <v>No</v>
      </c>
      <c r="Y23" s="1"/>
    </row>
    <row r="24" spans="1:25" ht="14.25" customHeight="1">
      <c r="A24" s="1"/>
      <c r="B24" s="1">
        <v>6</v>
      </c>
      <c r="C24" s="1" t="s">
        <v>151</v>
      </c>
      <c r="D24" s="1" t="s">
        <v>144</v>
      </c>
      <c r="E24" s="1" t="s">
        <v>131</v>
      </c>
      <c r="F24" s="1" t="s">
        <v>131</v>
      </c>
      <c r="G24" s="1" t="s">
        <v>539</v>
      </c>
      <c r="H24" s="1" t="s">
        <v>24</v>
      </c>
      <c r="I24" s="1" t="s">
        <v>151</v>
      </c>
      <c r="J24" s="1" t="s">
        <v>195</v>
      </c>
      <c r="K24" s="1" t="s">
        <v>61</v>
      </c>
      <c r="L24" s="1"/>
      <c r="M24" s="1"/>
      <c r="N24" s="1" t="str">
        <f t="shared" si="5"/>
        <v>No</v>
      </c>
      <c r="O24" s="1">
        <f t="shared" si="8"/>
        <v>2</v>
      </c>
      <c r="P24" s="1">
        <f t="shared" si="9"/>
        <v>7</v>
      </c>
      <c r="Q24" s="1">
        <f t="shared" si="6"/>
        <v>0</v>
      </c>
      <c r="R24" s="1">
        <f t="shared" si="6"/>
        <v>0</v>
      </c>
      <c r="S24" s="31">
        <f t="shared" si="6"/>
        <v>28.57</v>
      </c>
      <c r="T24" s="1" t="str">
        <f t="shared" si="10"/>
        <v>caught</v>
      </c>
      <c r="U24" s="1" t="str">
        <f t="shared" si="11"/>
        <v>2</v>
      </c>
      <c r="V24" s="1" t="str">
        <f t="shared" si="12"/>
        <v xml:space="preserve"> Zimbabwe</v>
      </c>
      <c r="W24" s="1" t="str">
        <f t="shared" si="13"/>
        <v>Bulawayo</v>
      </c>
      <c r="X24" s="1" t="str">
        <f t="shared" si="7"/>
        <v>Yes</v>
      </c>
      <c r="Y24" s="1"/>
    </row>
    <row r="25" spans="1:25" ht="14.25" customHeight="1">
      <c r="A25" s="1"/>
      <c r="B25" s="1">
        <v>7</v>
      </c>
      <c r="C25" s="1" t="s">
        <v>803</v>
      </c>
      <c r="D25" s="1" t="s">
        <v>153</v>
      </c>
      <c r="E25" s="1" t="s">
        <v>130</v>
      </c>
      <c r="F25" s="1" t="s">
        <v>131</v>
      </c>
      <c r="G25" s="1" t="s">
        <v>537</v>
      </c>
      <c r="H25" s="1" t="s">
        <v>32</v>
      </c>
      <c r="I25" s="1" t="s">
        <v>151</v>
      </c>
      <c r="J25" s="1" t="s">
        <v>163</v>
      </c>
      <c r="K25" s="1" t="s">
        <v>61</v>
      </c>
      <c r="L25" s="1"/>
      <c r="M25" s="1"/>
      <c r="N25" s="1" t="str">
        <f t="shared" si="5"/>
        <v>No</v>
      </c>
      <c r="O25" s="1">
        <f t="shared" si="8"/>
        <v>11</v>
      </c>
      <c r="P25" s="1">
        <f t="shared" si="9"/>
        <v>16</v>
      </c>
      <c r="Q25" s="1">
        <f t="shared" si="6"/>
        <v>1</v>
      </c>
      <c r="R25" s="1">
        <f t="shared" si="6"/>
        <v>0</v>
      </c>
      <c r="S25" s="31">
        <f t="shared" si="6"/>
        <v>68.75</v>
      </c>
      <c r="T25" s="1" t="str">
        <f t="shared" si="10"/>
        <v>not out</v>
      </c>
      <c r="U25" s="1" t="str">
        <f t="shared" si="11"/>
        <v>2</v>
      </c>
      <c r="V25" s="1" t="str">
        <f t="shared" si="12"/>
        <v xml:space="preserve"> West Indies</v>
      </c>
      <c r="W25" s="1" t="str">
        <f t="shared" si="13"/>
        <v>Bulawayo</v>
      </c>
      <c r="X25" s="1" t="str">
        <f t="shared" si="7"/>
        <v>No</v>
      </c>
      <c r="Y25" s="1"/>
    </row>
    <row r="26" spans="1:25" ht="14.25" customHeight="1">
      <c r="A26" s="1"/>
      <c r="B26" s="1">
        <v>8</v>
      </c>
      <c r="C26" s="1" t="s">
        <v>140</v>
      </c>
      <c r="D26" s="1" t="s">
        <v>161</v>
      </c>
      <c r="E26" s="1" t="s">
        <v>130</v>
      </c>
      <c r="F26" s="1" t="s">
        <v>131</v>
      </c>
      <c r="G26" s="1" t="s">
        <v>259</v>
      </c>
      <c r="H26" s="1" t="s">
        <v>63</v>
      </c>
      <c r="I26" s="1" t="s">
        <v>151</v>
      </c>
      <c r="J26" s="1" t="s">
        <v>163</v>
      </c>
      <c r="K26" s="1" t="s">
        <v>62</v>
      </c>
      <c r="L26" s="1"/>
      <c r="M26" s="1"/>
      <c r="N26" s="1" t="str">
        <f t="shared" si="5"/>
        <v>No</v>
      </c>
      <c r="O26" s="1">
        <f t="shared" si="8"/>
        <v>4</v>
      </c>
      <c r="P26" s="1">
        <f t="shared" si="9"/>
        <v>9</v>
      </c>
      <c r="Q26" s="1">
        <f t="shared" si="6"/>
        <v>1</v>
      </c>
      <c r="R26" s="1">
        <f t="shared" si="6"/>
        <v>0</v>
      </c>
      <c r="S26" s="31">
        <f t="shared" si="6"/>
        <v>44.44</v>
      </c>
      <c r="T26" s="1" t="str">
        <f t="shared" si="10"/>
        <v>stumped</v>
      </c>
      <c r="U26" s="1" t="str">
        <f t="shared" si="11"/>
        <v>2</v>
      </c>
      <c r="V26" s="1" t="str">
        <f t="shared" si="12"/>
        <v xml:space="preserve"> West Indies</v>
      </c>
      <c r="W26" s="1" t="str">
        <f t="shared" si="13"/>
        <v>Harare</v>
      </c>
      <c r="X26" s="1" t="str">
        <f t="shared" si="7"/>
        <v>Yes</v>
      </c>
      <c r="Y26" s="1"/>
    </row>
    <row r="27" spans="1:25" ht="14.25" customHeight="1">
      <c r="A27" s="1"/>
      <c r="B27" s="1">
        <v>9</v>
      </c>
      <c r="C27" s="1" t="s">
        <v>151</v>
      </c>
      <c r="D27" s="1" t="s">
        <v>144</v>
      </c>
      <c r="E27" s="1" t="s">
        <v>131</v>
      </c>
      <c r="F27" s="1" t="s">
        <v>131</v>
      </c>
      <c r="G27" s="1" t="s">
        <v>539</v>
      </c>
      <c r="H27" s="1" t="s">
        <v>24</v>
      </c>
      <c r="I27" s="1" t="s">
        <v>151</v>
      </c>
      <c r="J27" s="1" t="s">
        <v>163</v>
      </c>
      <c r="K27" s="1" t="s">
        <v>62</v>
      </c>
      <c r="L27" s="1"/>
      <c r="M27" s="1"/>
      <c r="N27" s="1" t="str">
        <f t="shared" si="5"/>
        <v>No</v>
      </c>
      <c r="O27" s="1">
        <f t="shared" si="8"/>
        <v>2</v>
      </c>
      <c r="P27" s="1">
        <f t="shared" si="9"/>
        <v>7</v>
      </c>
      <c r="Q27" s="1">
        <f t="shared" si="6"/>
        <v>0</v>
      </c>
      <c r="R27" s="1">
        <f t="shared" si="6"/>
        <v>0</v>
      </c>
      <c r="S27" s="31">
        <f t="shared" si="6"/>
        <v>28.57</v>
      </c>
      <c r="T27" s="1" t="str">
        <f t="shared" si="10"/>
        <v>caught</v>
      </c>
      <c r="U27" s="1" t="str">
        <f t="shared" si="11"/>
        <v>2</v>
      </c>
      <c r="V27" s="1" t="str">
        <f t="shared" si="12"/>
        <v xml:space="preserve"> West Indies</v>
      </c>
      <c r="W27" s="1" t="str">
        <f t="shared" si="13"/>
        <v>Harare</v>
      </c>
      <c r="X27" s="1" t="str">
        <f t="shared" si="7"/>
        <v>Yes</v>
      </c>
      <c r="Y27" s="1"/>
    </row>
    <row r="28" spans="1:25" ht="14.25" customHeight="1">
      <c r="A28" s="1"/>
      <c r="B28" s="1">
        <v>10</v>
      </c>
      <c r="C28" s="1" t="s">
        <v>131</v>
      </c>
      <c r="D28" s="1" t="s">
        <v>148</v>
      </c>
      <c r="E28" s="1" t="s">
        <v>131</v>
      </c>
      <c r="F28" s="1" t="s">
        <v>131</v>
      </c>
      <c r="G28" s="1" t="s">
        <v>210</v>
      </c>
      <c r="H28" s="1" t="s">
        <v>24</v>
      </c>
      <c r="I28" s="1" t="s">
        <v>151</v>
      </c>
      <c r="J28" s="1" t="s">
        <v>211</v>
      </c>
      <c r="K28" s="1" t="s">
        <v>27</v>
      </c>
      <c r="L28" s="1"/>
      <c r="M28" s="1"/>
      <c r="N28" s="1" t="str">
        <f t="shared" si="5"/>
        <v>No</v>
      </c>
      <c r="O28" s="1">
        <f t="shared" si="8"/>
        <v>0</v>
      </c>
      <c r="P28" s="1">
        <f t="shared" si="9"/>
        <v>3</v>
      </c>
      <c r="Q28" s="1">
        <f t="shared" si="6"/>
        <v>0</v>
      </c>
      <c r="R28" s="1">
        <f t="shared" si="6"/>
        <v>0</v>
      </c>
      <c r="S28" s="31">
        <f t="shared" si="6"/>
        <v>0</v>
      </c>
      <c r="T28" s="1" t="str">
        <f t="shared" si="10"/>
        <v>caught</v>
      </c>
      <c r="U28" s="1" t="str">
        <f t="shared" si="11"/>
        <v>2</v>
      </c>
      <c r="V28" s="1" t="str">
        <f t="shared" si="12"/>
        <v xml:space="preserve"> New Zealand</v>
      </c>
      <c r="W28" s="1" t="str">
        <f t="shared" si="13"/>
        <v>Colombo (RPS)</v>
      </c>
      <c r="X28" s="1" t="str">
        <f t="shared" si="7"/>
        <v>Yes</v>
      </c>
      <c r="Y28" s="1"/>
    </row>
    <row r="29" spans="1:25" ht="14.25" customHeight="1">
      <c r="A29" s="1"/>
      <c r="B29" s="1">
        <v>11</v>
      </c>
      <c r="C29" s="1" t="s">
        <v>128</v>
      </c>
      <c r="D29" s="1" t="s">
        <v>205</v>
      </c>
      <c r="E29" s="1" t="s">
        <v>131</v>
      </c>
      <c r="F29" s="1" t="s">
        <v>131</v>
      </c>
      <c r="G29" s="1" t="s">
        <v>520</v>
      </c>
      <c r="H29" s="1" t="s">
        <v>24</v>
      </c>
      <c r="I29" s="1" t="s">
        <v>151</v>
      </c>
      <c r="J29" s="1" t="s">
        <v>133</v>
      </c>
      <c r="K29" s="1" t="s">
        <v>27</v>
      </c>
      <c r="L29" s="1"/>
      <c r="M29" s="1"/>
      <c r="N29" s="1" t="str">
        <f t="shared" si="5"/>
        <v>No</v>
      </c>
      <c r="O29" s="1">
        <f t="shared" si="8"/>
        <v>12</v>
      </c>
      <c r="P29" s="1">
        <f t="shared" si="9"/>
        <v>14</v>
      </c>
      <c r="Q29" s="1">
        <f t="shared" si="6"/>
        <v>0</v>
      </c>
      <c r="R29" s="1">
        <f t="shared" si="6"/>
        <v>0</v>
      </c>
      <c r="S29" s="31">
        <f t="shared" si="6"/>
        <v>85.71</v>
      </c>
      <c r="T29" s="1" t="str">
        <f t="shared" si="10"/>
        <v>caught</v>
      </c>
      <c r="U29" s="1" t="str">
        <f t="shared" si="11"/>
        <v>2</v>
      </c>
      <c r="V29" s="1" t="str">
        <f t="shared" si="12"/>
        <v xml:space="preserve"> Sri Lanka</v>
      </c>
      <c r="W29" s="1" t="str">
        <f t="shared" si="13"/>
        <v>Colombo (RPS)</v>
      </c>
      <c r="X29" s="1" t="str">
        <f t="shared" si="7"/>
        <v>Yes</v>
      </c>
      <c r="Y29" s="1"/>
    </row>
    <row r="30" spans="1:25" ht="14.25" customHeight="1">
      <c r="A30" s="1"/>
      <c r="B30" s="1">
        <v>12</v>
      </c>
      <c r="C30" s="1" t="s">
        <v>244</v>
      </c>
      <c r="D30" s="1" t="s">
        <v>142</v>
      </c>
      <c r="E30" s="1" t="s">
        <v>148</v>
      </c>
      <c r="F30" s="1" t="s">
        <v>131</v>
      </c>
      <c r="G30" s="1" t="s">
        <v>391</v>
      </c>
      <c r="H30" s="1" t="s">
        <v>26</v>
      </c>
      <c r="I30" s="1" t="s">
        <v>151</v>
      </c>
      <c r="J30" s="1" t="s">
        <v>211</v>
      </c>
      <c r="K30" s="1" t="s">
        <v>27</v>
      </c>
      <c r="L30" s="1"/>
      <c r="M30" s="1"/>
      <c r="N30" s="1" t="str">
        <f t="shared" si="5"/>
        <v>No</v>
      </c>
      <c r="O30" s="1">
        <f t="shared" si="8"/>
        <v>33</v>
      </c>
      <c r="P30" s="1">
        <f t="shared" si="9"/>
        <v>54</v>
      </c>
      <c r="Q30" s="1">
        <f t="shared" si="6"/>
        <v>3</v>
      </c>
      <c r="R30" s="1">
        <f t="shared" si="6"/>
        <v>0</v>
      </c>
      <c r="S30" s="31">
        <f t="shared" si="6"/>
        <v>61.11</v>
      </c>
      <c r="T30" s="1" t="str">
        <f t="shared" si="10"/>
        <v>run out</v>
      </c>
      <c r="U30" s="1" t="str">
        <f t="shared" si="11"/>
        <v>2</v>
      </c>
      <c r="V30" s="1" t="str">
        <f t="shared" si="12"/>
        <v xml:space="preserve"> New Zealand</v>
      </c>
      <c r="W30" s="1" t="str">
        <f t="shared" si="13"/>
        <v>Colombo (RPS)</v>
      </c>
      <c r="X30" s="1" t="str">
        <f t="shared" si="7"/>
        <v>Yes</v>
      </c>
      <c r="Y30" s="1"/>
    </row>
    <row r="31" spans="1:25" ht="14.25" customHeight="1">
      <c r="A31" s="1"/>
      <c r="B31" s="1">
        <v>13</v>
      </c>
      <c r="C31" s="1" t="s">
        <v>169</v>
      </c>
      <c r="D31" s="1" t="s">
        <v>165</v>
      </c>
      <c r="E31" s="1" t="s">
        <v>202</v>
      </c>
      <c r="F31" s="1" t="s">
        <v>131</v>
      </c>
      <c r="G31" s="1" t="s">
        <v>1235</v>
      </c>
      <c r="H31" s="1" t="s">
        <v>24</v>
      </c>
      <c r="I31" s="1" t="s">
        <v>151</v>
      </c>
      <c r="J31" s="1" t="s">
        <v>133</v>
      </c>
      <c r="K31" s="1" t="s">
        <v>27</v>
      </c>
      <c r="L31" s="1"/>
      <c r="M31" s="1"/>
      <c r="N31" s="1" t="str">
        <f t="shared" si="5"/>
        <v>No</v>
      </c>
      <c r="O31" s="1">
        <f t="shared" si="8"/>
        <v>27</v>
      </c>
      <c r="P31" s="1">
        <f t="shared" si="9"/>
        <v>41</v>
      </c>
      <c r="Q31" s="1">
        <f t="shared" si="6"/>
        <v>5</v>
      </c>
      <c r="R31" s="1">
        <f t="shared" si="6"/>
        <v>0</v>
      </c>
      <c r="S31" s="31">
        <f t="shared" si="6"/>
        <v>65.849999999999994</v>
      </c>
      <c r="T31" s="1" t="str">
        <f t="shared" si="10"/>
        <v>caught</v>
      </c>
      <c r="U31" s="1" t="str">
        <f t="shared" si="11"/>
        <v>2</v>
      </c>
      <c r="V31" s="1" t="str">
        <f t="shared" si="12"/>
        <v xml:space="preserve"> Sri Lanka</v>
      </c>
      <c r="W31" s="1" t="str">
        <f t="shared" si="13"/>
        <v>Colombo (RPS)</v>
      </c>
      <c r="X31" s="1" t="str">
        <f t="shared" si="7"/>
        <v>Yes</v>
      </c>
      <c r="Y31" s="1"/>
    </row>
    <row r="32" spans="1:25" ht="14.25" customHeight="1">
      <c r="A32" s="1"/>
      <c r="B32" s="1">
        <v>14</v>
      </c>
      <c r="C32" s="1" t="s">
        <v>131</v>
      </c>
      <c r="D32" s="1" t="s">
        <v>130</v>
      </c>
      <c r="E32" s="1" t="s">
        <v>131</v>
      </c>
      <c r="F32" s="1" t="s">
        <v>131</v>
      </c>
      <c r="G32" s="1" t="s">
        <v>210</v>
      </c>
      <c r="H32" s="1" t="s">
        <v>19</v>
      </c>
      <c r="I32" s="1" t="s">
        <v>130</v>
      </c>
      <c r="J32" s="1" t="s">
        <v>133</v>
      </c>
      <c r="K32" s="1" t="s">
        <v>584</v>
      </c>
      <c r="L32" s="1"/>
      <c r="M32" s="1"/>
      <c r="N32" s="1" t="str">
        <f t="shared" si="5"/>
        <v>No</v>
      </c>
      <c r="O32" s="1">
        <f t="shared" si="8"/>
        <v>0</v>
      </c>
      <c r="P32" s="1">
        <f t="shared" si="9"/>
        <v>1</v>
      </c>
      <c r="Q32" s="1">
        <f t="shared" si="6"/>
        <v>0</v>
      </c>
      <c r="R32" s="1">
        <f t="shared" si="6"/>
        <v>0</v>
      </c>
      <c r="S32" s="31">
        <f t="shared" si="6"/>
        <v>0</v>
      </c>
      <c r="T32" s="1" t="str">
        <f t="shared" si="10"/>
        <v>lbw</v>
      </c>
      <c r="U32" s="1" t="str">
        <f t="shared" si="11"/>
        <v>1</v>
      </c>
      <c r="V32" s="1" t="str">
        <f t="shared" si="12"/>
        <v xml:space="preserve"> Sri Lanka</v>
      </c>
      <c r="W32" s="1" t="str">
        <f t="shared" si="13"/>
        <v>Colombo (SSC)</v>
      </c>
      <c r="X32" s="1" t="str">
        <f t="shared" si="7"/>
        <v>Yes</v>
      </c>
      <c r="Y32" s="1"/>
    </row>
    <row r="33" spans="1:25" ht="14.25" customHeight="1">
      <c r="A33" s="1"/>
      <c r="B33" s="1">
        <v>15</v>
      </c>
      <c r="C33" s="1" t="s">
        <v>342</v>
      </c>
      <c r="D33" s="1" t="s">
        <v>222</v>
      </c>
      <c r="E33" s="1" t="s">
        <v>170</v>
      </c>
      <c r="F33" s="1" t="s">
        <v>130</v>
      </c>
      <c r="G33" s="1" t="s">
        <v>621</v>
      </c>
      <c r="H33" s="1" t="s">
        <v>29</v>
      </c>
      <c r="I33" s="1" t="s">
        <v>151</v>
      </c>
      <c r="J33" s="1" t="s">
        <v>211</v>
      </c>
      <c r="K33" s="1" t="s">
        <v>584</v>
      </c>
      <c r="L33" s="1"/>
      <c r="M33" s="1"/>
      <c r="N33" s="1" t="str">
        <f t="shared" si="5"/>
        <v>No</v>
      </c>
      <c r="O33" s="1">
        <f t="shared" si="8"/>
        <v>100</v>
      </c>
      <c r="P33" s="1">
        <f t="shared" si="9"/>
        <v>70</v>
      </c>
      <c r="Q33" s="1">
        <f t="shared" si="6"/>
        <v>19</v>
      </c>
      <c r="R33" s="1">
        <f t="shared" si="6"/>
        <v>1</v>
      </c>
      <c r="S33" s="31">
        <f t="shared" si="6"/>
        <v>142.85</v>
      </c>
      <c r="T33" s="1" t="str">
        <f t="shared" si="10"/>
        <v>bowled</v>
      </c>
      <c r="U33" s="1" t="str">
        <f t="shared" si="11"/>
        <v>2</v>
      </c>
      <c r="V33" s="1" t="str">
        <f t="shared" si="12"/>
        <v xml:space="preserve"> New Zealand</v>
      </c>
      <c r="W33" s="1" t="str">
        <f t="shared" si="13"/>
        <v>Colombo (SSC)</v>
      </c>
      <c r="X33" s="1" t="str">
        <f t="shared" si="7"/>
        <v>Yes</v>
      </c>
      <c r="Y33" s="1"/>
    </row>
    <row r="34" spans="1:25" ht="14.25" customHeight="1">
      <c r="A34" s="1"/>
      <c r="B34" s="1">
        <v>16</v>
      </c>
      <c r="C34" s="1" t="s">
        <v>140</v>
      </c>
      <c r="D34" s="1" t="s">
        <v>140</v>
      </c>
      <c r="E34" s="1" t="s">
        <v>130</v>
      </c>
      <c r="F34" s="1" t="s">
        <v>131</v>
      </c>
      <c r="G34" s="1" t="s">
        <v>152</v>
      </c>
      <c r="H34" s="1" t="s">
        <v>26</v>
      </c>
      <c r="I34" s="1" t="s">
        <v>151</v>
      </c>
      <c r="J34" s="1" t="s">
        <v>133</v>
      </c>
      <c r="K34" s="1" t="s">
        <v>27</v>
      </c>
      <c r="L34" s="1"/>
      <c r="M34" s="1"/>
      <c r="N34" s="1" t="str">
        <f t="shared" si="5"/>
        <v>No</v>
      </c>
      <c r="O34" s="1">
        <f t="shared" si="8"/>
        <v>4</v>
      </c>
      <c r="P34" s="1">
        <f t="shared" si="9"/>
        <v>4</v>
      </c>
      <c r="Q34" s="1">
        <f t="shared" si="6"/>
        <v>1</v>
      </c>
      <c r="R34" s="1">
        <f t="shared" si="6"/>
        <v>0</v>
      </c>
      <c r="S34" s="31">
        <f t="shared" si="6"/>
        <v>100</v>
      </c>
      <c r="T34" s="1" t="str">
        <f t="shared" si="10"/>
        <v>run out</v>
      </c>
      <c r="U34" s="1" t="str">
        <f t="shared" si="11"/>
        <v>2</v>
      </c>
      <c r="V34" s="1" t="str">
        <f t="shared" si="12"/>
        <v xml:space="preserve"> Sri Lanka</v>
      </c>
      <c r="W34" s="1" t="str">
        <f t="shared" si="13"/>
        <v>Colombo (RPS)</v>
      </c>
      <c r="X34" s="1" t="str">
        <f t="shared" si="7"/>
        <v>Yes</v>
      </c>
      <c r="Y34" s="1"/>
    </row>
    <row r="35" spans="1:25" ht="14.25" customHeight="1">
      <c r="A35" s="1"/>
      <c r="B35" s="1">
        <v>17</v>
      </c>
      <c r="C35" s="1" t="s">
        <v>202</v>
      </c>
      <c r="D35" s="1" t="s">
        <v>202</v>
      </c>
      <c r="E35" s="1" t="s">
        <v>131</v>
      </c>
      <c r="F35" s="1" t="s">
        <v>131</v>
      </c>
      <c r="G35" s="1" t="s">
        <v>152</v>
      </c>
      <c r="H35" s="1" t="s">
        <v>24</v>
      </c>
      <c r="I35" s="1" t="s">
        <v>130</v>
      </c>
      <c r="J35" s="1" t="s">
        <v>191</v>
      </c>
      <c r="K35" s="1" t="s">
        <v>43</v>
      </c>
      <c r="L35" s="1"/>
      <c r="M35" s="1"/>
      <c r="N35" s="1" t="str">
        <f t="shared" si="5"/>
        <v>No</v>
      </c>
      <c r="O35" s="1">
        <f t="shared" si="8"/>
        <v>5</v>
      </c>
      <c r="P35" s="1">
        <f t="shared" si="9"/>
        <v>5</v>
      </c>
      <c r="Q35" s="1">
        <f t="shared" ref="Q35:S98" si="14">IF(E35="-","NA",E35*1)</f>
        <v>0</v>
      </c>
      <c r="R35" s="1">
        <f t="shared" si="14"/>
        <v>0</v>
      </c>
      <c r="S35" s="31">
        <f t="shared" si="14"/>
        <v>100</v>
      </c>
      <c r="T35" s="1" t="str">
        <f t="shared" si="10"/>
        <v>caught</v>
      </c>
      <c r="U35" s="1" t="str">
        <f t="shared" si="11"/>
        <v>1</v>
      </c>
      <c r="V35" s="1" t="str">
        <f t="shared" si="12"/>
        <v xml:space="preserve"> South Africa</v>
      </c>
      <c r="W35" s="1" t="str">
        <f t="shared" si="13"/>
        <v>Johannesburg</v>
      </c>
      <c r="X35" s="1" t="str">
        <f t="shared" si="7"/>
        <v>Yes</v>
      </c>
      <c r="Y35" s="1"/>
    </row>
    <row r="36" spans="1:25" ht="14.25" customHeight="1">
      <c r="A36" s="1"/>
      <c r="B36" s="1">
        <v>18</v>
      </c>
      <c r="C36" s="1" t="s">
        <v>244</v>
      </c>
      <c r="D36" s="1" t="s">
        <v>169</v>
      </c>
      <c r="E36" s="1" t="s">
        <v>140</v>
      </c>
      <c r="F36" s="1" t="s">
        <v>130</v>
      </c>
      <c r="G36" s="1" t="s">
        <v>316</v>
      </c>
      <c r="H36" s="1" t="s">
        <v>24</v>
      </c>
      <c r="I36" s="1" t="s">
        <v>130</v>
      </c>
      <c r="J36" s="1" t="s">
        <v>191</v>
      </c>
      <c r="K36" s="1" t="s">
        <v>36</v>
      </c>
      <c r="L36" s="1"/>
      <c r="M36" s="1"/>
      <c r="N36" s="1" t="str">
        <f t="shared" si="5"/>
        <v>No</v>
      </c>
      <c r="O36" s="1">
        <f t="shared" si="8"/>
        <v>33</v>
      </c>
      <c r="P36" s="1">
        <f t="shared" si="9"/>
        <v>27</v>
      </c>
      <c r="Q36" s="1">
        <f t="shared" si="14"/>
        <v>4</v>
      </c>
      <c r="R36" s="1">
        <f t="shared" si="14"/>
        <v>1</v>
      </c>
      <c r="S36" s="31">
        <f t="shared" si="14"/>
        <v>122.22</v>
      </c>
      <c r="T36" s="1" t="str">
        <f t="shared" si="10"/>
        <v>caught</v>
      </c>
      <c r="U36" s="1" t="str">
        <f t="shared" si="11"/>
        <v>1</v>
      </c>
      <c r="V36" s="1" t="str">
        <f t="shared" si="12"/>
        <v xml:space="preserve"> South Africa</v>
      </c>
      <c r="W36" s="1" t="str">
        <f t="shared" si="13"/>
        <v>Centurion</v>
      </c>
      <c r="X36" s="1" t="str">
        <f t="shared" si="7"/>
        <v>Yes</v>
      </c>
      <c r="Y36" s="1"/>
    </row>
    <row r="37" spans="1:25" ht="14.25" customHeight="1">
      <c r="A37" s="1"/>
      <c r="B37" s="1">
        <v>19</v>
      </c>
      <c r="C37" s="1" t="s">
        <v>509</v>
      </c>
      <c r="D37" s="1" t="s">
        <v>321</v>
      </c>
      <c r="E37" s="1" t="s">
        <v>176</v>
      </c>
      <c r="F37" s="1" t="s">
        <v>131</v>
      </c>
      <c r="G37" s="1" t="s">
        <v>1236</v>
      </c>
      <c r="H37" s="1" t="s">
        <v>32</v>
      </c>
      <c r="I37" s="1" t="s">
        <v>151</v>
      </c>
      <c r="J37" s="1" t="s">
        <v>1012</v>
      </c>
      <c r="K37" s="1" t="s">
        <v>979</v>
      </c>
      <c r="L37" s="1"/>
      <c r="M37" s="1"/>
      <c r="N37" s="1" t="str">
        <f t="shared" si="5"/>
        <v>No</v>
      </c>
      <c r="O37" s="1">
        <f t="shared" si="8"/>
        <v>55</v>
      </c>
      <c r="P37" s="1">
        <f t="shared" si="9"/>
        <v>43</v>
      </c>
      <c r="Q37" s="1">
        <f t="shared" si="14"/>
        <v>11</v>
      </c>
      <c r="R37" s="1">
        <f t="shared" si="14"/>
        <v>0</v>
      </c>
      <c r="S37" s="31">
        <f t="shared" si="14"/>
        <v>127.9</v>
      </c>
      <c r="T37" s="1" t="str">
        <f t="shared" si="10"/>
        <v>not out</v>
      </c>
      <c r="U37" s="1" t="str">
        <f t="shared" si="11"/>
        <v>2</v>
      </c>
      <c r="V37" s="1" t="str">
        <f t="shared" si="12"/>
        <v xml:space="preserve"> Kenya</v>
      </c>
      <c r="W37" s="1" t="str">
        <f t="shared" si="13"/>
        <v>Bloemfontein</v>
      </c>
      <c r="X37" s="1" t="str">
        <f t="shared" si="7"/>
        <v>No</v>
      </c>
      <c r="Y37" s="1"/>
    </row>
    <row r="38" spans="1:25" ht="14.25" customHeight="1">
      <c r="A38" s="1"/>
      <c r="B38" s="1">
        <v>20</v>
      </c>
      <c r="C38" s="1" t="s">
        <v>140</v>
      </c>
      <c r="D38" s="1" t="s">
        <v>202</v>
      </c>
      <c r="E38" s="1" t="s">
        <v>131</v>
      </c>
      <c r="F38" s="1" t="s">
        <v>131</v>
      </c>
      <c r="G38" s="1" t="s">
        <v>361</v>
      </c>
      <c r="H38" s="1" t="s">
        <v>24</v>
      </c>
      <c r="I38" s="1" t="s">
        <v>151</v>
      </c>
      <c r="J38" s="1" t="s">
        <v>191</v>
      </c>
      <c r="K38" s="1" t="s">
        <v>981</v>
      </c>
      <c r="L38" s="1"/>
      <c r="M38" s="1"/>
      <c r="N38" s="1" t="str">
        <f t="shared" si="5"/>
        <v>No</v>
      </c>
      <c r="O38" s="1">
        <f t="shared" si="8"/>
        <v>4</v>
      </c>
      <c r="P38" s="1">
        <f t="shared" si="9"/>
        <v>5</v>
      </c>
      <c r="Q38" s="1">
        <f t="shared" si="14"/>
        <v>0</v>
      </c>
      <c r="R38" s="1">
        <f t="shared" si="14"/>
        <v>0</v>
      </c>
      <c r="S38" s="31">
        <f t="shared" si="14"/>
        <v>80</v>
      </c>
      <c r="T38" s="1" t="str">
        <f t="shared" si="10"/>
        <v>caught</v>
      </c>
      <c r="U38" s="1" t="str">
        <f t="shared" si="11"/>
        <v>2</v>
      </c>
      <c r="V38" s="1" t="str">
        <f t="shared" si="12"/>
        <v xml:space="preserve"> South Africa</v>
      </c>
      <c r="W38" s="1" t="str">
        <f t="shared" si="13"/>
        <v>East London</v>
      </c>
      <c r="X38" s="1" t="str">
        <f t="shared" si="7"/>
        <v>Yes</v>
      </c>
      <c r="Y38" s="1"/>
    </row>
    <row r="39" spans="1:25" ht="14.25" customHeight="1">
      <c r="A39" s="1"/>
      <c r="B39" s="1">
        <v>21</v>
      </c>
      <c r="C39" s="1" t="s">
        <v>509</v>
      </c>
      <c r="D39" s="1" t="s">
        <v>304</v>
      </c>
      <c r="E39" s="1" t="s">
        <v>144</v>
      </c>
      <c r="F39" s="1" t="s">
        <v>148</v>
      </c>
      <c r="G39" s="1" t="s">
        <v>1237</v>
      </c>
      <c r="H39" s="1" t="s">
        <v>32</v>
      </c>
      <c r="I39" s="1" t="s">
        <v>130</v>
      </c>
      <c r="J39" s="1" t="s">
        <v>1012</v>
      </c>
      <c r="K39" s="1" t="s">
        <v>117</v>
      </c>
      <c r="L39" s="1"/>
      <c r="M39" s="1"/>
      <c r="N39" s="1" t="str">
        <f t="shared" si="5"/>
        <v>No</v>
      </c>
      <c r="O39" s="1">
        <f t="shared" si="8"/>
        <v>55</v>
      </c>
      <c r="P39" s="1">
        <f t="shared" si="9"/>
        <v>23</v>
      </c>
      <c r="Q39" s="1">
        <f t="shared" si="14"/>
        <v>7</v>
      </c>
      <c r="R39" s="1">
        <f t="shared" si="14"/>
        <v>3</v>
      </c>
      <c r="S39" s="31">
        <f t="shared" si="14"/>
        <v>239.13</v>
      </c>
      <c r="T39" s="1" t="str">
        <f t="shared" si="10"/>
        <v>not out</v>
      </c>
      <c r="U39" s="1" t="str">
        <f t="shared" si="11"/>
        <v>1</v>
      </c>
      <c r="V39" s="1" t="str">
        <f t="shared" si="12"/>
        <v xml:space="preserve"> Kenya</v>
      </c>
      <c r="W39" s="1" t="str">
        <f t="shared" si="13"/>
        <v>Paarl</v>
      </c>
      <c r="X39" s="1" t="str">
        <f t="shared" si="7"/>
        <v>No</v>
      </c>
      <c r="Y39" s="1"/>
    </row>
    <row r="40" spans="1:25" ht="14.25" customHeight="1">
      <c r="A40" s="1"/>
      <c r="B40" s="1">
        <v>22</v>
      </c>
      <c r="C40" s="1" t="s">
        <v>208</v>
      </c>
      <c r="D40" s="1" t="s">
        <v>582</v>
      </c>
      <c r="E40" s="1" t="s">
        <v>140</v>
      </c>
      <c r="F40" s="1" t="s">
        <v>130</v>
      </c>
      <c r="G40" s="1" t="s">
        <v>1238</v>
      </c>
      <c r="H40" s="1" t="s">
        <v>24</v>
      </c>
      <c r="I40" s="1" t="s">
        <v>130</v>
      </c>
      <c r="J40" s="1" t="s">
        <v>191</v>
      </c>
      <c r="K40" s="1" t="s">
        <v>69</v>
      </c>
      <c r="L40" s="1"/>
      <c r="M40" s="1"/>
      <c r="N40" s="1" t="str">
        <f t="shared" si="5"/>
        <v>No</v>
      </c>
      <c r="O40" s="1">
        <f t="shared" si="8"/>
        <v>34</v>
      </c>
      <c r="P40" s="1">
        <f t="shared" si="9"/>
        <v>58</v>
      </c>
      <c r="Q40" s="1">
        <f t="shared" si="14"/>
        <v>4</v>
      </c>
      <c r="R40" s="1">
        <f t="shared" si="14"/>
        <v>1</v>
      </c>
      <c r="S40" s="31">
        <f t="shared" si="14"/>
        <v>58.62</v>
      </c>
      <c r="T40" s="1" t="str">
        <f t="shared" si="10"/>
        <v>caught</v>
      </c>
      <c r="U40" s="1" t="str">
        <f t="shared" si="11"/>
        <v>1</v>
      </c>
      <c r="V40" s="1" t="str">
        <f t="shared" si="12"/>
        <v xml:space="preserve"> South Africa</v>
      </c>
      <c r="W40" s="1" t="str">
        <f t="shared" si="13"/>
        <v>Durban</v>
      </c>
      <c r="X40" s="1" t="str">
        <f t="shared" si="7"/>
        <v>Yes</v>
      </c>
      <c r="Y40" s="1"/>
    </row>
    <row r="41" spans="1:25" ht="14.25" customHeight="1">
      <c r="A41" s="1"/>
      <c r="B41" s="1">
        <v>23</v>
      </c>
      <c r="C41" s="1" t="s">
        <v>200</v>
      </c>
      <c r="D41" s="1" t="s">
        <v>134</v>
      </c>
      <c r="E41" s="1" t="s">
        <v>202</v>
      </c>
      <c r="F41" s="1" t="s">
        <v>131</v>
      </c>
      <c r="G41" s="1" t="s">
        <v>1239</v>
      </c>
      <c r="H41" s="1" t="s">
        <v>29</v>
      </c>
      <c r="I41" s="1" t="s">
        <v>130</v>
      </c>
      <c r="J41" s="1" t="s">
        <v>234</v>
      </c>
      <c r="K41" s="1" t="s">
        <v>51</v>
      </c>
      <c r="L41" s="1"/>
      <c r="M41" s="1"/>
      <c r="N41" s="1" t="str">
        <f t="shared" si="5"/>
        <v>No</v>
      </c>
      <c r="O41" s="1">
        <f t="shared" si="8"/>
        <v>29</v>
      </c>
      <c r="P41" s="1">
        <f t="shared" si="9"/>
        <v>37</v>
      </c>
      <c r="Q41" s="1">
        <f t="shared" si="14"/>
        <v>5</v>
      </c>
      <c r="R41" s="1">
        <f t="shared" si="14"/>
        <v>0</v>
      </c>
      <c r="S41" s="31">
        <f t="shared" si="14"/>
        <v>78.37</v>
      </c>
      <c r="T41" s="1" t="str">
        <f t="shared" si="10"/>
        <v>bowled</v>
      </c>
      <c r="U41" s="1" t="str">
        <f t="shared" si="11"/>
        <v>1</v>
      </c>
      <c r="V41" s="1" t="str">
        <f t="shared" si="12"/>
        <v xml:space="preserve"> England</v>
      </c>
      <c r="W41" s="1" t="str">
        <f t="shared" si="13"/>
        <v>Eden Gardens</v>
      </c>
      <c r="X41" s="1" t="str">
        <f t="shared" si="7"/>
        <v>Yes</v>
      </c>
      <c r="Y41" s="1"/>
    </row>
    <row r="42" spans="1:25" ht="14.25" customHeight="1">
      <c r="A42" s="1"/>
      <c r="B42" s="1">
        <v>24</v>
      </c>
      <c r="C42" s="1" t="s">
        <v>202</v>
      </c>
      <c r="D42" s="1" t="s">
        <v>167</v>
      </c>
      <c r="E42" s="1" t="s">
        <v>131</v>
      </c>
      <c r="F42" s="1" t="s">
        <v>131</v>
      </c>
      <c r="G42" s="1" t="s">
        <v>204</v>
      </c>
      <c r="H42" s="1" t="s">
        <v>24</v>
      </c>
      <c r="I42" s="1" t="s">
        <v>151</v>
      </c>
      <c r="J42" s="1" t="s">
        <v>234</v>
      </c>
      <c r="K42" s="1" t="s">
        <v>86</v>
      </c>
      <c r="L42" s="1"/>
      <c r="M42" s="1"/>
      <c r="N42" s="1" t="str">
        <f t="shared" si="5"/>
        <v>No</v>
      </c>
      <c r="O42" s="1">
        <f t="shared" si="8"/>
        <v>5</v>
      </c>
      <c r="P42" s="1">
        <f t="shared" si="9"/>
        <v>10</v>
      </c>
      <c r="Q42" s="1">
        <f t="shared" si="14"/>
        <v>0</v>
      </c>
      <c r="R42" s="1">
        <f t="shared" si="14"/>
        <v>0</v>
      </c>
      <c r="S42" s="31">
        <f t="shared" si="14"/>
        <v>50</v>
      </c>
      <c r="T42" s="1" t="str">
        <f t="shared" si="10"/>
        <v>caught</v>
      </c>
      <c r="U42" s="1" t="str">
        <f t="shared" si="11"/>
        <v>2</v>
      </c>
      <c r="V42" s="1" t="str">
        <f t="shared" si="12"/>
        <v xml:space="preserve"> England</v>
      </c>
      <c r="W42" s="1" t="str">
        <f t="shared" si="13"/>
        <v>Cuttack</v>
      </c>
      <c r="X42" s="1" t="str">
        <f t="shared" si="7"/>
        <v>Yes</v>
      </c>
      <c r="Y42" s="1"/>
    </row>
    <row r="43" spans="1:25" ht="14.25" customHeight="1">
      <c r="A43" s="1"/>
      <c r="B43" s="1">
        <v>25</v>
      </c>
      <c r="C43" s="1" t="s">
        <v>356</v>
      </c>
      <c r="D43" s="1" t="s">
        <v>582</v>
      </c>
      <c r="E43" s="1" t="s">
        <v>189</v>
      </c>
      <c r="F43" s="1" t="s">
        <v>131</v>
      </c>
      <c r="G43" s="1" t="s">
        <v>1240</v>
      </c>
      <c r="H43" s="1" t="s">
        <v>24</v>
      </c>
      <c r="I43" s="1" t="s">
        <v>151</v>
      </c>
      <c r="J43" s="1" t="s">
        <v>234</v>
      </c>
      <c r="K43" s="1" t="s">
        <v>68</v>
      </c>
      <c r="L43" s="1"/>
      <c r="M43" s="1"/>
      <c r="N43" s="1" t="str">
        <f t="shared" si="5"/>
        <v>No</v>
      </c>
      <c r="O43" s="1">
        <f t="shared" si="8"/>
        <v>51</v>
      </c>
      <c r="P43" s="1">
        <f t="shared" si="9"/>
        <v>58</v>
      </c>
      <c r="Q43" s="1">
        <f t="shared" si="14"/>
        <v>8</v>
      </c>
      <c r="R43" s="1">
        <f t="shared" si="14"/>
        <v>0</v>
      </c>
      <c r="S43" s="31">
        <f t="shared" si="14"/>
        <v>87.93</v>
      </c>
      <c r="T43" s="1" t="str">
        <f t="shared" si="10"/>
        <v>caught</v>
      </c>
      <c r="U43" s="1" t="str">
        <f t="shared" si="11"/>
        <v>2</v>
      </c>
      <c r="V43" s="1" t="str">
        <f t="shared" si="12"/>
        <v xml:space="preserve"> England</v>
      </c>
      <c r="W43" s="1" t="str">
        <f t="shared" si="13"/>
        <v>Chennai</v>
      </c>
      <c r="X43" s="1" t="str">
        <f t="shared" si="7"/>
        <v>Yes</v>
      </c>
      <c r="Y43" s="1"/>
    </row>
    <row r="44" spans="1:25" ht="14.25" customHeight="1">
      <c r="A44" s="1"/>
      <c r="B44" s="1">
        <v>26</v>
      </c>
      <c r="C44" s="1" t="s">
        <v>196</v>
      </c>
      <c r="D44" s="1" t="s">
        <v>364</v>
      </c>
      <c r="E44" s="1" t="s">
        <v>205</v>
      </c>
      <c r="F44" s="1" t="s">
        <v>131</v>
      </c>
      <c r="G44" s="1" t="s">
        <v>1241</v>
      </c>
      <c r="H44" s="1" t="s">
        <v>24</v>
      </c>
      <c r="I44" s="1" t="s">
        <v>151</v>
      </c>
      <c r="J44" s="1" t="s">
        <v>234</v>
      </c>
      <c r="K44" s="1" t="s">
        <v>101</v>
      </c>
      <c r="L44" s="1"/>
      <c r="M44" s="1"/>
      <c r="N44" s="1" t="str">
        <f t="shared" si="5"/>
        <v>No</v>
      </c>
      <c r="O44" s="1">
        <f t="shared" si="8"/>
        <v>82</v>
      </c>
      <c r="P44" s="1">
        <f t="shared" si="9"/>
        <v>62</v>
      </c>
      <c r="Q44" s="1">
        <f t="shared" si="14"/>
        <v>14</v>
      </c>
      <c r="R44" s="1">
        <f t="shared" si="14"/>
        <v>0</v>
      </c>
      <c r="S44" s="31">
        <f t="shared" si="14"/>
        <v>132.25</v>
      </c>
      <c r="T44" s="1" t="str">
        <f t="shared" si="10"/>
        <v>caught</v>
      </c>
      <c r="U44" s="1" t="str">
        <f t="shared" si="11"/>
        <v>2</v>
      </c>
      <c r="V44" s="1" t="str">
        <f t="shared" si="12"/>
        <v xml:space="preserve"> England</v>
      </c>
      <c r="W44" s="1" t="str">
        <f t="shared" si="13"/>
        <v>Kanpur</v>
      </c>
      <c r="X44" s="1" t="str">
        <f t="shared" si="7"/>
        <v>Yes</v>
      </c>
      <c r="Y44" s="1"/>
    </row>
    <row r="45" spans="1:25" ht="14.25" customHeight="1">
      <c r="A45" s="1"/>
      <c r="B45" s="1">
        <v>27</v>
      </c>
      <c r="C45" s="1" t="s">
        <v>386</v>
      </c>
      <c r="D45" s="1" t="s">
        <v>258</v>
      </c>
      <c r="E45" s="1" t="s">
        <v>144</v>
      </c>
      <c r="F45" s="1" t="s">
        <v>131</v>
      </c>
      <c r="G45" s="1" t="s">
        <v>267</v>
      </c>
      <c r="H45" s="1" t="s">
        <v>24</v>
      </c>
      <c r="I45" s="1" t="s">
        <v>151</v>
      </c>
      <c r="J45" s="1" t="s">
        <v>234</v>
      </c>
      <c r="K45" s="1" t="s">
        <v>52</v>
      </c>
      <c r="L45" s="1"/>
      <c r="M45" s="1"/>
      <c r="N45" s="1" t="str">
        <f t="shared" si="5"/>
        <v>No</v>
      </c>
      <c r="O45" s="1">
        <f t="shared" si="8"/>
        <v>42</v>
      </c>
      <c r="P45" s="1">
        <f t="shared" si="9"/>
        <v>36</v>
      </c>
      <c r="Q45" s="1">
        <f t="shared" si="14"/>
        <v>7</v>
      </c>
      <c r="R45" s="1">
        <f t="shared" si="14"/>
        <v>0</v>
      </c>
      <c r="S45" s="31">
        <f t="shared" si="14"/>
        <v>116.66</v>
      </c>
      <c r="T45" s="1" t="str">
        <f t="shared" si="10"/>
        <v>caught</v>
      </c>
      <c r="U45" s="1" t="str">
        <f t="shared" si="11"/>
        <v>2</v>
      </c>
      <c r="V45" s="1" t="str">
        <f t="shared" si="12"/>
        <v xml:space="preserve"> England</v>
      </c>
      <c r="W45" s="1" t="str">
        <f t="shared" si="13"/>
        <v>Delhi</v>
      </c>
      <c r="X45" s="1" t="str">
        <f t="shared" si="7"/>
        <v>Yes</v>
      </c>
      <c r="Y45" s="1"/>
    </row>
    <row r="46" spans="1:25" ht="14.25" customHeight="1">
      <c r="A46" s="1"/>
      <c r="B46" s="1">
        <v>28</v>
      </c>
      <c r="C46" s="1" t="s">
        <v>146</v>
      </c>
      <c r="D46" s="1" t="s">
        <v>200</v>
      </c>
      <c r="E46" s="1" t="s">
        <v>140</v>
      </c>
      <c r="F46" s="1" t="s">
        <v>130</v>
      </c>
      <c r="G46" s="1" t="s">
        <v>1242</v>
      </c>
      <c r="H46" s="1" t="s">
        <v>24</v>
      </c>
      <c r="I46" s="1" t="s">
        <v>151</v>
      </c>
      <c r="J46" s="1" t="s">
        <v>234</v>
      </c>
      <c r="K46" s="1" t="s">
        <v>75</v>
      </c>
      <c r="L46" s="1"/>
      <c r="M46" s="1"/>
      <c r="N46" s="1" t="str">
        <f t="shared" si="5"/>
        <v>No</v>
      </c>
      <c r="O46" s="1">
        <f t="shared" si="8"/>
        <v>31</v>
      </c>
      <c r="P46" s="1">
        <f t="shared" si="9"/>
        <v>29</v>
      </c>
      <c r="Q46" s="1">
        <f t="shared" si="14"/>
        <v>4</v>
      </c>
      <c r="R46" s="1">
        <f t="shared" si="14"/>
        <v>1</v>
      </c>
      <c r="S46" s="31">
        <f t="shared" si="14"/>
        <v>106.89</v>
      </c>
      <c r="T46" s="1" t="str">
        <f t="shared" si="10"/>
        <v>caught</v>
      </c>
      <c r="U46" s="1" t="str">
        <f t="shared" si="11"/>
        <v>2</v>
      </c>
      <c r="V46" s="1" t="str">
        <f t="shared" si="12"/>
        <v xml:space="preserve"> England</v>
      </c>
      <c r="W46" s="1" t="str">
        <f t="shared" si="13"/>
        <v>Wankhede</v>
      </c>
      <c r="X46" s="1" t="str">
        <f t="shared" si="7"/>
        <v>Yes</v>
      </c>
      <c r="Y46" s="1"/>
    </row>
    <row r="47" spans="1:25" ht="14.25" customHeight="1">
      <c r="A47" s="1"/>
      <c r="B47" s="1">
        <v>29</v>
      </c>
      <c r="C47" s="1" t="s">
        <v>246</v>
      </c>
      <c r="D47" s="1" t="s">
        <v>258</v>
      </c>
      <c r="E47" s="1" t="s">
        <v>148</v>
      </c>
      <c r="F47" s="1" t="s">
        <v>131</v>
      </c>
      <c r="G47" s="1" t="s">
        <v>1031</v>
      </c>
      <c r="H47" s="1" t="s">
        <v>24</v>
      </c>
      <c r="I47" s="1" t="s">
        <v>151</v>
      </c>
      <c r="J47" s="1" t="s">
        <v>163</v>
      </c>
      <c r="K47" s="1" t="s">
        <v>120</v>
      </c>
      <c r="L47" s="1"/>
      <c r="M47" s="1"/>
      <c r="N47" s="1" t="str">
        <f t="shared" si="5"/>
        <v>No</v>
      </c>
      <c r="O47" s="1">
        <f t="shared" si="8"/>
        <v>21</v>
      </c>
      <c r="P47" s="1">
        <f t="shared" si="9"/>
        <v>36</v>
      </c>
      <c r="Q47" s="1">
        <f t="shared" si="14"/>
        <v>3</v>
      </c>
      <c r="R47" s="1">
        <f t="shared" si="14"/>
        <v>0</v>
      </c>
      <c r="S47" s="31">
        <f t="shared" si="14"/>
        <v>58.33</v>
      </c>
      <c r="T47" s="1" t="str">
        <f t="shared" si="10"/>
        <v>caught</v>
      </c>
      <c r="U47" s="1" t="str">
        <f t="shared" si="11"/>
        <v>2</v>
      </c>
      <c r="V47" s="1" t="str">
        <f t="shared" si="12"/>
        <v xml:space="preserve"> West Indies</v>
      </c>
      <c r="W47" s="1" t="str">
        <f t="shared" si="13"/>
        <v>Bridgetown</v>
      </c>
      <c r="X47" s="1" t="str">
        <f t="shared" si="7"/>
        <v>Yes</v>
      </c>
      <c r="Y47" s="1"/>
    </row>
    <row r="48" spans="1:25" ht="14.25" customHeight="1">
      <c r="A48" s="1"/>
      <c r="B48" s="1">
        <v>30</v>
      </c>
      <c r="C48" s="1" t="s">
        <v>131</v>
      </c>
      <c r="D48" s="1" t="s">
        <v>130</v>
      </c>
      <c r="E48" s="1" t="s">
        <v>131</v>
      </c>
      <c r="F48" s="1" t="s">
        <v>131</v>
      </c>
      <c r="G48" s="1" t="s">
        <v>210</v>
      </c>
      <c r="H48" s="1" t="s">
        <v>24</v>
      </c>
      <c r="I48" s="1" t="s">
        <v>130</v>
      </c>
      <c r="J48" s="1" t="s">
        <v>163</v>
      </c>
      <c r="K48" s="1" t="s">
        <v>76</v>
      </c>
      <c r="L48" s="1"/>
      <c r="M48" s="1"/>
      <c r="N48" s="1" t="str">
        <f t="shared" si="5"/>
        <v>No</v>
      </c>
      <c r="O48" s="1">
        <f t="shared" si="8"/>
        <v>0</v>
      </c>
      <c r="P48" s="1">
        <f t="shared" si="9"/>
        <v>1</v>
      </c>
      <c r="Q48" s="1">
        <f t="shared" si="14"/>
        <v>0</v>
      </c>
      <c r="R48" s="1">
        <f t="shared" si="14"/>
        <v>0</v>
      </c>
      <c r="S48" s="31">
        <f t="shared" si="14"/>
        <v>0</v>
      </c>
      <c r="T48" s="1" t="str">
        <f t="shared" si="10"/>
        <v>caught</v>
      </c>
      <c r="U48" s="1" t="str">
        <f t="shared" si="11"/>
        <v>1</v>
      </c>
      <c r="V48" s="1" t="str">
        <f t="shared" si="12"/>
        <v xml:space="preserve"> West Indies</v>
      </c>
      <c r="W48" s="1" t="str">
        <f t="shared" si="13"/>
        <v>Port of Spain</v>
      </c>
      <c r="X48" s="1" t="str">
        <f t="shared" si="7"/>
        <v>Yes</v>
      </c>
      <c r="Y48" s="1"/>
    </row>
    <row r="49" spans="1:25" ht="14.25" customHeight="1">
      <c r="A49" s="1"/>
      <c r="B49" s="1">
        <v>31</v>
      </c>
      <c r="C49" s="1" t="s">
        <v>521</v>
      </c>
      <c r="D49" s="1" t="s">
        <v>521</v>
      </c>
      <c r="E49" s="1" t="s">
        <v>136</v>
      </c>
      <c r="F49" s="1" t="s">
        <v>131</v>
      </c>
      <c r="G49" s="1" t="s">
        <v>152</v>
      </c>
      <c r="H49" s="1" t="s">
        <v>24</v>
      </c>
      <c r="I49" s="1" t="s">
        <v>130</v>
      </c>
      <c r="J49" s="1" t="s">
        <v>163</v>
      </c>
      <c r="K49" s="1" t="s">
        <v>76</v>
      </c>
      <c r="L49" s="1"/>
      <c r="M49" s="1"/>
      <c r="N49" s="1" t="str">
        <f t="shared" si="5"/>
        <v>No</v>
      </c>
      <c r="O49" s="1">
        <f t="shared" si="8"/>
        <v>32</v>
      </c>
      <c r="P49" s="1">
        <f t="shared" si="9"/>
        <v>32</v>
      </c>
      <c r="Q49" s="1">
        <f t="shared" si="14"/>
        <v>6</v>
      </c>
      <c r="R49" s="1">
        <f t="shared" si="14"/>
        <v>0</v>
      </c>
      <c r="S49" s="31">
        <f t="shared" si="14"/>
        <v>100</v>
      </c>
      <c r="T49" s="1" t="str">
        <f t="shared" si="10"/>
        <v>caught</v>
      </c>
      <c r="U49" s="1" t="str">
        <f t="shared" si="11"/>
        <v>1</v>
      </c>
      <c r="V49" s="1" t="str">
        <f t="shared" si="12"/>
        <v xml:space="preserve"> West Indies</v>
      </c>
      <c r="W49" s="1" t="str">
        <f t="shared" si="13"/>
        <v>Port of Spain</v>
      </c>
      <c r="X49" s="1" t="str">
        <f t="shared" si="7"/>
        <v>Yes</v>
      </c>
      <c r="Y49" s="1"/>
    </row>
    <row r="50" spans="1:25" ht="14.25" customHeight="1">
      <c r="A50" s="1"/>
      <c r="B50" s="1">
        <v>32</v>
      </c>
      <c r="C50" s="1" t="s">
        <v>193</v>
      </c>
      <c r="D50" s="1" t="s">
        <v>172</v>
      </c>
      <c r="E50" s="1" t="s">
        <v>161</v>
      </c>
      <c r="F50" s="1" t="s">
        <v>130</v>
      </c>
      <c r="G50" s="1" t="s">
        <v>1243</v>
      </c>
      <c r="H50" s="1" t="s">
        <v>24</v>
      </c>
      <c r="I50" s="1" t="s">
        <v>151</v>
      </c>
      <c r="J50" s="1" t="s">
        <v>234</v>
      </c>
      <c r="K50" s="1" t="s">
        <v>82</v>
      </c>
      <c r="L50" s="1"/>
      <c r="M50" s="1"/>
      <c r="N50" s="1" t="str">
        <f t="shared" si="5"/>
        <v>No</v>
      </c>
      <c r="O50" s="1">
        <f t="shared" si="8"/>
        <v>71</v>
      </c>
      <c r="P50" s="1">
        <f t="shared" si="9"/>
        <v>65</v>
      </c>
      <c r="Q50" s="1">
        <f t="shared" si="14"/>
        <v>9</v>
      </c>
      <c r="R50" s="1">
        <f t="shared" si="14"/>
        <v>1</v>
      </c>
      <c r="S50" s="31">
        <f t="shared" si="14"/>
        <v>109.23</v>
      </c>
      <c r="T50" s="1" t="str">
        <f t="shared" si="10"/>
        <v>caught</v>
      </c>
      <c r="U50" s="1" t="str">
        <f t="shared" si="11"/>
        <v>2</v>
      </c>
      <c r="V50" s="1" t="str">
        <f t="shared" si="12"/>
        <v xml:space="preserve"> England</v>
      </c>
      <c r="W50" s="1" t="str">
        <f t="shared" si="13"/>
        <v>Lord's</v>
      </c>
      <c r="X50" s="1" t="str">
        <f t="shared" si="7"/>
        <v>Yes</v>
      </c>
      <c r="Y50" s="1"/>
    </row>
    <row r="51" spans="1:25" ht="14.25" customHeight="1">
      <c r="A51" s="1"/>
      <c r="B51" s="1">
        <v>33</v>
      </c>
      <c r="C51" s="1" t="s">
        <v>128</v>
      </c>
      <c r="D51" s="1" t="s">
        <v>238</v>
      </c>
      <c r="E51" s="1" t="s">
        <v>151</v>
      </c>
      <c r="F51" s="1" t="s">
        <v>131</v>
      </c>
      <c r="G51" s="1" t="s">
        <v>239</v>
      </c>
      <c r="H51" s="1" t="s">
        <v>24</v>
      </c>
      <c r="I51" s="1" t="s">
        <v>151</v>
      </c>
      <c r="J51" s="1" t="s">
        <v>133</v>
      </c>
      <c r="K51" s="1" t="s">
        <v>81</v>
      </c>
      <c r="L51" s="1"/>
      <c r="M51" s="1"/>
      <c r="N51" s="1" t="str">
        <f t="shared" si="5"/>
        <v>No</v>
      </c>
      <c r="O51" s="1">
        <f t="shared" si="8"/>
        <v>12</v>
      </c>
      <c r="P51" s="1">
        <f t="shared" si="9"/>
        <v>20</v>
      </c>
      <c r="Q51" s="1">
        <f t="shared" si="14"/>
        <v>2</v>
      </c>
      <c r="R51" s="1">
        <f t="shared" si="14"/>
        <v>0</v>
      </c>
      <c r="S51" s="31">
        <f t="shared" si="14"/>
        <v>60</v>
      </c>
      <c r="T51" s="1" t="str">
        <f t="shared" si="10"/>
        <v>caught</v>
      </c>
      <c r="U51" s="1" t="str">
        <f t="shared" si="11"/>
        <v>2</v>
      </c>
      <c r="V51" s="1" t="str">
        <f t="shared" si="12"/>
        <v xml:space="preserve"> Sri Lanka</v>
      </c>
      <c r="W51" s="1" t="str">
        <f t="shared" si="13"/>
        <v>The Oval</v>
      </c>
      <c r="X51" s="1" t="str">
        <f t="shared" si="7"/>
        <v>Yes</v>
      </c>
      <c r="Y51" s="1"/>
    </row>
    <row r="52" spans="1:25" ht="14.25" customHeight="1">
      <c r="A52" s="1"/>
      <c r="B52" s="1">
        <v>34</v>
      </c>
      <c r="C52" s="1" t="s">
        <v>153</v>
      </c>
      <c r="D52" s="1" t="s">
        <v>170</v>
      </c>
      <c r="E52" s="1" t="s">
        <v>151</v>
      </c>
      <c r="F52" s="1" t="s">
        <v>131</v>
      </c>
      <c r="G52" s="1" t="s">
        <v>966</v>
      </c>
      <c r="H52" s="1" t="s">
        <v>24</v>
      </c>
      <c r="I52" s="1" t="s">
        <v>130</v>
      </c>
      <c r="J52" s="1" t="s">
        <v>234</v>
      </c>
      <c r="K52" s="1" t="s">
        <v>79</v>
      </c>
      <c r="L52" s="1"/>
      <c r="M52" s="1"/>
      <c r="N52" s="1" t="str">
        <f t="shared" si="5"/>
        <v>No</v>
      </c>
      <c r="O52" s="1">
        <f t="shared" si="8"/>
        <v>16</v>
      </c>
      <c r="P52" s="1">
        <f t="shared" si="9"/>
        <v>19</v>
      </c>
      <c r="Q52" s="1">
        <f t="shared" si="14"/>
        <v>2</v>
      </c>
      <c r="R52" s="1">
        <f t="shared" si="14"/>
        <v>0</v>
      </c>
      <c r="S52" s="31">
        <f t="shared" si="14"/>
        <v>84.21</v>
      </c>
      <c r="T52" s="1" t="str">
        <f t="shared" si="10"/>
        <v>caught</v>
      </c>
      <c r="U52" s="1" t="str">
        <f t="shared" si="11"/>
        <v>1</v>
      </c>
      <c r="V52" s="1" t="str">
        <f t="shared" si="12"/>
        <v xml:space="preserve"> England</v>
      </c>
      <c r="W52" s="1" t="str">
        <f t="shared" si="13"/>
        <v>Chester-le-Street</v>
      </c>
      <c r="X52" s="1" t="str">
        <f t="shared" si="7"/>
        <v>Yes</v>
      </c>
      <c r="Y52" s="1"/>
    </row>
    <row r="53" spans="1:25" ht="14.25" customHeight="1">
      <c r="A53" s="1"/>
      <c r="B53" s="1">
        <v>35</v>
      </c>
      <c r="C53" s="1" t="s">
        <v>131</v>
      </c>
      <c r="D53" s="1" t="s">
        <v>130</v>
      </c>
      <c r="E53" s="1" t="s">
        <v>131</v>
      </c>
      <c r="F53" s="1" t="s">
        <v>131</v>
      </c>
      <c r="G53" s="1" t="s">
        <v>210</v>
      </c>
      <c r="H53" s="1" t="s">
        <v>29</v>
      </c>
      <c r="I53" s="1" t="s">
        <v>151</v>
      </c>
      <c r="J53" s="1" t="s">
        <v>133</v>
      </c>
      <c r="K53" s="1" t="s">
        <v>99</v>
      </c>
      <c r="L53" s="1"/>
      <c r="M53" s="1"/>
      <c r="N53" s="1" t="str">
        <f t="shared" si="5"/>
        <v>No</v>
      </c>
      <c r="O53" s="1">
        <f t="shared" si="8"/>
        <v>0</v>
      </c>
      <c r="P53" s="1">
        <f t="shared" si="9"/>
        <v>1</v>
      </c>
      <c r="Q53" s="1">
        <f t="shared" si="14"/>
        <v>0</v>
      </c>
      <c r="R53" s="1">
        <f t="shared" si="14"/>
        <v>0</v>
      </c>
      <c r="S53" s="31">
        <f t="shared" si="14"/>
        <v>0</v>
      </c>
      <c r="T53" s="1" t="str">
        <f t="shared" si="10"/>
        <v>bowled</v>
      </c>
      <c r="U53" s="1" t="str">
        <f t="shared" si="11"/>
        <v>2</v>
      </c>
      <c r="V53" s="1" t="str">
        <f t="shared" si="12"/>
        <v xml:space="preserve"> Sri Lanka</v>
      </c>
      <c r="W53" s="1" t="str">
        <f t="shared" si="13"/>
        <v>Birmingham</v>
      </c>
      <c r="X53" s="1" t="str">
        <f t="shared" si="7"/>
        <v>Yes</v>
      </c>
      <c r="Y53" s="1"/>
    </row>
    <row r="54" spans="1:25" ht="14.25" customHeight="1">
      <c r="A54" s="1"/>
      <c r="B54" s="1">
        <v>36</v>
      </c>
      <c r="C54" s="1" t="s">
        <v>147</v>
      </c>
      <c r="D54" s="1" t="s">
        <v>165</v>
      </c>
      <c r="E54" s="1" t="s">
        <v>189</v>
      </c>
      <c r="F54" s="1" t="s">
        <v>130</v>
      </c>
      <c r="G54" s="1" t="s">
        <v>1244</v>
      </c>
      <c r="H54" s="1" t="s">
        <v>24</v>
      </c>
      <c r="I54" s="1" t="s">
        <v>151</v>
      </c>
      <c r="J54" s="1" t="s">
        <v>234</v>
      </c>
      <c r="K54" s="1" t="s">
        <v>81</v>
      </c>
      <c r="L54" s="1"/>
      <c r="M54" s="1"/>
      <c r="N54" s="1" t="str">
        <f t="shared" si="5"/>
        <v>No</v>
      </c>
      <c r="O54" s="1">
        <f t="shared" si="8"/>
        <v>46</v>
      </c>
      <c r="P54" s="1">
        <f t="shared" si="9"/>
        <v>41</v>
      </c>
      <c r="Q54" s="1">
        <f t="shared" si="14"/>
        <v>8</v>
      </c>
      <c r="R54" s="1">
        <f t="shared" si="14"/>
        <v>1</v>
      </c>
      <c r="S54" s="31">
        <f t="shared" si="14"/>
        <v>112.19</v>
      </c>
      <c r="T54" s="1" t="str">
        <f t="shared" si="10"/>
        <v>caught</v>
      </c>
      <c r="U54" s="1" t="str">
        <f t="shared" si="11"/>
        <v>2</v>
      </c>
      <c r="V54" s="1" t="str">
        <f t="shared" si="12"/>
        <v xml:space="preserve"> England</v>
      </c>
      <c r="W54" s="1" t="str">
        <f t="shared" si="13"/>
        <v>The Oval</v>
      </c>
      <c r="X54" s="1" t="str">
        <f t="shared" si="7"/>
        <v>Yes</v>
      </c>
      <c r="Y54" s="1"/>
    </row>
    <row r="55" spans="1:25" ht="14.25" customHeight="1">
      <c r="A55" s="1"/>
      <c r="B55" s="1">
        <v>37</v>
      </c>
      <c r="C55" s="1" t="s">
        <v>436</v>
      </c>
      <c r="D55" s="1" t="s">
        <v>359</v>
      </c>
      <c r="E55" s="1" t="s">
        <v>136</v>
      </c>
      <c r="F55" s="1" t="s">
        <v>131</v>
      </c>
      <c r="G55" s="1" t="s">
        <v>1182</v>
      </c>
      <c r="H55" s="1" t="s">
        <v>26</v>
      </c>
      <c r="I55" s="1" t="s">
        <v>130</v>
      </c>
      <c r="J55" s="1" t="s">
        <v>133</v>
      </c>
      <c r="K55" s="1" t="s">
        <v>612</v>
      </c>
      <c r="L55" s="1"/>
      <c r="M55" s="1"/>
      <c r="N55" s="1" t="str">
        <f t="shared" si="5"/>
        <v>No</v>
      </c>
      <c r="O55" s="1">
        <f t="shared" si="8"/>
        <v>39</v>
      </c>
      <c r="P55" s="1">
        <f t="shared" si="9"/>
        <v>40</v>
      </c>
      <c r="Q55" s="1">
        <f t="shared" si="14"/>
        <v>6</v>
      </c>
      <c r="R55" s="1">
        <f t="shared" si="14"/>
        <v>0</v>
      </c>
      <c r="S55" s="31">
        <f t="shared" si="14"/>
        <v>97.5</v>
      </c>
      <c r="T55" s="1" t="str">
        <f t="shared" si="10"/>
        <v>run out</v>
      </c>
      <c r="U55" s="1" t="str">
        <f t="shared" si="11"/>
        <v>1</v>
      </c>
      <c r="V55" s="1" t="str">
        <f t="shared" si="12"/>
        <v xml:space="preserve"> Sri Lanka</v>
      </c>
      <c r="W55" s="1" t="str">
        <f t="shared" si="13"/>
        <v>Bristol</v>
      </c>
      <c r="X55" s="1" t="str">
        <f t="shared" si="7"/>
        <v>Yes</v>
      </c>
      <c r="Y55" s="1"/>
    </row>
    <row r="56" spans="1:25" ht="14.25" customHeight="1">
      <c r="A56" s="1"/>
      <c r="B56" s="1">
        <v>38</v>
      </c>
      <c r="C56" s="1" t="s">
        <v>405</v>
      </c>
      <c r="D56" s="1" t="s">
        <v>249</v>
      </c>
      <c r="E56" s="1" t="s">
        <v>144</v>
      </c>
      <c r="F56" s="1" t="s">
        <v>131</v>
      </c>
      <c r="G56" s="1" t="s">
        <v>822</v>
      </c>
      <c r="H56" s="1" t="s">
        <v>29</v>
      </c>
      <c r="I56" s="1" t="s">
        <v>151</v>
      </c>
      <c r="J56" s="1" t="s">
        <v>234</v>
      </c>
      <c r="K56" s="1" t="s">
        <v>82</v>
      </c>
      <c r="L56" s="1"/>
      <c r="M56" s="1"/>
      <c r="N56" s="1" t="str">
        <f t="shared" si="5"/>
        <v>No</v>
      </c>
      <c r="O56" s="1">
        <f t="shared" si="8"/>
        <v>45</v>
      </c>
      <c r="P56" s="1">
        <f t="shared" si="9"/>
        <v>49</v>
      </c>
      <c r="Q56" s="1">
        <f t="shared" si="14"/>
        <v>7</v>
      </c>
      <c r="R56" s="1">
        <f t="shared" si="14"/>
        <v>0</v>
      </c>
      <c r="S56" s="31">
        <f t="shared" si="14"/>
        <v>91.83</v>
      </c>
      <c r="T56" s="1" t="str">
        <f t="shared" si="10"/>
        <v>bowled</v>
      </c>
      <c r="U56" s="1" t="str">
        <f t="shared" si="11"/>
        <v>2</v>
      </c>
      <c r="V56" s="1" t="str">
        <f t="shared" si="12"/>
        <v xml:space="preserve"> England</v>
      </c>
      <c r="W56" s="1" t="str">
        <f t="shared" si="13"/>
        <v>Lord's</v>
      </c>
      <c r="X56" s="1" t="str">
        <f t="shared" si="7"/>
        <v>Yes</v>
      </c>
      <c r="Y56" s="1"/>
    </row>
    <row r="57" spans="1:25" ht="14.25" customHeight="1">
      <c r="A57" s="1"/>
      <c r="B57" s="1">
        <v>39</v>
      </c>
      <c r="C57" s="1" t="s">
        <v>355</v>
      </c>
      <c r="D57" s="1" t="s">
        <v>258</v>
      </c>
      <c r="E57" s="1" t="s">
        <v>189</v>
      </c>
      <c r="F57" s="1" t="s">
        <v>131</v>
      </c>
      <c r="G57" s="1" t="s">
        <v>502</v>
      </c>
      <c r="H57" s="1" t="s">
        <v>24</v>
      </c>
      <c r="I57" s="1" t="s">
        <v>130</v>
      </c>
      <c r="J57" s="1" t="s">
        <v>195</v>
      </c>
      <c r="K57" s="1" t="s">
        <v>27</v>
      </c>
      <c r="L57" s="1"/>
      <c r="M57" s="1"/>
      <c r="N57" s="1" t="str">
        <f t="shared" si="5"/>
        <v>No</v>
      </c>
      <c r="O57" s="1">
        <f t="shared" si="8"/>
        <v>48</v>
      </c>
      <c r="P57" s="1">
        <f t="shared" si="9"/>
        <v>36</v>
      </c>
      <c r="Q57" s="1">
        <f t="shared" si="14"/>
        <v>8</v>
      </c>
      <c r="R57" s="1">
        <f t="shared" si="14"/>
        <v>0</v>
      </c>
      <c r="S57" s="31">
        <f t="shared" si="14"/>
        <v>133.33000000000001</v>
      </c>
      <c r="T57" s="1" t="str">
        <f t="shared" si="10"/>
        <v>caught</v>
      </c>
      <c r="U57" s="1" t="str">
        <f t="shared" si="11"/>
        <v>1</v>
      </c>
      <c r="V57" s="1" t="str">
        <f t="shared" si="12"/>
        <v xml:space="preserve"> Zimbabwe</v>
      </c>
      <c r="W57" s="1" t="str">
        <f t="shared" si="13"/>
        <v>Colombo (RPS)</v>
      </c>
      <c r="X57" s="1" t="str">
        <f t="shared" si="7"/>
        <v>Yes</v>
      </c>
      <c r="Y57" s="1"/>
    </row>
    <row r="58" spans="1:25" ht="14.25" customHeight="1">
      <c r="A58" s="1"/>
      <c r="B58" s="1">
        <v>40</v>
      </c>
      <c r="C58" s="1" t="s">
        <v>374</v>
      </c>
      <c r="D58" s="1" t="s">
        <v>160</v>
      </c>
      <c r="E58" s="1" t="s">
        <v>246</v>
      </c>
      <c r="F58" s="1" t="s">
        <v>130</v>
      </c>
      <c r="G58" s="1" t="s">
        <v>762</v>
      </c>
      <c r="H58" s="1" t="s">
        <v>24</v>
      </c>
      <c r="I58" s="1" t="s">
        <v>151</v>
      </c>
      <c r="J58" s="1" t="s">
        <v>234</v>
      </c>
      <c r="K58" s="1" t="s">
        <v>27</v>
      </c>
      <c r="L58" s="1"/>
      <c r="M58" s="1"/>
      <c r="N58" s="1" t="str">
        <f t="shared" si="5"/>
        <v>No</v>
      </c>
      <c r="O58" s="1">
        <f t="shared" si="8"/>
        <v>126</v>
      </c>
      <c r="P58" s="1">
        <f t="shared" si="9"/>
        <v>104</v>
      </c>
      <c r="Q58" s="1">
        <f t="shared" si="14"/>
        <v>21</v>
      </c>
      <c r="R58" s="1">
        <f t="shared" si="14"/>
        <v>1</v>
      </c>
      <c r="S58" s="31">
        <f t="shared" si="14"/>
        <v>121.15</v>
      </c>
      <c r="T58" s="1" t="str">
        <f t="shared" si="10"/>
        <v>caught</v>
      </c>
      <c r="U58" s="1" t="str">
        <f t="shared" si="11"/>
        <v>2</v>
      </c>
      <c r="V58" s="1" t="str">
        <f t="shared" si="12"/>
        <v xml:space="preserve"> England</v>
      </c>
      <c r="W58" s="1" t="str">
        <f t="shared" si="13"/>
        <v>Colombo (RPS)</v>
      </c>
      <c r="X58" s="1" t="str">
        <f t="shared" si="7"/>
        <v>Yes</v>
      </c>
      <c r="Y58" s="1"/>
    </row>
    <row r="59" spans="1:25" ht="14.25" customHeight="1">
      <c r="A59" s="1"/>
      <c r="B59" s="1">
        <v>41</v>
      </c>
      <c r="C59" s="1" t="s">
        <v>241</v>
      </c>
      <c r="D59" s="1" t="s">
        <v>582</v>
      </c>
      <c r="E59" s="1" t="s">
        <v>167</v>
      </c>
      <c r="F59" s="1" t="s">
        <v>131</v>
      </c>
      <c r="G59" s="1" t="s">
        <v>1245</v>
      </c>
      <c r="H59" s="1" t="s">
        <v>24</v>
      </c>
      <c r="I59" s="1" t="s">
        <v>130</v>
      </c>
      <c r="J59" s="1" t="s">
        <v>191</v>
      </c>
      <c r="K59" s="1" t="s">
        <v>27</v>
      </c>
      <c r="L59" s="1"/>
      <c r="M59" s="1"/>
      <c r="N59" s="1" t="str">
        <f t="shared" si="5"/>
        <v>No</v>
      </c>
      <c r="O59" s="1">
        <f t="shared" si="8"/>
        <v>59</v>
      </c>
      <c r="P59" s="1">
        <f t="shared" si="9"/>
        <v>58</v>
      </c>
      <c r="Q59" s="1">
        <f t="shared" si="14"/>
        <v>10</v>
      </c>
      <c r="R59" s="1">
        <f t="shared" si="14"/>
        <v>0</v>
      </c>
      <c r="S59" s="31">
        <f t="shared" si="14"/>
        <v>101.72</v>
      </c>
      <c r="T59" s="1" t="str">
        <f t="shared" si="10"/>
        <v>caught</v>
      </c>
      <c r="U59" s="1" t="str">
        <f t="shared" si="11"/>
        <v>1</v>
      </c>
      <c r="V59" s="1" t="str">
        <f t="shared" si="12"/>
        <v xml:space="preserve"> South Africa</v>
      </c>
      <c r="W59" s="1" t="str">
        <f t="shared" si="13"/>
        <v>Colombo (RPS)</v>
      </c>
      <c r="X59" s="1" t="str">
        <f t="shared" si="7"/>
        <v>Yes</v>
      </c>
      <c r="Y59" s="1"/>
    </row>
    <row r="60" spans="1:25" ht="14.25" customHeight="1">
      <c r="A60" s="1"/>
      <c r="B60" s="1">
        <v>42</v>
      </c>
      <c r="C60" s="1" t="s">
        <v>571</v>
      </c>
      <c r="D60" s="1" t="s">
        <v>202</v>
      </c>
      <c r="E60" s="1" t="s">
        <v>148</v>
      </c>
      <c r="F60" s="1" t="s">
        <v>131</v>
      </c>
      <c r="G60" s="1" t="s">
        <v>1246</v>
      </c>
      <c r="H60" s="1" t="s">
        <v>32</v>
      </c>
      <c r="I60" s="1" t="s">
        <v>151</v>
      </c>
      <c r="J60" s="1" t="s">
        <v>133</v>
      </c>
      <c r="K60" s="1" t="s">
        <v>27</v>
      </c>
      <c r="L60" s="1"/>
      <c r="M60" s="1"/>
      <c r="N60" s="1" t="str">
        <f t="shared" si="5"/>
        <v>No</v>
      </c>
      <c r="O60" s="1">
        <f t="shared" si="8"/>
        <v>13</v>
      </c>
      <c r="P60" s="1">
        <f t="shared" si="9"/>
        <v>5</v>
      </c>
      <c r="Q60" s="1">
        <f t="shared" si="14"/>
        <v>3</v>
      </c>
      <c r="R60" s="1">
        <f t="shared" si="14"/>
        <v>0</v>
      </c>
      <c r="S60" s="31">
        <f t="shared" si="14"/>
        <v>260</v>
      </c>
      <c r="T60" s="1" t="str">
        <f t="shared" si="10"/>
        <v>not out</v>
      </c>
      <c r="U60" s="1" t="str">
        <f t="shared" si="11"/>
        <v>2</v>
      </c>
      <c r="V60" s="1" t="str">
        <f t="shared" si="12"/>
        <v xml:space="preserve"> Sri Lanka</v>
      </c>
      <c r="W60" s="1" t="str">
        <f t="shared" si="13"/>
        <v>Colombo (RPS)</v>
      </c>
      <c r="X60" s="1" t="str">
        <f t="shared" si="7"/>
        <v>No</v>
      </c>
      <c r="Y60" s="1"/>
    </row>
    <row r="61" spans="1:25" ht="14.25" customHeight="1">
      <c r="A61" s="1"/>
      <c r="B61" s="1">
        <v>43</v>
      </c>
      <c r="C61" s="1" t="s">
        <v>732</v>
      </c>
      <c r="D61" s="1" t="s">
        <v>129</v>
      </c>
      <c r="E61" s="1" t="s">
        <v>148</v>
      </c>
      <c r="F61" s="1" t="s">
        <v>130</v>
      </c>
      <c r="G61" s="1" t="s">
        <v>1247</v>
      </c>
      <c r="H61" s="1" t="s">
        <v>32</v>
      </c>
      <c r="I61" s="1" t="s">
        <v>151</v>
      </c>
      <c r="J61" s="1" t="s">
        <v>133</v>
      </c>
      <c r="K61" s="1" t="s">
        <v>27</v>
      </c>
      <c r="L61" s="1"/>
      <c r="M61" s="1"/>
      <c r="N61" s="1" t="str">
        <f t="shared" si="5"/>
        <v>No</v>
      </c>
      <c r="O61" s="1">
        <f t="shared" si="8"/>
        <v>25</v>
      </c>
      <c r="P61" s="1">
        <f t="shared" si="9"/>
        <v>22</v>
      </c>
      <c r="Q61" s="1">
        <f t="shared" si="14"/>
        <v>3</v>
      </c>
      <c r="R61" s="1">
        <f t="shared" si="14"/>
        <v>1</v>
      </c>
      <c r="S61" s="31">
        <f t="shared" si="14"/>
        <v>113.63</v>
      </c>
      <c r="T61" s="1" t="str">
        <f t="shared" si="10"/>
        <v>not out</v>
      </c>
      <c r="U61" s="1" t="str">
        <f t="shared" si="11"/>
        <v>2</v>
      </c>
      <c r="V61" s="1" t="str">
        <f t="shared" si="12"/>
        <v xml:space="preserve"> Sri Lanka</v>
      </c>
      <c r="W61" s="1" t="str">
        <f t="shared" si="13"/>
        <v>Colombo (RPS)</v>
      </c>
      <c r="X61" s="1" t="str">
        <f t="shared" si="7"/>
        <v>No</v>
      </c>
      <c r="Y61" s="1"/>
    </row>
    <row r="62" spans="1:25" ht="14.25" customHeight="1">
      <c r="A62" s="1"/>
      <c r="B62" s="1">
        <v>44</v>
      </c>
      <c r="C62" s="1" t="s">
        <v>207</v>
      </c>
      <c r="D62" s="1" t="s">
        <v>313</v>
      </c>
      <c r="E62" s="1" t="s">
        <v>140</v>
      </c>
      <c r="F62" s="1" t="s">
        <v>131</v>
      </c>
      <c r="G62" s="1" t="s">
        <v>875</v>
      </c>
      <c r="H62" s="1" t="s">
        <v>24</v>
      </c>
      <c r="I62" s="1" t="s">
        <v>130</v>
      </c>
      <c r="J62" s="1" t="s">
        <v>163</v>
      </c>
      <c r="K62" s="1" t="s">
        <v>535</v>
      </c>
      <c r="L62" s="1"/>
      <c r="M62" s="1"/>
      <c r="N62" s="1" t="str">
        <f t="shared" si="5"/>
        <v>No</v>
      </c>
      <c r="O62" s="1">
        <f t="shared" si="8"/>
        <v>28</v>
      </c>
      <c r="P62" s="1">
        <f t="shared" si="9"/>
        <v>26</v>
      </c>
      <c r="Q62" s="1">
        <f t="shared" si="14"/>
        <v>4</v>
      </c>
      <c r="R62" s="1">
        <f t="shared" si="14"/>
        <v>0</v>
      </c>
      <c r="S62" s="31">
        <f t="shared" si="14"/>
        <v>107.69</v>
      </c>
      <c r="T62" s="1" t="str">
        <f t="shared" si="10"/>
        <v>caught</v>
      </c>
      <c r="U62" s="1" t="str">
        <f t="shared" si="11"/>
        <v>1</v>
      </c>
      <c r="V62" s="1" t="str">
        <f t="shared" si="12"/>
        <v xml:space="preserve"> West Indies</v>
      </c>
      <c r="W62" s="1" t="str">
        <f t="shared" si="13"/>
        <v>Jamshedpur</v>
      </c>
      <c r="X62" s="1" t="str">
        <f t="shared" si="7"/>
        <v>Yes</v>
      </c>
      <c r="Y62" s="1"/>
    </row>
    <row r="63" spans="1:25" ht="14.25" customHeight="1">
      <c r="A63" s="1"/>
      <c r="B63" s="1">
        <v>45</v>
      </c>
      <c r="C63" s="1" t="s">
        <v>130</v>
      </c>
      <c r="D63" s="1" t="s">
        <v>202</v>
      </c>
      <c r="E63" s="1" t="s">
        <v>131</v>
      </c>
      <c r="F63" s="1" t="s">
        <v>131</v>
      </c>
      <c r="G63" s="1" t="s">
        <v>299</v>
      </c>
      <c r="H63" s="1" t="s">
        <v>24</v>
      </c>
      <c r="I63" s="1" t="s">
        <v>130</v>
      </c>
      <c r="J63" s="1" t="s">
        <v>163</v>
      </c>
      <c r="K63" s="1" t="s">
        <v>50</v>
      </c>
      <c r="L63" s="1"/>
      <c r="M63" s="1"/>
      <c r="N63" s="1" t="str">
        <f t="shared" si="5"/>
        <v>No</v>
      </c>
      <c r="O63" s="1">
        <f t="shared" si="8"/>
        <v>1</v>
      </c>
      <c r="P63" s="1">
        <f t="shared" si="9"/>
        <v>5</v>
      </c>
      <c r="Q63" s="1">
        <f t="shared" si="14"/>
        <v>0</v>
      </c>
      <c r="R63" s="1">
        <f t="shared" si="14"/>
        <v>0</v>
      </c>
      <c r="S63" s="31">
        <f t="shared" si="14"/>
        <v>20</v>
      </c>
      <c r="T63" s="1" t="str">
        <f t="shared" si="10"/>
        <v>caught</v>
      </c>
      <c r="U63" s="1" t="str">
        <f t="shared" si="11"/>
        <v>1</v>
      </c>
      <c r="V63" s="1" t="str">
        <f t="shared" si="12"/>
        <v xml:space="preserve"> West Indies</v>
      </c>
      <c r="W63" s="1" t="str">
        <f t="shared" si="13"/>
        <v>Nagpur</v>
      </c>
      <c r="X63" s="1" t="str">
        <f t="shared" si="7"/>
        <v>Yes</v>
      </c>
      <c r="Y63" s="1"/>
    </row>
    <row r="64" spans="1:25" ht="14.25" customHeight="1">
      <c r="A64" s="1"/>
      <c r="B64" s="1">
        <v>46</v>
      </c>
      <c r="C64" s="1" t="s">
        <v>483</v>
      </c>
      <c r="D64" s="1" t="s">
        <v>196</v>
      </c>
      <c r="E64" s="1" t="s">
        <v>306</v>
      </c>
      <c r="F64" s="1" t="s">
        <v>151</v>
      </c>
      <c r="G64" s="1" t="s">
        <v>1248</v>
      </c>
      <c r="H64" s="1" t="s">
        <v>32</v>
      </c>
      <c r="I64" s="1" t="s">
        <v>151</v>
      </c>
      <c r="J64" s="1" t="s">
        <v>163</v>
      </c>
      <c r="K64" s="1" t="s">
        <v>48</v>
      </c>
      <c r="L64" s="1"/>
      <c r="M64" s="1"/>
      <c r="N64" s="1" t="str">
        <f t="shared" si="5"/>
        <v>No</v>
      </c>
      <c r="O64" s="1">
        <f t="shared" si="8"/>
        <v>114</v>
      </c>
      <c r="P64" s="1">
        <f t="shared" si="9"/>
        <v>82</v>
      </c>
      <c r="Q64" s="1">
        <f t="shared" si="14"/>
        <v>17</v>
      </c>
      <c r="R64" s="1">
        <f t="shared" si="14"/>
        <v>2</v>
      </c>
      <c r="S64" s="31">
        <f t="shared" si="14"/>
        <v>139.02000000000001</v>
      </c>
      <c r="T64" s="1" t="str">
        <f t="shared" si="10"/>
        <v>not out</v>
      </c>
      <c r="U64" s="1" t="str">
        <f t="shared" si="11"/>
        <v>2</v>
      </c>
      <c r="V64" s="1" t="str">
        <f t="shared" si="12"/>
        <v xml:space="preserve"> West Indies</v>
      </c>
      <c r="W64" s="1" t="str">
        <f t="shared" si="13"/>
        <v>Rajkot</v>
      </c>
      <c r="X64" s="1" t="str">
        <f t="shared" si="7"/>
        <v>No</v>
      </c>
      <c r="Y64" s="1"/>
    </row>
    <row r="65" spans="1:25" ht="14.25" customHeight="1">
      <c r="A65" s="1"/>
      <c r="B65" s="1">
        <v>47</v>
      </c>
      <c r="C65" s="1" t="s">
        <v>140</v>
      </c>
      <c r="D65" s="1" t="s">
        <v>148</v>
      </c>
      <c r="E65" s="1" t="s">
        <v>130</v>
      </c>
      <c r="F65" s="1" t="s">
        <v>131</v>
      </c>
      <c r="G65" s="1" t="s">
        <v>502</v>
      </c>
      <c r="H65" s="1" t="s">
        <v>24</v>
      </c>
      <c r="I65" s="1" t="s">
        <v>151</v>
      </c>
      <c r="J65" s="1" t="s">
        <v>163</v>
      </c>
      <c r="K65" s="1" t="s">
        <v>59</v>
      </c>
      <c r="L65" s="1"/>
      <c r="M65" s="1"/>
      <c r="N65" s="1" t="str">
        <f t="shared" si="5"/>
        <v>No</v>
      </c>
      <c r="O65" s="1">
        <f t="shared" si="8"/>
        <v>4</v>
      </c>
      <c r="P65" s="1">
        <f t="shared" si="9"/>
        <v>3</v>
      </c>
      <c r="Q65" s="1">
        <f t="shared" si="14"/>
        <v>1</v>
      </c>
      <c r="R65" s="1">
        <f t="shared" si="14"/>
        <v>0</v>
      </c>
      <c r="S65" s="31">
        <f t="shared" si="14"/>
        <v>133.33000000000001</v>
      </c>
      <c r="T65" s="1" t="str">
        <f t="shared" si="10"/>
        <v>caught</v>
      </c>
      <c r="U65" s="1" t="str">
        <f t="shared" si="11"/>
        <v>2</v>
      </c>
      <c r="V65" s="1" t="str">
        <f t="shared" si="12"/>
        <v xml:space="preserve"> West Indies</v>
      </c>
      <c r="W65" s="1" t="str">
        <f t="shared" si="13"/>
        <v>Ahmedabad</v>
      </c>
      <c r="X65" s="1" t="str">
        <f t="shared" si="7"/>
        <v>Yes</v>
      </c>
      <c r="Y65" s="1"/>
    </row>
    <row r="66" spans="1:25" ht="14.25" customHeight="1">
      <c r="A66" s="1"/>
      <c r="B66" s="1">
        <v>48</v>
      </c>
      <c r="C66" s="1" t="s">
        <v>327</v>
      </c>
      <c r="D66" s="1" t="s">
        <v>436</v>
      </c>
      <c r="E66" s="1" t="s">
        <v>161</v>
      </c>
      <c r="F66" s="1" t="s">
        <v>130</v>
      </c>
      <c r="G66" s="1" t="s">
        <v>502</v>
      </c>
      <c r="H66" s="1" t="s">
        <v>24</v>
      </c>
      <c r="I66" s="1" t="s">
        <v>130</v>
      </c>
      <c r="J66" s="1" t="s">
        <v>163</v>
      </c>
      <c r="K66" s="1" t="s">
        <v>44</v>
      </c>
      <c r="L66" s="1"/>
      <c r="M66" s="1"/>
      <c r="N66" s="1" t="str">
        <f t="shared" si="5"/>
        <v>No</v>
      </c>
      <c r="O66" s="1">
        <f t="shared" si="8"/>
        <v>52</v>
      </c>
      <c r="P66" s="1">
        <f t="shared" si="9"/>
        <v>39</v>
      </c>
      <c r="Q66" s="1">
        <f t="shared" si="14"/>
        <v>9</v>
      </c>
      <c r="R66" s="1">
        <f t="shared" si="14"/>
        <v>1</v>
      </c>
      <c r="S66" s="31">
        <f t="shared" si="14"/>
        <v>133.33000000000001</v>
      </c>
      <c r="T66" s="1" t="str">
        <f t="shared" si="10"/>
        <v>caught</v>
      </c>
      <c r="U66" s="1" t="str">
        <f t="shared" si="11"/>
        <v>1</v>
      </c>
      <c r="V66" s="1" t="str">
        <f t="shared" si="12"/>
        <v xml:space="preserve"> West Indies</v>
      </c>
      <c r="W66" s="1" t="str">
        <f t="shared" si="13"/>
        <v>Vadodara</v>
      </c>
      <c r="X66" s="1" t="str">
        <f t="shared" si="7"/>
        <v>Yes</v>
      </c>
      <c r="Y66" s="1"/>
    </row>
    <row r="67" spans="1:25" ht="14.25" customHeight="1">
      <c r="A67" s="1"/>
      <c r="B67" s="1">
        <v>49</v>
      </c>
      <c r="C67" s="1" t="s">
        <v>199</v>
      </c>
      <c r="D67" s="1" t="s">
        <v>246</v>
      </c>
      <c r="E67" s="1" t="s">
        <v>148</v>
      </c>
      <c r="F67" s="1" t="s">
        <v>131</v>
      </c>
      <c r="G67" s="1" t="s">
        <v>520</v>
      </c>
      <c r="H67" s="1" t="s">
        <v>24</v>
      </c>
      <c r="I67" s="1" t="s">
        <v>151</v>
      </c>
      <c r="J67" s="1" t="s">
        <v>163</v>
      </c>
      <c r="K67" s="1" t="s">
        <v>1102</v>
      </c>
      <c r="L67" s="1"/>
      <c r="M67" s="1"/>
      <c r="N67" s="1" t="str">
        <f t="shared" si="5"/>
        <v>No</v>
      </c>
      <c r="O67" s="1">
        <f t="shared" si="8"/>
        <v>18</v>
      </c>
      <c r="P67" s="1">
        <f t="shared" si="9"/>
        <v>21</v>
      </c>
      <c r="Q67" s="1">
        <f t="shared" si="14"/>
        <v>3</v>
      </c>
      <c r="R67" s="1">
        <f t="shared" si="14"/>
        <v>0</v>
      </c>
      <c r="S67" s="31">
        <f t="shared" si="14"/>
        <v>85.71</v>
      </c>
      <c r="T67" s="1" t="str">
        <f t="shared" si="10"/>
        <v>caught</v>
      </c>
      <c r="U67" s="1" t="str">
        <f t="shared" si="11"/>
        <v>2</v>
      </c>
      <c r="V67" s="1" t="str">
        <f t="shared" si="12"/>
        <v xml:space="preserve"> West Indies</v>
      </c>
      <c r="W67" s="1" t="str">
        <f t="shared" si="13"/>
        <v>Jodhpur</v>
      </c>
      <c r="X67" s="1" t="str">
        <f t="shared" si="7"/>
        <v>Yes</v>
      </c>
      <c r="Y67" s="1"/>
    </row>
    <row r="68" spans="1:25" ht="14.25" customHeight="1">
      <c r="A68" s="1"/>
      <c r="B68" s="1">
        <v>50</v>
      </c>
      <c r="C68" s="1" t="s">
        <v>128</v>
      </c>
      <c r="D68" s="1" t="s">
        <v>283</v>
      </c>
      <c r="E68" s="1" t="s">
        <v>151</v>
      </c>
      <c r="F68" s="1" t="s">
        <v>131</v>
      </c>
      <c r="G68" s="1" t="s">
        <v>361</v>
      </c>
      <c r="H68" s="1" t="s">
        <v>24</v>
      </c>
      <c r="I68" s="1" t="s">
        <v>151</v>
      </c>
      <c r="J68" s="1" t="s">
        <v>163</v>
      </c>
      <c r="K68" s="1" t="s">
        <v>1249</v>
      </c>
      <c r="L68" s="1"/>
      <c r="M68" s="1"/>
      <c r="N68" s="1" t="str">
        <f t="shared" si="5"/>
        <v>No</v>
      </c>
      <c r="O68" s="1">
        <f t="shared" si="8"/>
        <v>12</v>
      </c>
      <c r="P68" s="1">
        <f t="shared" si="9"/>
        <v>15</v>
      </c>
      <c r="Q68" s="1">
        <f t="shared" si="14"/>
        <v>2</v>
      </c>
      <c r="R68" s="1">
        <f t="shared" si="14"/>
        <v>0</v>
      </c>
      <c r="S68" s="31">
        <f t="shared" si="14"/>
        <v>80</v>
      </c>
      <c r="T68" s="1" t="str">
        <f t="shared" si="10"/>
        <v>caught</v>
      </c>
      <c r="U68" s="1" t="str">
        <f t="shared" si="11"/>
        <v>2</v>
      </c>
      <c r="V68" s="1" t="str">
        <f t="shared" si="12"/>
        <v xml:space="preserve"> West Indies</v>
      </c>
      <c r="W68" s="1" t="str">
        <f t="shared" si="13"/>
        <v>Vijayawada</v>
      </c>
      <c r="X68" s="1" t="str">
        <f t="shared" si="7"/>
        <v>Yes</v>
      </c>
      <c r="Y68" s="1"/>
    </row>
    <row r="69" spans="1:25" ht="14.25" customHeight="1">
      <c r="A69" s="1"/>
      <c r="B69" s="1">
        <v>51</v>
      </c>
      <c r="C69" s="1" t="s">
        <v>131</v>
      </c>
      <c r="D69" s="1" t="s">
        <v>202</v>
      </c>
      <c r="E69" s="1" t="s">
        <v>131</v>
      </c>
      <c r="F69" s="1" t="s">
        <v>131</v>
      </c>
      <c r="G69" s="1" t="s">
        <v>210</v>
      </c>
      <c r="H69" s="1" t="s">
        <v>29</v>
      </c>
      <c r="I69" s="1" t="s">
        <v>130</v>
      </c>
      <c r="J69" s="1" t="s">
        <v>211</v>
      </c>
      <c r="K69" s="1" t="s">
        <v>104</v>
      </c>
      <c r="L69" s="1"/>
      <c r="M69" s="1"/>
      <c r="N69" s="1" t="str">
        <f t="shared" si="5"/>
        <v>No</v>
      </c>
      <c r="O69" s="1">
        <f t="shared" si="8"/>
        <v>0</v>
      </c>
      <c r="P69" s="1">
        <f t="shared" si="9"/>
        <v>5</v>
      </c>
      <c r="Q69" s="1">
        <f t="shared" si="14"/>
        <v>0</v>
      </c>
      <c r="R69" s="1">
        <f t="shared" si="14"/>
        <v>0</v>
      </c>
      <c r="S69" s="31">
        <f t="shared" si="14"/>
        <v>0</v>
      </c>
      <c r="T69" s="1" t="str">
        <f t="shared" si="10"/>
        <v>bowled</v>
      </c>
      <c r="U69" s="1" t="str">
        <f t="shared" si="11"/>
        <v>1</v>
      </c>
      <c r="V69" s="1" t="str">
        <f t="shared" si="12"/>
        <v xml:space="preserve"> New Zealand</v>
      </c>
      <c r="W69" s="1" t="str">
        <f t="shared" si="13"/>
        <v>Auckland</v>
      </c>
      <c r="X69" s="1" t="str">
        <f t="shared" si="7"/>
        <v>Yes</v>
      </c>
      <c r="Y69" s="1"/>
    </row>
    <row r="70" spans="1:25" ht="14.25" customHeight="1">
      <c r="A70" s="1"/>
      <c r="B70" s="1">
        <v>52</v>
      </c>
      <c r="C70" s="1" t="s">
        <v>290</v>
      </c>
      <c r="D70" s="1" t="s">
        <v>302</v>
      </c>
      <c r="E70" s="1" t="s">
        <v>161</v>
      </c>
      <c r="F70" s="1" t="s">
        <v>151</v>
      </c>
      <c r="G70" s="1" t="s">
        <v>1250</v>
      </c>
      <c r="H70" s="1" t="s">
        <v>26</v>
      </c>
      <c r="I70" s="1" t="s">
        <v>151</v>
      </c>
      <c r="J70" s="1" t="s">
        <v>211</v>
      </c>
      <c r="K70" s="1" t="s">
        <v>102</v>
      </c>
      <c r="L70" s="1"/>
      <c r="M70" s="1"/>
      <c r="N70" s="1" t="str">
        <f t="shared" si="5"/>
        <v>No</v>
      </c>
      <c r="O70" s="1">
        <f t="shared" si="8"/>
        <v>108</v>
      </c>
      <c r="P70" s="1">
        <f t="shared" si="9"/>
        <v>119</v>
      </c>
      <c r="Q70" s="1">
        <f t="shared" si="14"/>
        <v>9</v>
      </c>
      <c r="R70" s="1">
        <f t="shared" si="14"/>
        <v>2</v>
      </c>
      <c r="S70" s="31">
        <f t="shared" si="14"/>
        <v>90.75</v>
      </c>
      <c r="T70" s="1" t="str">
        <f t="shared" si="10"/>
        <v>run out</v>
      </c>
      <c r="U70" s="1" t="str">
        <f t="shared" si="11"/>
        <v>2</v>
      </c>
      <c r="V70" s="1" t="str">
        <f t="shared" si="12"/>
        <v xml:space="preserve"> New Zealand</v>
      </c>
      <c r="W70" s="1" t="str">
        <f t="shared" si="13"/>
        <v>Napier</v>
      </c>
      <c r="X70" s="1" t="str">
        <f t="shared" si="7"/>
        <v>Yes</v>
      </c>
      <c r="Y70" s="1"/>
    </row>
    <row r="71" spans="1:25" ht="14.25" customHeight="1">
      <c r="A71" s="1"/>
      <c r="B71" s="1">
        <v>53</v>
      </c>
      <c r="C71" s="1" t="s">
        <v>144</v>
      </c>
      <c r="D71" s="1" t="s">
        <v>238</v>
      </c>
      <c r="E71" s="1" t="s">
        <v>130</v>
      </c>
      <c r="F71" s="1" t="s">
        <v>131</v>
      </c>
      <c r="G71" s="1" t="s">
        <v>1251</v>
      </c>
      <c r="H71" s="1" t="s">
        <v>24</v>
      </c>
      <c r="I71" s="1" t="s">
        <v>130</v>
      </c>
      <c r="J71" s="1" t="s">
        <v>211</v>
      </c>
      <c r="K71" s="1" t="s">
        <v>662</v>
      </c>
      <c r="L71" s="1"/>
      <c r="M71" s="1"/>
      <c r="N71" s="1" t="str">
        <f t="shared" si="5"/>
        <v>No</v>
      </c>
      <c r="O71" s="1">
        <f t="shared" si="8"/>
        <v>7</v>
      </c>
      <c r="P71" s="1">
        <f t="shared" si="9"/>
        <v>20</v>
      </c>
      <c r="Q71" s="1">
        <f t="shared" si="14"/>
        <v>1</v>
      </c>
      <c r="R71" s="1">
        <f t="shared" si="14"/>
        <v>0</v>
      </c>
      <c r="S71" s="31">
        <f t="shared" si="14"/>
        <v>35</v>
      </c>
      <c r="T71" s="1" t="str">
        <f t="shared" si="10"/>
        <v>caught</v>
      </c>
      <c r="U71" s="1" t="str">
        <f t="shared" si="11"/>
        <v>1</v>
      </c>
      <c r="V71" s="1" t="str">
        <f t="shared" si="12"/>
        <v xml:space="preserve"> New Zealand</v>
      </c>
      <c r="W71" s="1" t="str">
        <f t="shared" si="13"/>
        <v>Christchurch</v>
      </c>
      <c r="X71" s="1" t="str">
        <f t="shared" si="7"/>
        <v>Yes</v>
      </c>
      <c r="Y71" s="1"/>
    </row>
    <row r="72" spans="1:25" ht="14.25" customHeight="1">
      <c r="A72" s="1"/>
      <c r="B72" s="1">
        <v>54</v>
      </c>
      <c r="C72" s="1" t="s">
        <v>304</v>
      </c>
      <c r="D72" s="1" t="s">
        <v>436</v>
      </c>
      <c r="E72" s="1" t="s">
        <v>140</v>
      </c>
      <c r="F72" s="1" t="s">
        <v>131</v>
      </c>
      <c r="G72" s="1" t="s">
        <v>831</v>
      </c>
      <c r="H72" s="1" t="s">
        <v>24</v>
      </c>
      <c r="I72" s="1" t="s">
        <v>130</v>
      </c>
      <c r="J72" s="1" t="s">
        <v>211</v>
      </c>
      <c r="K72" s="1" t="s">
        <v>1252</v>
      </c>
      <c r="L72" s="1"/>
      <c r="M72" s="1"/>
      <c r="N72" s="1" t="str">
        <f t="shared" si="5"/>
        <v>No</v>
      </c>
      <c r="O72" s="1">
        <f t="shared" si="8"/>
        <v>23</v>
      </c>
      <c r="P72" s="1">
        <f t="shared" si="9"/>
        <v>39</v>
      </c>
      <c r="Q72" s="1">
        <f t="shared" si="14"/>
        <v>4</v>
      </c>
      <c r="R72" s="1">
        <f t="shared" si="14"/>
        <v>0</v>
      </c>
      <c r="S72" s="31">
        <f t="shared" si="14"/>
        <v>58.97</v>
      </c>
      <c r="T72" s="1" t="str">
        <f t="shared" si="10"/>
        <v>caught</v>
      </c>
      <c r="U72" s="1" t="str">
        <f t="shared" si="11"/>
        <v>1</v>
      </c>
      <c r="V72" s="1" t="str">
        <f t="shared" si="12"/>
        <v xml:space="preserve"> New Zealand</v>
      </c>
      <c r="W72" s="1" t="str">
        <f t="shared" si="13"/>
        <v>Queenstown</v>
      </c>
      <c r="X72" s="1" t="str">
        <f t="shared" si="7"/>
        <v>Yes</v>
      </c>
      <c r="Y72" s="1"/>
    </row>
    <row r="73" spans="1:25" ht="14.25" customHeight="1">
      <c r="A73" s="1"/>
      <c r="B73" s="1">
        <v>55</v>
      </c>
      <c r="C73" s="1" t="s">
        <v>405</v>
      </c>
      <c r="D73" s="1" t="s">
        <v>359</v>
      </c>
      <c r="E73" s="1" t="s">
        <v>161</v>
      </c>
      <c r="F73" s="1" t="s">
        <v>131</v>
      </c>
      <c r="G73" s="1" t="s">
        <v>905</v>
      </c>
      <c r="H73" s="1" t="s">
        <v>24</v>
      </c>
      <c r="I73" s="1" t="s">
        <v>151</v>
      </c>
      <c r="J73" s="1" t="s">
        <v>211</v>
      </c>
      <c r="K73" s="1" t="s">
        <v>105</v>
      </c>
      <c r="L73" s="1"/>
      <c r="M73" s="1"/>
      <c r="N73" s="1" t="str">
        <f t="shared" si="5"/>
        <v>No</v>
      </c>
      <c r="O73" s="1">
        <f t="shared" si="8"/>
        <v>45</v>
      </c>
      <c r="P73" s="1">
        <f t="shared" si="9"/>
        <v>40</v>
      </c>
      <c r="Q73" s="1">
        <f t="shared" si="14"/>
        <v>9</v>
      </c>
      <c r="R73" s="1">
        <f t="shared" si="14"/>
        <v>0</v>
      </c>
      <c r="S73" s="31">
        <f t="shared" si="14"/>
        <v>112.5</v>
      </c>
      <c r="T73" s="1" t="str">
        <f t="shared" si="10"/>
        <v>caught</v>
      </c>
      <c r="U73" s="1" t="str">
        <f t="shared" si="11"/>
        <v>2</v>
      </c>
      <c r="V73" s="1" t="str">
        <f t="shared" si="12"/>
        <v xml:space="preserve"> New Zealand</v>
      </c>
      <c r="W73" s="1" t="str">
        <f t="shared" si="13"/>
        <v>Wellington</v>
      </c>
      <c r="X73" s="1" t="str">
        <f t="shared" si="7"/>
        <v>Yes</v>
      </c>
      <c r="Y73" s="1"/>
    </row>
    <row r="74" spans="1:25" ht="14.25" customHeight="1">
      <c r="A74" s="1"/>
      <c r="B74" s="1">
        <v>56</v>
      </c>
      <c r="C74" s="1" t="s">
        <v>441</v>
      </c>
      <c r="D74" s="1" t="s">
        <v>855</v>
      </c>
      <c r="E74" s="1" t="s">
        <v>176</v>
      </c>
      <c r="F74" s="1" t="s">
        <v>148</v>
      </c>
      <c r="G74" s="1" t="s">
        <v>1253</v>
      </c>
      <c r="H74" s="1" t="s">
        <v>24</v>
      </c>
      <c r="I74" s="1" t="s">
        <v>151</v>
      </c>
      <c r="J74" s="1" t="s">
        <v>211</v>
      </c>
      <c r="K74" s="1" t="s">
        <v>104</v>
      </c>
      <c r="L74" s="1"/>
      <c r="M74" s="1"/>
      <c r="N74" s="1" t="str">
        <f t="shared" si="5"/>
        <v>No</v>
      </c>
      <c r="O74" s="1">
        <f t="shared" si="8"/>
        <v>112</v>
      </c>
      <c r="P74" s="1">
        <f t="shared" si="9"/>
        <v>139</v>
      </c>
      <c r="Q74" s="1">
        <f t="shared" si="14"/>
        <v>11</v>
      </c>
      <c r="R74" s="1">
        <f t="shared" si="14"/>
        <v>3</v>
      </c>
      <c r="S74" s="31">
        <f t="shared" si="14"/>
        <v>80.569999999999993</v>
      </c>
      <c r="T74" s="1" t="str">
        <f t="shared" si="10"/>
        <v>caught</v>
      </c>
      <c r="U74" s="1" t="str">
        <f t="shared" si="11"/>
        <v>2</v>
      </c>
      <c r="V74" s="1" t="str">
        <f t="shared" si="12"/>
        <v xml:space="preserve"> New Zealand</v>
      </c>
      <c r="W74" s="1" t="str">
        <f t="shared" si="13"/>
        <v>Auckland</v>
      </c>
      <c r="X74" s="1" t="str">
        <f t="shared" si="7"/>
        <v>Yes</v>
      </c>
      <c r="Y74" s="1"/>
    </row>
    <row r="75" spans="1:25" ht="14.25" customHeight="1">
      <c r="A75" s="1"/>
      <c r="B75" s="1">
        <v>57</v>
      </c>
      <c r="C75" s="1" t="s">
        <v>140</v>
      </c>
      <c r="D75" s="1" t="s">
        <v>170</v>
      </c>
      <c r="E75" s="1" t="s">
        <v>131</v>
      </c>
      <c r="F75" s="1" t="s">
        <v>131</v>
      </c>
      <c r="G75" s="1" t="s">
        <v>1254</v>
      </c>
      <c r="H75" s="1" t="s">
        <v>24</v>
      </c>
      <c r="I75" s="1" t="s">
        <v>130</v>
      </c>
      <c r="J75" s="1" t="s">
        <v>211</v>
      </c>
      <c r="K75" s="1" t="s">
        <v>103</v>
      </c>
      <c r="L75" s="1"/>
      <c r="M75" s="1"/>
      <c r="N75" s="1" t="str">
        <f t="shared" si="5"/>
        <v>No</v>
      </c>
      <c r="O75" s="1">
        <f t="shared" si="8"/>
        <v>4</v>
      </c>
      <c r="P75" s="1">
        <f t="shared" si="9"/>
        <v>19</v>
      </c>
      <c r="Q75" s="1">
        <f t="shared" si="14"/>
        <v>0</v>
      </c>
      <c r="R75" s="1">
        <f t="shared" si="14"/>
        <v>0</v>
      </c>
      <c r="S75" s="31">
        <f t="shared" si="14"/>
        <v>21.05</v>
      </c>
      <c r="T75" s="1" t="str">
        <f t="shared" si="10"/>
        <v>caught</v>
      </c>
      <c r="U75" s="1" t="str">
        <f t="shared" si="11"/>
        <v>1</v>
      </c>
      <c r="V75" s="1" t="str">
        <f t="shared" si="12"/>
        <v xml:space="preserve"> New Zealand</v>
      </c>
      <c r="W75" s="1" t="str">
        <f t="shared" si="13"/>
        <v>Hamilton</v>
      </c>
      <c r="X75" s="1" t="str">
        <f t="shared" si="7"/>
        <v>Yes</v>
      </c>
      <c r="Y75" s="1"/>
    </row>
    <row r="76" spans="1:25" ht="14.25" customHeight="1">
      <c r="A76" s="1"/>
      <c r="B76" s="1">
        <v>58</v>
      </c>
      <c r="C76" s="1" t="s">
        <v>136</v>
      </c>
      <c r="D76" s="1" t="s">
        <v>161</v>
      </c>
      <c r="E76" s="1" t="s">
        <v>130</v>
      </c>
      <c r="F76" s="1" t="s">
        <v>131</v>
      </c>
      <c r="G76" s="1" t="s">
        <v>155</v>
      </c>
      <c r="H76" s="1" t="s">
        <v>24</v>
      </c>
      <c r="I76" s="1" t="s">
        <v>130</v>
      </c>
      <c r="J76" s="1" t="s">
        <v>240</v>
      </c>
      <c r="K76" s="1" t="s">
        <v>117</v>
      </c>
      <c r="L76" s="1"/>
      <c r="M76" s="1"/>
      <c r="N76" s="1" t="str">
        <f t="shared" si="5"/>
        <v>No</v>
      </c>
      <c r="O76" s="1">
        <f t="shared" si="8"/>
        <v>6</v>
      </c>
      <c r="P76" s="1">
        <f t="shared" si="9"/>
        <v>9</v>
      </c>
      <c r="Q76" s="1">
        <f t="shared" si="14"/>
        <v>1</v>
      </c>
      <c r="R76" s="1">
        <f t="shared" si="14"/>
        <v>0</v>
      </c>
      <c r="S76" s="31">
        <f t="shared" si="14"/>
        <v>66.66</v>
      </c>
      <c r="T76" s="1" t="str">
        <f t="shared" si="10"/>
        <v>caught</v>
      </c>
      <c r="U76" s="1" t="str">
        <f t="shared" si="11"/>
        <v>1</v>
      </c>
      <c r="V76" s="1" t="str">
        <f t="shared" si="12"/>
        <v xml:space="preserve"> Netherlands</v>
      </c>
      <c r="W76" s="1" t="str">
        <f t="shared" si="13"/>
        <v>Paarl</v>
      </c>
      <c r="X76" s="1" t="str">
        <f t="shared" si="7"/>
        <v>Yes</v>
      </c>
      <c r="Y76" s="1"/>
    </row>
    <row r="77" spans="1:25" ht="14.25" customHeight="1">
      <c r="A77" s="1"/>
      <c r="B77" s="1">
        <v>59</v>
      </c>
      <c r="C77" s="1" t="s">
        <v>140</v>
      </c>
      <c r="D77" s="1" t="s">
        <v>140</v>
      </c>
      <c r="E77" s="1" t="s">
        <v>130</v>
      </c>
      <c r="F77" s="1" t="s">
        <v>131</v>
      </c>
      <c r="G77" s="1" t="s">
        <v>152</v>
      </c>
      <c r="H77" s="1" t="s">
        <v>24</v>
      </c>
      <c r="I77" s="1" t="s">
        <v>130</v>
      </c>
      <c r="J77" s="1" t="s">
        <v>158</v>
      </c>
      <c r="K77" s="1" t="s">
        <v>36</v>
      </c>
      <c r="L77" s="1"/>
      <c r="M77" s="1"/>
      <c r="N77" s="1" t="str">
        <f t="shared" si="5"/>
        <v>No</v>
      </c>
      <c r="O77" s="1">
        <f t="shared" si="8"/>
        <v>4</v>
      </c>
      <c r="P77" s="1">
        <f t="shared" si="9"/>
        <v>4</v>
      </c>
      <c r="Q77" s="1">
        <f t="shared" si="14"/>
        <v>1</v>
      </c>
      <c r="R77" s="1">
        <f t="shared" si="14"/>
        <v>0</v>
      </c>
      <c r="S77" s="31">
        <f t="shared" si="14"/>
        <v>100</v>
      </c>
      <c r="T77" s="1" t="str">
        <f t="shared" si="10"/>
        <v>caught</v>
      </c>
      <c r="U77" s="1" t="str">
        <f t="shared" si="11"/>
        <v>1</v>
      </c>
      <c r="V77" s="1" t="str">
        <f t="shared" si="12"/>
        <v xml:space="preserve"> Australia</v>
      </c>
      <c r="W77" s="1" t="str">
        <f t="shared" si="13"/>
        <v>Centurion</v>
      </c>
      <c r="X77" s="1" t="str">
        <f t="shared" si="7"/>
        <v>Yes</v>
      </c>
      <c r="Y77" s="1"/>
    </row>
    <row r="78" spans="1:25" ht="14.25" customHeight="1">
      <c r="A78" s="1"/>
      <c r="B78" s="1">
        <v>60</v>
      </c>
      <c r="C78" s="1" t="s">
        <v>258</v>
      </c>
      <c r="D78" s="1" t="s">
        <v>139</v>
      </c>
      <c r="E78" s="1" t="s">
        <v>136</v>
      </c>
      <c r="F78" s="1" t="s">
        <v>131</v>
      </c>
      <c r="G78" s="1" t="s">
        <v>1255</v>
      </c>
      <c r="H78" s="1" t="s">
        <v>24</v>
      </c>
      <c r="I78" s="1" t="s">
        <v>130</v>
      </c>
      <c r="J78" s="1" t="s">
        <v>195</v>
      </c>
      <c r="K78" s="1" t="s">
        <v>62</v>
      </c>
      <c r="L78" s="1"/>
      <c r="M78" s="1"/>
      <c r="N78" s="1" t="str">
        <f t="shared" si="5"/>
        <v>No</v>
      </c>
      <c r="O78" s="1">
        <f t="shared" si="8"/>
        <v>36</v>
      </c>
      <c r="P78" s="1">
        <f t="shared" si="9"/>
        <v>38</v>
      </c>
      <c r="Q78" s="1">
        <f t="shared" si="14"/>
        <v>6</v>
      </c>
      <c r="R78" s="1">
        <f t="shared" si="14"/>
        <v>0</v>
      </c>
      <c r="S78" s="31">
        <f t="shared" si="14"/>
        <v>94.73</v>
      </c>
      <c r="T78" s="1" t="str">
        <f t="shared" si="10"/>
        <v>caught</v>
      </c>
      <c r="U78" s="1" t="str">
        <f t="shared" si="11"/>
        <v>1</v>
      </c>
      <c r="V78" s="1" t="str">
        <f t="shared" si="12"/>
        <v xml:space="preserve"> Zimbabwe</v>
      </c>
      <c r="W78" s="1" t="str">
        <f t="shared" si="13"/>
        <v>Harare</v>
      </c>
      <c r="X78" s="1" t="str">
        <f t="shared" si="7"/>
        <v>Yes</v>
      </c>
      <c r="Y78" s="1"/>
    </row>
    <row r="79" spans="1:25" ht="14.25" customHeight="1">
      <c r="A79" s="1"/>
      <c r="B79" s="1">
        <v>61</v>
      </c>
      <c r="C79" s="1" t="s">
        <v>154</v>
      </c>
      <c r="D79" s="1" t="s">
        <v>154</v>
      </c>
      <c r="E79" s="1" t="s">
        <v>140</v>
      </c>
      <c r="F79" s="1" t="s">
        <v>131</v>
      </c>
      <c r="G79" s="1" t="s">
        <v>152</v>
      </c>
      <c r="H79" s="1" t="s">
        <v>24</v>
      </c>
      <c r="I79" s="1" t="s">
        <v>130</v>
      </c>
      <c r="J79" s="1" t="s">
        <v>1131</v>
      </c>
      <c r="K79" s="1" t="s">
        <v>1132</v>
      </c>
      <c r="L79" s="1"/>
      <c r="M79" s="1"/>
      <c r="N79" s="1" t="str">
        <f t="shared" si="5"/>
        <v>No</v>
      </c>
      <c r="O79" s="1">
        <f t="shared" si="8"/>
        <v>24</v>
      </c>
      <c r="P79" s="1">
        <f t="shared" si="9"/>
        <v>24</v>
      </c>
      <c r="Q79" s="1">
        <f t="shared" si="14"/>
        <v>4</v>
      </c>
      <c r="R79" s="1">
        <f t="shared" si="14"/>
        <v>0</v>
      </c>
      <c r="S79" s="31">
        <f t="shared" si="14"/>
        <v>100</v>
      </c>
      <c r="T79" s="1" t="str">
        <f t="shared" si="10"/>
        <v>caught</v>
      </c>
      <c r="U79" s="1" t="str">
        <f t="shared" si="11"/>
        <v>1</v>
      </c>
      <c r="V79" s="1" t="str">
        <f t="shared" si="12"/>
        <v xml:space="preserve"> Namibia</v>
      </c>
      <c r="W79" s="1" t="str">
        <f t="shared" si="13"/>
        <v>Pietermaritzburg</v>
      </c>
      <c r="X79" s="1" t="str">
        <f t="shared" si="7"/>
        <v>Yes</v>
      </c>
      <c r="Y79" s="1"/>
    </row>
    <row r="80" spans="1:25" ht="14.25" customHeight="1">
      <c r="A80" s="1"/>
      <c r="B80" s="1">
        <v>62</v>
      </c>
      <c r="C80" s="1" t="s">
        <v>304</v>
      </c>
      <c r="D80" s="1" t="s">
        <v>200</v>
      </c>
      <c r="E80" s="1" t="s">
        <v>140</v>
      </c>
      <c r="F80" s="1" t="s">
        <v>131</v>
      </c>
      <c r="G80" s="1" t="s">
        <v>583</v>
      </c>
      <c r="H80" s="1" t="s">
        <v>24</v>
      </c>
      <c r="I80" s="1" t="s">
        <v>130</v>
      </c>
      <c r="J80" s="1" t="s">
        <v>234</v>
      </c>
      <c r="K80" s="1" t="s">
        <v>69</v>
      </c>
      <c r="L80" s="1"/>
      <c r="M80" s="1"/>
      <c r="N80" s="1" t="str">
        <f t="shared" si="5"/>
        <v>No</v>
      </c>
      <c r="O80" s="1">
        <f t="shared" si="8"/>
        <v>23</v>
      </c>
      <c r="P80" s="1">
        <f t="shared" si="9"/>
        <v>29</v>
      </c>
      <c r="Q80" s="1">
        <f t="shared" si="14"/>
        <v>4</v>
      </c>
      <c r="R80" s="1">
        <f t="shared" si="14"/>
        <v>0</v>
      </c>
      <c r="S80" s="31">
        <f t="shared" si="14"/>
        <v>79.31</v>
      </c>
      <c r="T80" s="1" t="str">
        <f t="shared" si="10"/>
        <v>caught</v>
      </c>
      <c r="U80" s="1" t="str">
        <f t="shared" si="11"/>
        <v>1</v>
      </c>
      <c r="V80" s="1" t="str">
        <f t="shared" si="12"/>
        <v xml:space="preserve"> England</v>
      </c>
      <c r="W80" s="1" t="str">
        <f t="shared" si="13"/>
        <v>Durban</v>
      </c>
      <c r="X80" s="1" t="str">
        <f t="shared" si="7"/>
        <v>Yes</v>
      </c>
      <c r="Y80" s="1"/>
    </row>
    <row r="81" spans="1:25" ht="14.25" customHeight="1">
      <c r="A81" s="1"/>
      <c r="B81" s="1">
        <v>63</v>
      </c>
      <c r="C81" s="1" t="s">
        <v>246</v>
      </c>
      <c r="D81" s="1" t="s">
        <v>205</v>
      </c>
      <c r="E81" s="1" t="s">
        <v>148</v>
      </c>
      <c r="F81" s="1" t="s">
        <v>130</v>
      </c>
      <c r="G81" s="1" t="s">
        <v>986</v>
      </c>
      <c r="H81" s="1" t="s">
        <v>24</v>
      </c>
      <c r="I81" s="1" t="s">
        <v>151</v>
      </c>
      <c r="J81" s="1" t="s">
        <v>156</v>
      </c>
      <c r="K81" s="1" t="s">
        <v>36</v>
      </c>
      <c r="L81" s="1"/>
      <c r="M81" s="1"/>
      <c r="N81" s="1" t="str">
        <f t="shared" si="5"/>
        <v>No</v>
      </c>
      <c r="O81" s="1">
        <f t="shared" si="8"/>
        <v>21</v>
      </c>
      <c r="P81" s="1">
        <f t="shared" si="9"/>
        <v>14</v>
      </c>
      <c r="Q81" s="1">
        <f t="shared" si="14"/>
        <v>3</v>
      </c>
      <c r="R81" s="1">
        <f t="shared" si="14"/>
        <v>1</v>
      </c>
      <c r="S81" s="31">
        <f t="shared" si="14"/>
        <v>150</v>
      </c>
      <c r="T81" s="1" t="str">
        <f t="shared" si="10"/>
        <v>caught</v>
      </c>
      <c r="U81" s="1" t="str">
        <f t="shared" si="11"/>
        <v>2</v>
      </c>
      <c r="V81" s="1" t="str">
        <f t="shared" si="12"/>
        <v xml:space="preserve"> Pakistan</v>
      </c>
      <c r="W81" s="1" t="str">
        <f t="shared" si="13"/>
        <v>Centurion</v>
      </c>
      <c r="X81" s="1" t="str">
        <f t="shared" si="7"/>
        <v>Yes</v>
      </c>
      <c r="Y81" s="1"/>
    </row>
    <row r="82" spans="1:25" ht="14.25" customHeight="1">
      <c r="A82" s="1"/>
      <c r="B82" s="1">
        <v>64</v>
      </c>
      <c r="C82" s="1" t="s">
        <v>148</v>
      </c>
      <c r="D82" s="1" t="s">
        <v>189</v>
      </c>
      <c r="E82" s="1" t="s">
        <v>131</v>
      </c>
      <c r="F82" s="1" t="s">
        <v>131</v>
      </c>
      <c r="G82" s="1" t="s">
        <v>388</v>
      </c>
      <c r="H82" s="1" t="s">
        <v>24</v>
      </c>
      <c r="I82" s="1" t="s">
        <v>151</v>
      </c>
      <c r="J82" s="1" t="s">
        <v>1012</v>
      </c>
      <c r="K82" s="1" t="s">
        <v>70</v>
      </c>
      <c r="L82" s="1"/>
      <c r="M82" s="1"/>
      <c r="N82" s="1" t="str">
        <f t="shared" si="5"/>
        <v>No</v>
      </c>
      <c r="O82" s="1">
        <f t="shared" si="8"/>
        <v>3</v>
      </c>
      <c r="P82" s="1">
        <f t="shared" si="9"/>
        <v>8</v>
      </c>
      <c r="Q82" s="1">
        <f t="shared" si="14"/>
        <v>0</v>
      </c>
      <c r="R82" s="1">
        <f t="shared" si="14"/>
        <v>0</v>
      </c>
      <c r="S82" s="31">
        <f t="shared" si="14"/>
        <v>37.5</v>
      </c>
      <c r="T82" s="1" t="str">
        <f t="shared" si="10"/>
        <v>caught</v>
      </c>
      <c r="U82" s="1" t="str">
        <f t="shared" si="11"/>
        <v>2</v>
      </c>
      <c r="V82" s="1" t="str">
        <f t="shared" si="12"/>
        <v xml:space="preserve"> Kenya</v>
      </c>
      <c r="W82" s="1" t="str">
        <f t="shared" si="13"/>
        <v>Cape Town</v>
      </c>
      <c r="X82" s="1" t="str">
        <f t="shared" si="7"/>
        <v>Yes</v>
      </c>
      <c r="Y82" s="1"/>
    </row>
    <row r="83" spans="1:25" ht="14.25" customHeight="1">
      <c r="A83" s="1"/>
      <c r="B83" s="1">
        <v>65</v>
      </c>
      <c r="C83" s="1" t="s">
        <v>143</v>
      </c>
      <c r="D83" s="1" t="s">
        <v>242</v>
      </c>
      <c r="E83" s="1" t="s">
        <v>202</v>
      </c>
      <c r="F83" s="1" t="s">
        <v>148</v>
      </c>
      <c r="G83" s="1" t="s">
        <v>477</v>
      </c>
      <c r="H83" s="1" t="s">
        <v>24</v>
      </c>
      <c r="I83" s="1" t="s">
        <v>130</v>
      </c>
      <c r="J83" s="1" t="s">
        <v>133</v>
      </c>
      <c r="K83" s="1" t="s">
        <v>43</v>
      </c>
      <c r="L83" s="1"/>
      <c r="M83" s="1"/>
      <c r="N83" s="1" t="str">
        <f t="shared" ref="N83:N146" si="15">IF(OR(C83="DNB",C83="TDNB"),"Yes","No")</f>
        <v>No</v>
      </c>
      <c r="O83" s="1">
        <f t="shared" si="8"/>
        <v>66</v>
      </c>
      <c r="P83" s="1">
        <f t="shared" si="9"/>
        <v>76</v>
      </c>
      <c r="Q83" s="1">
        <f t="shared" si="14"/>
        <v>5</v>
      </c>
      <c r="R83" s="1">
        <f t="shared" si="14"/>
        <v>3</v>
      </c>
      <c r="S83" s="31">
        <f t="shared" si="14"/>
        <v>86.84</v>
      </c>
      <c r="T83" s="1" t="str">
        <f t="shared" si="10"/>
        <v>caught</v>
      </c>
      <c r="U83" s="1" t="str">
        <f t="shared" si="11"/>
        <v>1</v>
      </c>
      <c r="V83" s="1" t="str">
        <f t="shared" si="12"/>
        <v xml:space="preserve"> Sri Lanka</v>
      </c>
      <c r="W83" s="1" t="str">
        <f t="shared" si="13"/>
        <v>Johannesburg</v>
      </c>
      <c r="X83" s="1" t="str">
        <f t="shared" si="7"/>
        <v>Yes</v>
      </c>
      <c r="Y83" s="1"/>
    </row>
    <row r="84" spans="1:25" ht="14.25" customHeight="1">
      <c r="A84" s="1"/>
      <c r="B84" s="1">
        <v>66</v>
      </c>
      <c r="C84" s="1" t="s">
        <v>130</v>
      </c>
      <c r="D84" s="1" t="s">
        <v>136</v>
      </c>
      <c r="E84" s="1" t="s">
        <v>131</v>
      </c>
      <c r="F84" s="1" t="s">
        <v>131</v>
      </c>
      <c r="G84" s="1" t="s">
        <v>481</v>
      </c>
      <c r="H84" s="1" t="s">
        <v>24</v>
      </c>
      <c r="I84" s="1" t="s">
        <v>151</v>
      </c>
      <c r="J84" s="1" t="s">
        <v>211</v>
      </c>
      <c r="K84" s="1" t="s">
        <v>36</v>
      </c>
      <c r="L84" s="1"/>
      <c r="M84" s="1"/>
      <c r="N84" s="1" t="str">
        <f t="shared" si="15"/>
        <v>No</v>
      </c>
      <c r="O84" s="1">
        <f t="shared" ref="O84:O147" si="16">IF(N84="Yes", "NA",SUBSTITUTE(C84,"*","")*1)</f>
        <v>1</v>
      </c>
      <c r="P84" s="1">
        <f t="shared" ref="P84:P147" si="17">IF(D84="-","NA",D84*1)</f>
        <v>6</v>
      </c>
      <c r="Q84" s="1">
        <f t="shared" si="14"/>
        <v>0</v>
      </c>
      <c r="R84" s="1">
        <f t="shared" si="14"/>
        <v>0</v>
      </c>
      <c r="S84" s="31">
        <f t="shared" si="14"/>
        <v>16.66</v>
      </c>
      <c r="T84" s="1" t="str">
        <f t="shared" ref="T84:T147" si="18">IF(H84="-","NA",H84)</f>
        <v>caught</v>
      </c>
      <c r="U84" s="1" t="str">
        <f t="shared" ref="U84:U147" si="19">I84</f>
        <v>2</v>
      </c>
      <c r="V84" s="1" t="str">
        <f t="shared" ref="V84:V147" si="20">SUBSTITUTE(J84,"v","")</f>
        <v xml:space="preserve"> New Zealand</v>
      </c>
      <c r="W84" s="1" t="str">
        <f t="shared" ref="W84:W147" si="21">K84</f>
        <v>Centurion</v>
      </c>
      <c r="X84" s="1" t="str">
        <f t="shared" ref="X84:X147" si="22">IF(N84="Yes","No",IF(T84="not out","No","Yes"))</f>
        <v>Yes</v>
      </c>
      <c r="Y84" s="1"/>
    </row>
    <row r="85" spans="1:25" ht="14.25" customHeight="1">
      <c r="A85" s="1"/>
      <c r="B85" s="1">
        <v>67</v>
      </c>
      <c r="C85" s="1" t="s">
        <v>244</v>
      </c>
      <c r="D85" s="1" t="s">
        <v>452</v>
      </c>
      <c r="E85" s="1" t="s">
        <v>148</v>
      </c>
      <c r="F85" s="1" t="s">
        <v>131</v>
      </c>
      <c r="G85" s="1" t="s">
        <v>1256</v>
      </c>
      <c r="H85" s="1" t="s">
        <v>24</v>
      </c>
      <c r="I85" s="1" t="s">
        <v>130</v>
      </c>
      <c r="J85" s="1" t="s">
        <v>1012</v>
      </c>
      <c r="K85" s="1" t="s">
        <v>69</v>
      </c>
      <c r="L85" s="1"/>
      <c r="M85" s="1"/>
      <c r="N85" s="1" t="str">
        <f t="shared" si="15"/>
        <v>No</v>
      </c>
      <c r="O85" s="1">
        <f t="shared" si="16"/>
        <v>33</v>
      </c>
      <c r="P85" s="1">
        <f t="shared" si="17"/>
        <v>56</v>
      </c>
      <c r="Q85" s="1">
        <f t="shared" si="14"/>
        <v>3</v>
      </c>
      <c r="R85" s="1">
        <f t="shared" si="14"/>
        <v>0</v>
      </c>
      <c r="S85" s="31">
        <f t="shared" si="14"/>
        <v>58.92</v>
      </c>
      <c r="T85" s="1" t="str">
        <f t="shared" si="18"/>
        <v>caught</v>
      </c>
      <c r="U85" s="1" t="str">
        <f t="shared" si="19"/>
        <v>1</v>
      </c>
      <c r="V85" s="1" t="str">
        <f t="shared" si="20"/>
        <v xml:space="preserve"> Kenya</v>
      </c>
      <c r="W85" s="1" t="str">
        <f t="shared" si="21"/>
        <v>Durban</v>
      </c>
      <c r="X85" s="1" t="str">
        <f t="shared" si="22"/>
        <v>Yes</v>
      </c>
      <c r="Y85" s="1"/>
    </row>
    <row r="86" spans="1:25" ht="14.25" customHeight="1">
      <c r="A86" s="1"/>
      <c r="B86" s="1">
        <v>68</v>
      </c>
      <c r="C86" s="1" t="s">
        <v>196</v>
      </c>
      <c r="D86" s="1" t="s">
        <v>250</v>
      </c>
      <c r="E86" s="1" t="s">
        <v>167</v>
      </c>
      <c r="F86" s="1" t="s">
        <v>148</v>
      </c>
      <c r="G86" s="1" t="s">
        <v>982</v>
      </c>
      <c r="H86" s="1" t="s">
        <v>26</v>
      </c>
      <c r="I86" s="1" t="s">
        <v>151</v>
      </c>
      <c r="J86" s="1" t="s">
        <v>158</v>
      </c>
      <c r="K86" s="1" t="s">
        <v>43</v>
      </c>
      <c r="L86" s="1"/>
      <c r="M86" s="1"/>
      <c r="N86" s="1" t="str">
        <f t="shared" si="15"/>
        <v>No</v>
      </c>
      <c r="O86" s="1">
        <f t="shared" si="16"/>
        <v>82</v>
      </c>
      <c r="P86" s="1">
        <f t="shared" si="17"/>
        <v>81</v>
      </c>
      <c r="Q86" s="1">
        <f t="shared" si="14"/>
        <v>10</v>
      </c>
      <c r="R86" s="1">
        <f t="shared" si="14"/>
        <v>3</v>
      </c>
      <c r="S86" s="31">
        <f t="shared" si="14"/>
        <v>101.23</v>
      </c>
      <c r="T86" s="1" t="str">
        <f t="shared" si="18"/>
        <v>run out</v>
      </c>
      <c r="U86" s="1" t="str">
        <f t="shared" si="19"/>
        <v>2</v>
      </c>
      <c r="V86" s="1" t="str">
        <f t="shared" si="20"/>
        <v xml:space="preserve"> Australia</v>
      </c>
      <c r="W86" s="1" t="str">
        <f t="shared" si="21"/>
        <v>Johannesburg</v>
      </c>
      <c r="X86" s="1" t="str">
        <f t="shared" si="22"/>
        <v>Yes</v>
      </c>
      <c r="Y86" s="1"/>
    </row>
    <row r="87" spans="1:25" ht="14.25" customHeight="1">
      <c r="A87" s="1"/>
      <c r="B87" s="1">
        <v>69</v>
      </c>
      <c r="C87" s="1" t="s">
        <v>262</v>
      </c>
      <c r="D87" s="1" t="s">
        <v>356</v>
      </c>
      <c r="E87" s="1" t="s">
        <v>176</v>
      </c>
      <c r="F87" s="1" t="s">
        <v>130</v>
      </c>
      <c r="G87" s="1" t="s">
        <v>1257</v>
      </c>
      <c r="H87" s="1" t="s">
        <v>19</v>
      </c>
      <c r="I87" s="1" t="s">
        <v>130</v>
      </c>
      <c r="J87" s="1" t="s">
        <v>182</v>
      </c>
      <c r="K87" s="1" t="s">
        <v>531</v>
      </c>
      <c r="L87" s="1"/>
      <c r="M87" s="1"/>
      <c r="N87" s="1" t="str">
        <f t="shared" si="15"/>
        <v>No</v>
      </c>
      <c r="O87" s="1">
        <f t="shared" si="16"/>
        <v>63</v>
      </c>
      <c r="P87" s="1">
        <f t="shared" si="17"/>
        <v>51</v>
      </c>
      <c r="Q87" s="1">
        <f t="shared" si="14"/>
        <v>11</v>
      </c>
      <c r="R87" s="1">
        <f t="shared" si="14"/>
        <v>1</v>
      </c>
      <c r="S87" s="31">
        <f t="shared" si="14"/>
        <v>123.52</v>
      </c>
      <c r="T87" s="1" t="str">
        <f t="shared" si="18"/>
        <v>lbw</v>
      </c>
      <c r="U87" s="1" t="str">
        <f t="shared" si="19"/>
        <v>1</v>
      </c>
      <c r="V87" s="1" t="str">
        <f t="shared" si="20"/>
        <v xml:space="preserve"> Bangladesh</v>
      </c>
      <c r="W87" s="1" t="str">
        <f t="shared" si="21"/>
        <v>Dhaka</v>
      </c>
      <c r="X87" s="1" t="str">
        <f t="shared" si="22"/>
        <v>Yes</v>
      </c>
      <c r="Y87" s="1"/>
    </row>
    <row r="88" spans="1:25" ht="14.25" customHeight="1">
      <c r="A88" s="1"/>
      <c r="B88" s="1">
        <v>70</v>
      </c>
      <c r="C88" s="1" t="s">
        <v>134</v>
      </c>
      <c r="D88" s="1" t="s">
        <v>369</v>
      </c>
      <c r="E88" s="1" t="s">
        <v>136</v>
      </c>
      <c r="F88" s="1" t="s">
        <v>131</v>
      </c>
      <c r="G88" s="1" t="s">
        <v>1258</v>
      </c>
      <c r="H88" s="1" t="s">
        <v>24</v>
      </c>
      <c r="I88" s="1" t="s">
        <v>130</v>
      </c>
      <c r="J88" s="1" t="s">
        <v>191</v>
      </c>
      <c r="K88" s="1" t="s">
        <v>531</v>
      </c>
      <c r="L88" s="1"/>
      <c r="M88" s="1"/>
      <c r="N88" s="1" t="str">
        <f t="shared" si="15"/>
        <v>No</v>
      </c>
      <c r="O88" s="1">
        <f t="shared" si="16"/>
        <v>37</v>
      </c>
      <c r="P88" s="1">
        <f t="shared" si="17"/>
        <v>44</v>
      </c>
      <c r="Q88" s="1">
        <f t="shared" si="14"/>
        <v>6</v>
      </c>
      <c r="R88" s="1">
        <f t="shared" si="14"/>
        <v>0</v>
      </c>
      <c r="S88" s="31">
        <f t="shared" si="14"/>
        <v>84.09</v>
      </c>
      <c r="T88" s="1" t="str">
        <f t="shared" si="18"/>
        <v>caught</v>
      </c>
      <c r="U88" s="1" t="str">
        <f t="shared" si="19"/>
        <v>1</v>
      </c>
      <c r="V88" s="1" t="str">
        <f t="shared" si="20"/>
        <v xml:space="preserve"> South Africa</v>
      </c>
      <c r="W88" s="1" t="str">
        <f t="shared" si="21"/>
        <v>Dhaka</v>
      </c>
      <c r="X88" s="1" t="str">
        <f t="shared" si="22"/>
        <v>Yes</v>
      </c>
      <c r="Y88" s="1"/>
    </row>
    <row r="89" spans="1:25" ht="14.25" customHeight="1">
      <c r="A89" s="1"/>
      <c r="B89" s="1">
        <v>71</v>
      </c>
      <c r="C89" s="1" t="s">
        <v>321</v>
      </c>
      <c r="D89" s="1" t="s">
        <v>369</v>
      </c>
      <c r="E89" s="1" t="s">
        <v>189</v>
      </c>
      <c r="F89" s="1" t="s">
        <v>131</v>
      </c>
      <c r="G89" s="1" t="s">
        <v>1259</v>
      </c>
      <c r="H89" s="1" t="s">
        <v>24</v>
      </c>
      <c r="I89" s="1" t="s">
        <v>151</v>
      </c>
      <c r="J89" s="1" t="s">
        <v>182</v>
      </c>
      <c r="K89" s="1" t="s">
        <v>531</v>
      </c>
      <c r="L89" s="1"/>
      <c r="M89" s="1"/>
      <c r="N89" s="1" t="str">
        <f t="shared" si="15"/>
        <v>No</v>
      </c>
      <c r="O89" s="1">
        <f t="shared" si="16"/>
        <v>43</v>
      </c>
      <c r="P89" s="1">
        <f t="shared" si="17"/>
        <v>44</v>
      </c>
      <c r="Q89" s="1">
        <f t="shared" si="14"/>
        <v>8</v>
      </c>
      <c r="R89" s="1">
        <f t="shared" si="14"/>
        <v>0</v>
      </c>
      <c r="S89" s="31">
        <f t="shared" si="14"/>
        <v>97.72</v>
      </c>
      <c r="T89" s="1" t="str">
        <f t="shared" si="18"/>
        <v>caught</v>
      </c>
      <c r="U89" s="1" t="str">
        <f t="shared" si="19"/>
        <v>2</v>
      </c>
      <c r="V89" s="1" t="str">
        <f t="shared" si="20"/>
        <v xml:space="preserve"> Bangladesh</v>
      </c>
      <c r="W89" s="1" t="str">
        <f t="shared" si="21"/>
        <v>Dhaka</v>
      </c>
      <c r="X89" s="1" t="str">
        <f t="shared" si="22"/>
        <v>Yes</v>
      </c>
      <c r="Y89" s="1"/>
    </row>
    <row r="90" spans="1:25" ht="14.25" customHeight="1">
      <c r="A90" s="1"/>
      <c r="B90" s="1">
        <v>72</v>
      </c>
      <c r="C90" s="1" t="s">
        <v>138</v>
      </c>
      <c r="D90" s="1" t="s">
        <v>164</v>
      </c>
      <c r="E90" s="1" t="s">
        <v>148</v>
      </c>
      <c r="F90" s="1" t="s">
        <v>130</v>
      </c>
      <c r="G90" s="1" t="s">
        <v>496</v>
      </c>
      <c r="H90" s="1" t="s">
        <v>24</v>
      </c>
      <c r="I90" s="1" t="s">
        <v>130</v>
      </c>
      <c r="J90" s="1" t="s">
        <v>191</v>
      </c>
      <c r="K90" s="1" t="s">
        <v>531</v>
      </c>
      <c r="L90" s="1"/>
      <c r="M90" s="1"/>
      <c r="N90" s="1" t="str">
        <f t="shared" si="15"/>
        <v>No</v>
      </c>
      <c r="O90" s="1">
        <f t="shared" si="16"/>
        <v>25</v>
      </c>
      <c r="P90" s="1">
        <f t="shared" si="17"/>
        <v>30</v>
      </c>
      <c r="Q90" s="1">
        <f t="shared" si="14"/>
        <v>3</v>
      </c>
      <c r="R90" s="1">
        <f t="shared" si="14"/>
        <v>1</v>
      </c>
      <c r="S90" s="31">
        <f t="shared" si="14"/>
        <v>83.33</v>
      </c>
      <c r="T90" s="1" t="str">
        <f t="shared" si="18"/>
        <v>caught</v>
      </c>
      <c r="U90" s="1" t="str">
        <f t="shared" si="19"/>
        <v>1</v>
      </c>
      <c r="V90" s="1" t="str">
        <f t="shared" si="20"/>
        <v xml:space="preserve"> South Africa</v>
      </c>
      <c r="W90" s="1" t="str">
        <f t="shared" si="21"/>
        <v>Dhaka</v>
      </c>
      <c r="X90" s="1" t="str">
        <f t="shared" si="22"/>
        <v>Yes</v>
      </c>
      <c r="Y90" s="1"/>
    </row>
    <row r="91" spans="1:25" ht="14.25" customHeight="1">
      <c r="A91" s="1"/>
      <c r="B91" s="1">
        <v>73</v>
      </c>
      <c r="C91" s="1" t="s">
        <v>189</v>
      </c>
      <c r="D91" s="1" t="s">
        <v>199</v>
      </c>
      <c r="E91" s="1" t="s">
        <v>130</v>
      </c>
      <c r="F91" s="1" t="s">
        <v>131</v>
      </c>
      <c r="G91" s="1" t="s">
        <v>259</v>
      </c>
      <c r="H91" s="1" t="s">
        <v>24</v>
      </c>
      <c r="I91" s="1" t="s">
        <v>130</v>
      </c>
      <c r="J91" s="1" t="s">
        <v>191</v>
      </c>
      <c r="K91" s="1" t="s">
        <v>531</v>
      </c>
      <c r="L91" s="1"/>
      <c r="M91" s="1"/>
      <c r="N91" s="1" t="str">
        <f t="shared" si="15"/>
        <v>No</v>
      </c>
      <c r="O91" s="1">
        <f t="shared" si="16"/>
        <v>8</v>
      </c>
      <c r="P91" s="1">
        <f t="shared" si="17"/>
        <v>18</v>
      </c>
      <c r="Q91" s="1">
        <f t="shared" si="14"/>
        <v>1</v>
      </c>
      <c r="R91" s="1">
        <f t="shared" si="14"/>
        <v>0</v>
      </c>
      <c r="S91" s="31">
        <f t="shared" si="14"/>
        <v>44.44</v>
      </c>
      <c r="T91" s="1" t="str">
        <f t="shared" si="18"/>
        <v>caught</v>
      </c>
      <c r="U91" s="1" t="str">
        <f t="shared" si="19"/>
        <v>1</v>
      </c>
      <c r="V91" s="1" t="str">
        <f t="shared" si="20"/>
        <v xml:space="preserve"> South Africa</v>
      </c>
      <c r="W91" s="1" t="str">
        <f t="shared" si="21"/>
        <v>Dhaka</v>
      </c>
      <c r="X91" s="1" t="str">
        <f t="shared" si="22"/>
        <v>Yes</v>
      </c>
      <c r="Y91" s="1"/>
    </row>
    <row r="92" spans="1:25" ht="14.25" customHeight="1">
      <c r="A92" s="1"/>
      <c r="B92" s="1">
        <v>74</v>
      </c>
      <c r="C92" s="1" t="s">
        <v>146</v>
      </c>
      <c r="D92" s="1" t="s">
        <v>200</v>
      </c>
      <c r="E92" s="1" t="s">
        <v>202</v>
      </c>
      <c r="F92" s="1" t="s">
        <v>130</v>
      </c>
      <c r="G92" s="1" t="s">
        <v>1242</v>
      </c>
      <c r="H92" s="1" t="s">
        <v>29</v>
      </c>
      <c r="I92" s="1" t="s">
        <v>130</v>
      </c>
      <c r="J92" s="1" t="s">
        <v>211</v>
      </c>
      <c r="K92" s="1" t="s">
        <v>68</v>
      </c>
      <c r="L92" s="1"/>
      <c r="M92" s="1"/>
      <c r="N92" s="1" t="str">
        <f t="shared" si="15"/>
        <v>No</v>
      </c>
      <c r="O92" s="1">
        <f t="shared" si="16"/>
        <v>31</v>
      </c>
      <c r="P92" s="1">
        <f t="shared" si="17"/>
        <v>29</v>
      </c>
      <c r="Q92" s="1">
        <f t="shared" si="14"/>
        <v>5</v>
      </c>
      <c r="R92" s="1">
        <f t="shared" si="14"/>
        <v>1</v>
      </c>
      <c r="S92" s="31">
        <f t="shared" si="14"/>
        <v>106.89</v>
      </c>
      <c r="T92" s="1" t="str">
        <f t="shared" si="18"/>
        <v>bowled</v>
      </c>
      <c r="U92" s="1" t="str">
        <f t="shared" si="19"/>
        <v>1</v>
      </c>
      <c r="V92" s="1" t="str">
        <f t="shared" si="20"/>
        <v xml:space="preserve"> New Zealand</v>
      </c>
      <c r="W92" s="1" t="str">
        <f t="shared" si="21"/>
        <v>Chennai</v>
      </c>
      <c r="X92" s="1" t="str">
        <f t="shared" si="22"/>
        <v>Yes</v>
      </c>
      <c r="Y92" s="1"/>
    </row>
    <row r="93" spans="1:25" ht="14.25" customHeight="1">
      <c r="A93" s="1"/>
      <c r="B93" s="1">
        <v>75</v>
      </c>
      <c r="C93" s="1" t="s">
        <v>131</v>
      </c>
      <c r="D93" s="1" t="s">
        <v>148</v>
      </c>
      <c r="E93" s="1" t="s">
        <v>131</v>
      </c>
      <c r="F93" s="1" t="s">
        <v>131</v>
      </c>
      <c r="G93" s="1" t="s">
        <v>210</v>
      </c>
      <c r="H93" s="1" t="s">
        <v>24</v>
      </c>
      <c r="I93" s="1" t="s">
        <v>130</v>
      </c>
      <c r="J93" s="1" t="s">
        <v>158</v>
      </c>
      <c r="K93" s="1" t="s">
        <v>58</v>
      </c>
      <c r="L93" s="1"/>
      <c r="M93" s="1"/>
      <c r="N93" s="1" t="str">
        <f t="shared" si="15"/>
        <v>No</v>
      </c>
      <c r="O93" s="1">
        <f t="shared" si="16"/>
        <v>0</v>
      </c>
      <c r="P93" s="1">
        <f t="shared" si="17"/>
        <v>3</v>
      </c>
      <c r="Q93" s="1">
        <f t="shared" si="14"/>
        <v>0</v>
      </c>
      <c r="R93" s="1">
        <f t="shared" si="14"/>
        <v>0</v>
      </c>
      <c r="S93" s="31">
        <f t="shared" si="14"/>
        <v>0</v>
      </c>
      <c r="T93" s="1" t="str">
        <f t="shared" si="18"/>
        <v>caught</v>
      </c>
      <c r="U93" s="1" t="str">
        <f t="shared" si="19"/>
        <v>1</v>
      </c>
      <c r="V93" s="1" t="str">
        <f t="shared" si="20"/>
        <v xml:space="preserve"> Australia</v>
      </c>
      <c r="W93" s="1" t="str">
        <f t="shared" si="21"/>
        <v>Gwalior</v>
      </c>
      <c r="X93" s="1" t="str">
        <f t="shared" si="22"/>
        <v>Yes</v>
      </c>
      <c r="Y93" s="1"/>
    </row>
    <row r="94" spans="1:25" ht="14.25" customHeight="1">
      <c r="A94" s="1"/>
      <c r="B94" s="1">
        <v>76</v>
      </c>
      <c r="C94" s="1" t="s">
        <v>131</v>
      </c>
      <c r="D94" s="1" t="s">
        <v>130</v>
      </c>
      <c r="E94" s="1" t="s">
        <v>131</v>
      </c>
      <c r="F94" s="1" t="s">
        <v>131</v>
      </c>
      <c r="G94" s="1" t="s">
        <v>210</v>
      </c>
      <c r="H94" s="1" t="s">
        <v>19</v>
      </c>
      <c r="I94" s="1" t="s">
        <v>151</v>
      </c>
      <c r="J94" s="1" t="s">
        <v>158</v>
      </c>
      <c r="K94" s="1" t="s">
        <v>75</v>
      </c>
      <c r="L94" s="1"/>
      <c r="M94" s="1"/>
      <c r="N94" s="1" t="str">
        <f t="shared" si="15"/>
        <v>No</v>
      </c>
      <c r="O94" s="1">
        <f t="shared" si="16"/>
        <v>0</v>
      </c>
      <c r="P94" s="1">
        <f t="shared" si="17"/>
        <v>1</v>
      </c>
      <c r="Q94" s="1">
        <f t="shared" si="14"/>
        <v>0</v>
      </c>
      <c r="R94" s="1">
        <f t="shared" si="14"/>
        <v>0</v>
      </c>
      <c r="S94" s="31">
        <f t="shared" si="14"/>
        <v>0</v>
      </c>
      <c r="T94" s="1" t="str">
        <f t="shared" si="18"/>
        <v>lbw</v>
      </c>
      <c r="U94" s="1" t="str">
        <f t="shared" si="19"/>
        <v>2</v>
      </c>
      <c r="V94" s="1" t="str">
        <f t="shared" si="20"/>
        <v xml:space="preserve"> Australia</v>
      </c>
      <c r="W94" s="1" t="str">
        <f t="shared" si="21"/>
        <v>Wankhede</v>
      </c>
      <c r="X94" s="1" t="str">
        <f t="shared" si="22"/>
        <v>Yes</v>
      </c>
      <c r="Y94" s="1"/>
    </row>
    <row r="95" spans="1:25" ht="14.25" customHeight="1">
      <c r="A95" s="1"/>
      <c r="B95" s="1">
        <v>77</v>
      </c>
      <c r="C95" s="1" t="s">
        <v>436</v>
      </c>
      <c r="D95" s="1" t="s">
        <v>235</v>
      </c>
      <c r="E95" s="1" t="s">
        <v>148</v>
      </c>
      <c r="F95" s="1" t="s">
        <v>130</v>
      </c>
      <c r="G95" s="1" t="s">
        <v>1260</v>
      </c>
      <c r="H95" s="1" t="s">
        <v>29</v>
      </c>
      <c r="I95" s="1" t="s">
        <v>151</v>
      </c>
      <c r="J95" s="1" t="s">
        <v>158</v>
      </c>
      <c r="K95" s="1" t="s">
        <v>67</v>
      </c>
      <c r="L95" s="1"/>
      <c r="M95" s="1"/>
      <c r="N95" s="1" t="str">
        <f t="shared" si="15"/>
        <v>No</v>
      </c>
      <c r="O95" s="1">
        <f t="shared" si="16"/>
        <v>39</v>
      </c>
      <c r="P95" s="1">
        <f t="shared" si="17"/>
        <v>53</v>
      </c>
      <c r="Q95" s="1">
        <f t="shared" si="14"/>
        <v>3</v>
      </c>
      <c r="R95" s="1">
        <f t="shared" si="14"/>
        <v>1</v>
      </c>
      <c r="S95" s="31">
        <f t="shared" si="14"/>
        <v>73.58</v>
      </c>
      <c r="T95" s="1" t="str">
        <f t="shared" si="18"/>
        <v>bowled</v>
      </c>
      <c r="U95" s="1" t="str">
        <f t="shared" si="19"/>
        <v>2</v>
      </c>
      <c r="V95" s="1" t="str">
        <f t="shared" si="20"/>
        <v xml:space="preserve"> Australia</v>
      </c>
      <c r="W95" s="1" t="str">
        <f t="shared" si="21"/>
        <v>Bengaluru</v>
      </c>
      <c r="X95" s="1" t="str">
        <f t="shared" si="22"/>
        <v>Yes</v>
      </c>
      <c r="Y95" s="1"/>
    </row>
    <row r="96" spans="1:25" ht="14.25" customHeight="1">
      <c r="A96" s="1"/>
      <c r="B96" s="1">
        <v>78</v>
      </c>
      <c r="C96" s="1" t="s">
        <v>663</v>
      </c>
      <c r="D96" s="1" t="s">
        <v>403</v>
      </c>
      <c r="E96" s="1" t="s">
        <v>283</v>
      </c>
      <c r="F96" s="1" t="s">
        <v>151</v>
      </c>
      <c r="G96" s="1" t="s">
        <v>1261</v>
      </c>
      <c r="H96" s="1" t="s">
        <v>24</v>
      </c>
      <c r="I96" s="1" t="s">
        <v>130</v>
      </c>
      <c r="J96" s="1" t="s">
        <v>211</v>
      </c>
      <c r="K96" s="1" t="s">
        <v>990</v>
      </c>
      <c r="L96" s="1"/>
      <c r="M96" s="1"/>
      <c r="N96" s="1" t="str">
        <f t="shared" si="15"/>
        <v>No</v>
      </c>
      <c r="O96" s="1">
        <f t="shared" si="16"/>
        <v>130</v>
      </c>
      <c r="P96" s="1">
        <f t="shared" si="17"/>
        <v>134</v>
      </c>
      <c r="Q96" s="1">
        <f t="shared" si="14"/>
        <v>15</v>
      </c>
      <c r="R96" s="1">
        <f t="shared" si="14"/>
        <v>2</v>
      </c>
      <c r="S96" s="31">
        <f t="shared" si="14"/>
        <v>97.01</v>
      </c>
      <c r="T96" s="1" t="str">
        <f t="shared" si="18"/>
        <v>caught</v>
      </c>
      <c r="U96" s="1" t="str">
        <f t="shared" si="19"/>
        <v>1</v>
      </c>
      <c r="V96" s="1" t="str">
        <f t="shared" si="20"/>
        <v xml:space="preserve"> New Zealand</v>
      </c>
      <c r="W96" s="1" t="str">
        <f t="shared" si="21"/>
        <v>Hyderabad (Deccan)</v>
      </c>
      <c r="X96" s="1" t="str">
        <f t="shared" si="22"/>
        <v>Yes</v>
      </c>
      <c r="Y96" s="1"/>
    </row>
    <row r="97" spans="1:25" ht="14.25" customHeight="1">
      <c r="A97" s="1"/>
      <c r="B97" s="1">
        <v>79</v>
      </c>
      <c r="C97" s="1" t="s">
        <v>202</v>
      </c>
      <c r="D97" s="1" t="s">
        <v>128</v>
      </c>
      <c r="E97" s="1" t="s">
        <v>130</v>
      </c>
      <c r="F97" s="1" t="s">
        <v>131</v>
      </c>
      <c r="G97" s="1" t="s">
        <v>691</v>
      </c>
      <c r="H97" s="1" t="s">
        <v>24</v>
      </c>
      <c r="I97" s="1" t="s">
        <v>151</v>
      </c>
      <c r="J97" s="1" t="s">
        <v>158</v>
      </c>
      <c r="K97" s="1" t="s">
        <v>51</v>
      </c>
      <c r="L97" s="1"/>
      <c r="M97" s="1"/>
      <c r="N97" s="1" t="str">
        <f t="shared" si="15"/>
        <v>No</v>
      </c>
      <c r="O97" s="1">
        <f t="shared" si="16"/>
        <v>5</v>
      </c>
      <c r="P97" s="1">
        <f t="shared" si="17"/>
        <v>12</v>
      </c>
      <c r="Q97" s="1">
        <f t="shared" si="14"/>
        <v>1</v>
      </c>
      <c r="R97" s="1">
        <f t="shared" si="14"/>
        <v>0</v>
      </c>
      <c r="S97" s="31">
        <f t="shared" si="14"/>
        <v>41.66</v>
      </c>
      <c r="T97" s="1" t="str">
        <f t="shared" si="18"/>
        <v>caught</v>
      </c>
      <c r="U97" s="1" t="str">
        <f t="shared" si="19"/>
        <v>2</v>
      </c>
      <c r="V97" s="1" t="str">
        <f t="shared" si="20"/>
        <v xml:space="preserve"> Australia</v>
      </c>
      <c r="W97" s="1" t="str">
        <f t="shared" si="21"/>
        <v>Eden Gardens</v>
      </c>
      <c r="X97" s="1" t="str">
        <f t="shared" si="22"/>
        <v>Yes</v>
      </c>
      <c r="Y97" s="1"/>
    </row>
    <row r="98" spans="1:25" ht="14.25" customHeight="1">
      <c r="A98" s="1"/>
      <c r="B98" s="1">
        <v>80</v>
      </c>
      <c r="C98" s="1" t="s">
        <v>248</v>
      </c>
      <c r="D98" s="1" t="s">
        <v>241</v>
      </c>
      <c r="E98" s="1" t="s">
        <v>148</v>
      </c>
      <c r="F98" s="1" t="s">
        <v>131</v>
      </c>
      <c r="G98" s="1" t="s">
        <v>1262</v>
      </c>
      <c r="H98" s="1" t="s">
        <v>29</v>
      </c>
      <c r="I98" s="1" t="s">
        <v>151</v>
      </c>
      <c r="J98" s="1" t="s">
        <v>158</v>
      </c>
      <c r="K98" s="1" t="s">
        <v>88</v>
      </c>
      <c r="L98" s="1"/>
      <c r="M98" s="1"/>
      <c r="N98" s="1" t="str">
        <f t="shared" si="15"/>
        <v>No</v>
      </c>
      <c r="O98" s="1">
        <f t="shared" si="16"/>
        <v>35</v>
      </c>
      <c r="P98" s="1">
        <f t="shared" si="17"/>
        <v>59</v>
      </c>
      <c r="Q98" s="1">
        <f t="shared" si="14"/>
        <v>3</v>
      </c>
      <c r="R98" s="1">
        <f t="shared" si="14"/>
        <v>0</v>
      </c>
      <c r="S98" s="31">
        <f t="shared" si="14"/>
        <v>59.32</v>
      </c>
      <c r="T98" s="1" t="str">
        <f t="shared" si="18"/>
        <v>bowled</v>
      </c>
      <c r="U98" s="1" t="str">
        <f t="shared" si="19"/>
        <v>2</v>
      </c>
      <c r="V98" s="1" t="str">
        <f t="shared" si="20"/>
        <v xml:space="preserve"> Australia</v>
      </c>
      <c r="W98" s="1" t="str">
        <f t="shared" si="21"/>
        <v>Melbourne</v>
      </c>
      <c r="X98" s="1" t="str">
        <f t="shared" si="22"/>
        <v>Yes</v>
      </c>
      <c r="Y98" s="1"/>
    </row>
    <row r="99" spans="1:25" ht="14.25" customHeight="1">
      <c r="A99" s="1"/>
      <c r="B99" s="1">
        <v>81</v>
      </c>
      <c r="C99" s="1" t="s">
        <v>835</v>
      </c>
      <c r="D99" s="1" t="s">
        <v>180</v>
      </c>
      <c r="E99" s="1" t="s">
        <v>202</v>
      </c>
      <c r="F99" s="1" t="s">
        <v>202</v>
      </c>
      <c r="G99" s="1" t="s">
        <v>406</v>
      </c>
      <c r="H99" s="1" t="s">
        <v>24</v>
      </c>
      <c r="I99" s="1" t="s">
        <v>151</v>
      </c>
      <c r="J99" s="1" t="s">
        <v>195</v>
      </c>
      <c r="K99" s="1" t="s">
        <v>93</v>
      </c>
      <c r="L99" s="1"/>
      <c r="M99" s="1"/>
      <c r="N99" s="1" t="str">
        <f t="shared" si="15"/>
        <v>No</v>
      </c>
      <c r="O99" s="1">
        <f t="shared" si="16"/>
        <v>90</v>
      </c>
      <c r="P99" s="1">
        <f t="shared" si="17"/>
        <v>102</v>
      </c>
      <c r="Q99" s="1">
        <f t="shared" ref="Q99:S162" si="23">IF(E99="-","NA",E99*1)</f>
        <v>5</v>
      </c>
      <c r="R99" s="1">
        <f t="shared" si="23"/>
        <v>5</v>
      </c>
      <c r="S99" s="31">
        <f t="shared" si="23"/>
        <v>88.23</v>
      </c>
      <c r="T99" s="1" t="str">
        <f t="shared" si="18"/>
        <v>caught</v>
      </c>
      <c r="U99" s="1" t="str">
        <f t="shared" si="19"/>
        <v>2</v>
      </c>
      <c r="V99" s="1" t="str">
        <f t="shared" si="20"/>
        <v xml:space="preserve"> Zimbabwe</v>
      </c>
      <c r="W99" s="1" t="str">
        <f t="shared" si="21"/>
        <v>Hobart</v>
      </c>
      <c r="X99" s="1" t="str">
        <f t="shared" si="22"/>
        <v>Yes</v>
      </c>
      <c r="Y99" s="1"/>
    </row>
    <row r="100" spans="1:25" ht="14.25" customHeight="1">
      <c r="A100" s="1"/>
      <c r="B100" s="1">
        <v>82</v>
      </c>
      <c r="C100" s="1" t="s">
        <v>521</v>
      </c>
      <c r="D100" s="1" t="s">
        <v>208</v>
      </c>
      <c r="E100" s="1" t="s">
        <v>136</v>
      </c>
      <c r="F100" s="1" t="s">
        <v>131</v>
      </c>
      <c r="G100" s="1" t="s">
        <v>278</v>
      </c>
      <c r="H100" s="1" t="s">
        <v>24</v>
      </c>
      <c r="I100" s="1" t="s">
        <v>130</v>
      </c>
      <c r="J100" s="1" t="s">
        <v>158</v>
      </c>
      <c r="K100" s="1" t="s">
        <v>89</v>
      </c>
      <c r="L100" s="1"/>
      <c r="M100" s="1"/>
      <c r="N100" s="1" t="str">
        <f t="shared" si="15"/>
        <v>No</v>
      </c>
      <c r="O100" s="1">
        <f t="shared" si="16"/>
        <v>32</v>
      </c>
      <c r="P100" s="1">
        <f t="shared" si="17"/>
        <v>34</v>
      </c>
      <c r="Q100" s="1">
        <f t="shared" si="23"/>
        <v>6</v>
      </c>
      <c r="R100" s="1">
        <f t="shared" si="23"/>
        <v>0</v>
      </c>
      <c r="S100" s="31">
        <f t="shared" si="23"/>
        <v>94.11</v>
      </c>
      <c r="T100" s="1" t="str">
        <f t="shared" si="18"/>
        <v>caught</v>
      </c>
      <c r="U100" s="1" t="str">
        <f t="shared" si="19"/>
        <v>1</v>
      </c>
      <c r="V100" s="1" t="str">
        <f t="shared" si="20"/>
        <v xml:space="preserve"> Australia</v>
      </c>
      <c r="W100" s="1" t="str">
        <f t="shared" si="21"/>
        <v>W.A.C.A</v>
      </c>
      <c r="X100" s="1" t="str">
        <f t="shared" si="22"/>
        <v>Yes</v>
      </c>
      <c r="Y100" s="1"/>
    </row>
    <row r="101" spans="1:25" ht="14.25" customHeight="1">
      <c r="A101" s="1"/>
      <c r="B101" s="1">
        <v>83</v>
      </c>
      <c r="C101" s="1" t="s">
        <v>304</v>
      </c>
      <c r="D101" s="1" t="s">
        <v>129</v>
      </c>
      <c r="E101" s="1" t="s">
        <v>140</v>
      </c>
      <c r="F101" s="1" t="s">
        <v>131</v>
      </c>
      <c r="G101" s="1" t="s">
        <v>896</v>
      </c>
      <c r="H101" s="1" t="s">
        <v>24</v>
      </c>
      <c r="I101" s="1" t="s">
        <v>151</v>
      </c>
      <c r="J101" s="1" t="s">
        <v>195</v>
      </c>
      <c r="K101" s="1" t="s">
        <v>89</v>
      </c>
      <c r="L101" s="1"/>
      <c r="M101" s="1"/>
      <c r="N101" s="1" t="str">
        <f t="shared" si="15"/>
        <v>No</v>
      </c>
      <c r="O101" s="1">
        <f t="shared" si="16"/>
        <v>23</v>
      </c>
      <c r="P101" s="1">
        <f t="shared" si="17"/>
        <v>22</v>
      </c>
      <c r="Q101" s="1">
        <f t="shared" si="23"/>
        <v>4</v>
      </c>
      <c r="R101" s="1">
        <f t="shared" si="23"/>
        <v>0</v>
      </c>
      <c r="S101" s="31">
        <f t="shared" si="23"/>
        <v>104.54</v>
      </c>
      <c r="T101" s="1" t="str">
        <f t="shared" si="18"/>
        <v>caught</v>
      </c>
      <c r="U101" s="1" t="str">
        <f t="shared" si="19"/>
        <v>2</v>
      </c>
      <c r="V101" s="1" t="str">
        <f t="shared" si="20"/>
        <v xml:space="preserve"> Zimbabwe</v>
      </c>
      <c r="W101" s="1" t="str">
        <f t="shared" si="21"/>
        <v>W.A.C.A</v>
      </c>
      <c r="X101" s="1" t="str">
        <f t="shared" si="22"/>
        <v>Yes</v>
      </c>
      <c r="Y101" s="1"/>
    </row>
    <row r="102" spans="1:25" ht="14.25" customHeight="1">
      <c r="A102" s="1"/>
      <c r="B102" s="1">
        <v>84</v>
      </c>
      <c r="C102" s="1" t="s">
        <v>148</v>
      </c>
      <c r="D102" s="1" t="s">
        <v>189</v>
      </c>
      <c r="E102" s="1" t="s">
        <v>131</v>
      </c>
      <c r="F102" s="1" t="s">
        <v>131</v>
      </c>
      <c r="G102" s="1" t="s">
        <v>388</v>
      </c>
      <c r="H102" s="1" t="s">
        <v>24</v>
      </c>
      <c r="I102" s="1" t="s">
        <v>130</v>
      </c>
      <c r="J102" s="1" t="s">
        <v>158</v>
      </c>
      <c r="K102" s="1" t="s">
        <v>88</v>
      </c>
      <c r="L102" s="1"/>
      <c r="M102" s="1"/>
      <c r="N102" s="1" t="str">
        <f t="shared" si="15"/>
        <v>No</v>
      </c>
      <c r="O102" s="1">
        <f t="shared" si="16"/>
        <v>3</v>
      </c>
      <c r="P102" s="1">
        <f t="shared" si="17"/>
        <v>8</v>
      </c>
      <c r="Q102" s="1">
        <f t="shared" si="23"/>
        <v>0</v>
      </c>
      <c r="R102" s="1">
        <f t="shared" si="23"/>
        <v>0</v>
      </c>
      <c r="S102" s="31">
        <f t="shared" si="23"/>
        <v>37.5</v>
      </c>
      <c r="T102" s="1" t="str">
        <f t="shared" si="18"/>
        <v>caught</v>
      </c>
      <c r="U102" s="1" t="str">
        <f t="shared" si="19"/>
        <v>1</v>
      </c>
      <c r="V102" s="1" t="str">
        <f t="shared" si="20"/>
        <v xml:space="preserve"> Australia</v>
      </c>
      <c r="W102" s="1" t="str">
        <f t="shared" si="21"/>
        <v>Melbourne</v>
      </c>
      <c r="X102" s="1" t="str">
        <f t="shared" si="22"/>
        <v>Yes</v>
      </c>
      <c r="Y102" s="1"/>
    </row>
    <row r="103" spans="1:25" ht="14.25" customHeight="1">
      <c r="A103" s="1"/>
      <c r="B103" s="1">
        <v>85</v>
      </c>
      <c r="C103" s="1" t="s">
        <v>128</v>
      </c>
      <c r="D103" s="1" t="s">
        <v>144</v>
      </c>
      <c r="E103" s="1" t="s">
        <v>130</v>
      </c>
      <c r="F103" s="1" t="s">
        <v>130</v>
      </c>
      <c r="G103" s="1" t="s">
        <v>1263</v>
      </c>
      <c r="H103" s="1" t="s">
        <v>24</v>
      </c>
      <c r="I103" s="1" t="s">
        <v>151</v>
      </c>
      <c r="J103" s="1" t="s">
        <v>158</v>
      </c>
      <c r="K103" s="1" t="s">
        <v>92</v>
      </c>
      <c r="L103" s="1"/>
      <c r="M103" s="1"/>
      <c r="N103" s="1" t="str">
        <f t="shared" si="15"/>
        <v>No</v>
      </c>
      <c r="O103" s="1">
        <f t="shared" si="16"/>
        <v>12</v>
      </c>
      <c r="P103" s="1">
        <f t="shared" si="17"/>
        <v>7</v>
      </c>
      <c r="Q103" s="1">
        <f t="shared" si="23"/>
        <v>1</v>
      </c>
      <c r="R103" s="1">
        <f t="shared" si="23"/>
        <v>1</v>
      </c>
      <c r="S103" s="31">
        <f t="shared" si="23"/>
        <v>171.42</v>
      </c>
      <c r="T103" s="1" t="str">
        <f t="shared" si="18"/>
        <v>caught</v>
      </c>
      <c r="U103" s="1" t="str">
        <f t="shared" si="19"/>
        <v>2</v>
      </c>
      <c r="V103" s="1" t="str">
        <f t="shared" si="20"/>
        <v xml:space="preserve"> Australia</v>
      </c>
      <c r="W103" s="1" t="str">
        <f t="shared" si="21"/>
        <v>Sydney</v>
      </c>
      <c r="X103" s="1" t="str">
        <f t="shared" si="22"/>
        <v>Yes</v>
      </c>
      <c r="Y103" s="1"/>
    </row>
    <row r="104" spans="1:25" ht="14.25" customHeight="1">
      <c r="A104" s="1"/>
      <c r="B104" s="1">
        <v>86</v>
      </c>
      <c r="C104" s="1" t="s">
        <v>311</v>
      </c>
      <c r="D104" s="1" t="s">
        <v>192</v>
      </c>
      <c r="E104" s="1" t="s">
        <v>205</v>
      </c>
      <c r="F104" s="1" t="s">
        <v>130</v>
      </c>
      <c r="G104" s="1" t="s">
        <v>1264</v>
      </c>
      <c r="H104" s="1" t="s">
        <v>29</v>
      </c>
      <c r="I104" s="1" t="s">
        <v>130</v>
      </c>
      <c r="J104" s="1" t="s">
        <v>156</v>
      </c>
      <c r="K104" s="1" t="s">
        <v>568</v>
      </c>
      <c r="L104" s="1"/>
      <c r="M104" s="1"/>
      <c r="N104" s="1" t="str">
        <f t="shared" si="15"/>
        <v>No</v>
      </c>
      <c r="O104" s="1">
        <f t="shared" si="16"/>
        <v>79</v>
      </c>
      <c r="P104" s="1">
        <f t="shared" si="17"/>
        <v>57</v>
      </c>
      <c r="Q104" s="1">
        <f t="shared" si="23"/>
        <v>14</v>
      </c>
      <c r="R104" s="1">
        <f t="shared" si="23"/>
        <v>1</v>
      </c>
      <c r="S104" s="31">
        <f t="shared" si="23"/>
        <v>138.59</v>
      </c>
      <c r="T104" s="1" t="str">
        <f t="shared" si="18"/>
        <v>bowled</v>
      </c>
      <c r="U104" s="1" t="str">
        <f t="shared" si="19"/>
        <v>1</v>
      </c>
      <c r="V104" s="1" t="str">
        <f t="shared" si="20"/>
        <v xml:space="preserve"> Pakistan</v>
      </c>
      <c r="W104" s="1" t="str">
        <f t="shared" si="21"/>
        <v>Karachi</v>
      </c>
      <c r="X104" s="1" t="str">
        <f t="shared" si="22"/>
        <v>Yes</v>
      </c>
      <c r="Y104" s="1"/>
    </row>
    <row r="105" spans="1:25" ht="14.25" customHeight="1">
      <c r="A105" s="1"/>
      <c r="B105" s="1">
        <v>87</v>
      </c>
      <c r="C105" s="1" t="s">
        <v>313</v>
      </c>
      <c r="D105" s="1" t="s">
        <v>246</v>
      </c>
      <c r="E105" s="1" t="s">
        <v>140</v>
      </c>
      <c r="F105" s="1" t="s">
        <v>131</v>
      </c>
      <c r="G105" s="1" t="s">
        <v>592</v>
      </c>
      <c r="H105" s="1" t="s">
        <v>29</v>
      </c>
      <c r="I105" s="1" t="s">
        <v>151</v>
      </c>
      <c r="J105" s="1" t="s">
        <v>156</v>
      </c>
      <c r="K105" s="1" t="s">
        <v>562</v>
      </c>
      <c r="L105" s="1"/>
      <c r="M105" s="1"/>
      <c r="N105" s="1" t="str">
        <f t="shared" si="15"/>
        <v>No</v>
      </c>
      <c r="O105" s="1">
        <f t="shared" si="16"/>
        <v>26</v>
      </c>
      <c r="P105" s="1">
        <f t="shared" si="17"/>
        <v>21</v>
      </c>
      <c r="Q105" s="1">
        <f t="shared" si="23"/>
        <v>4</v>
      </c>
      <c r="R105" s="1">
        <f t="shared" si="23"/>
        <v>0</v>
      </c>
      <c r="S105" s="31">
        <f t="shared" si="23"/>
        <v>123.8</v>
      </c>
      <c r="T105" s="1" t="str">
        <f t="shared" si="18"/>
        <v>bowled</v>
      </c>
      <c r="U105" s="1" t="str">
        <f t="shared" si="19"/>
        <v>2</v>
      </c>
      <c r="V105" s="1" t="str">
        <f t="shared" si="20"/>
        <v xml:space="preserve"> Pakistan</v>
      </c>
      <c r="W105" s="1" t="str">
        <f t="shared" si="21"/>
        <v>Rawalpindi</v>
      </c>
      <c r="X105" s="1" t="str">
        <f t="shared" si="22"/>
        <v>Yes</v>
      </c>
      <c r="Y105" s="1"/>
    </row>
    <row r="106" spans="1:25" ht="14.25" customHeight="1">
      <c r="A106" s="1"/>
      <c r="B106" s="1">
        <v>88</v>
      </c>
      <c r="C106" s="1" t="s">
        <v>325</v>
      </c>
      <c r="D106" s="1" t="s">
        <v>199</v>
      </c>
      <c r="E106" s="1" t="s">
        <v>148</v>
      </c>
      <c r="F106" s="1" t="s">
        <v>131</v>
      </c>
      <c r="G106" s="1" t="s">
        <v>614</v>
      </c>
      <c r="H106" s="1" t="s">
        <v>24</v>
      </c>
      <c r="I106" s="1" t="s">
        <v>130</v>
      </c>
      <c r="J106" s="1" t="s">
        <v>156</v>
      </c>
      <c r="K106" s="1" t="s">
        <v>561</v>
      </c>
      <c r="L106" s="1"/>
      <c r="M106" s="1"/>
      <c r="N106" s="1" t="str">
        <f t="shared" si="15"/>
        <v>No</v>
      </c>
      <c r="O106" s="1">
        <f t="shared" si="16"/>
        <v>13</v>
      </c>
      <c r="P106" s="1">
        <f t="shared" si="17"/>
        <v>18</v>
      </c>
      <c r="Q106" s="1">
        <f t="shared" si="23"/>
        <v>3</v>
      </c>
      <c r="R106" s="1">
        <f t="shared" si="23"/>
        <v>0</v>
      </c>
      <c r="S106" s="31">
        <f t="shared" si="23"/>
        <v>72.22</v>
      </c>
      <c r="T106" s="1" t="str">
        <f t="shared" si="18"/>
        <v>caught</v>
      </c>
      <c r="U106" s="1" t="str">
        <f t="shared" si="19"/>
        <v>1</v>
      </c>
      <c r="V106" s="1" t="str">
        <f t="shared" si="20"/>
        <v xml:space="preserve"> Pakistan</v>
      </c>
      <c r="W106" s="1" t="str">
        <f t="shared" si="21"/>
        <v>Peshawar</v>
      </c>
      <c r="X106" s="1" t="str">
        <f t="shared" si="22"/>
        <v>Yes</v>
      </c>
      <c r="Y106" s="1"/>
    </row>
    <row r="107" spans="1:25" ht="14.25" customHeight="1">
      <c r="A107" s="1"/>
      <c r="B107" s="1">
        <v>89</v>
      </c>
      <c r="C107" s="1" t="s">
        <v>313</v>
      </c>
      <c r="D107" s="1" t="s">
        <v>200</v>
      </c>
      <c r="E107" s="1" t="s">
        <v>202</v>
      </c>
      <c r="F107" s="1" t="s">
        <v>131</v>
      </c>
      <c r="G107" s="1" t="s">
        <v>623</v>
      </c>
      <c r="H107" s="1" t="s">
        <v>24</v>
      </c>
      <c r="I107" s="1" t="s">
        <v>151</v>
      </c>
      <c r="J107" s="1" t="s">
        <v>156</v>
      </c>
      <c r="K107" s="1" t="s">
        <v>565</v>
      </c>
      <c r="L107" s="1"/>
      <c r="M107" s="1"/>
      <c r="N107" s="1" t="str">
        <f t="shared" si="15"/>
        <v>No</v>
      </c>
      <c r="O107" s="1">
        <f t="shared" si="16"/>
        <v>26</v>
      </c>
      <c r="P107" s="1">
        <f t="shared" si="17"/>
        <v>29</v>
      </c>
      <c r="Q107" s="1">
        <f t="shared" si="23"/>
        <v>5</v>
      </c>
      <c r="R107" s="1">
        <f t="shared" si="23"/>
        <v>0</v>
      </c>
      <c r="S107" s="31">
        <f t="shared" si="23"/>
        <v>89.65</v>
      </c>
      <c r="T107" s="1" t="str">
        <f t="shared" si="18"/>
        <v>caught</v>
      </c>
      <c r="U107" s="1" t="str">
        <f t="shared" si="19"/>
        <v>2</v>
      </c>
      <c r="V107" s="1" t="str">
        <f t="shared" si="20"/>
        <v xml:space="preserve"> Pakistan</v>
      </c>
      <c r="W107" s="1" t="str">
        <f t="shared" si="21"/>
        <v>Lahore</v>
      </c>
      <c r="X107" s="1" t="str">
        <f t="shared" si="22"/>
        <v>Yes</v>
      </c>
      <c r="Y107" s="1"/>
    </row>
    <row r="108" spans="1:25" ht="14.25" customHeight="1">
      <c r="A108" s="1"/>
      <c r="B108" s="1">
        <v>90</v>
      </c>
      <c r="C108" s="1" t="s">
        <v>238</v>
      </c>
      <c r="D108" s="1" t="s">
        <v>129</v>
      </c>
      <c r="E108" s="1" t="s">
        <v>140</v>
      </c>
      <c r="F108" s="1" t="s">
        <v>131</v>
      </c>
      <c r="G108" s="1" t="s">
        <v>471</v>
      </c>
      <c r="H108" s="1" t="s">
        <v>24</v>
      </c>
      <c r="I108" s="1" t="s">
        <v>130</v>
      </c>
      <c r="J108" s="1" t="s">
        <v>156</v>
      </c>
      <c r="K108" s="1" t="s">
        <v>565</v>
      </c>
      <c r="L108" s="1"/>
      <c r="M108" s="1"/>
      <c r="N108" s="1" t="str">
        <f t="shared" si="15"/>
        <v>No</v>
      </c>
      <c r="O108" s="1">
        <f t="shared" si="16"/>
        <v>20</v>
      </c>
      <c r="P108" s="1">
        <f t="shared" si="17"/>
        <v>22</v>
      </c>
      <c r="Q108" s="1">
        <f t="shared" si="23"/>
        <v>4</v>
      </c>
      <c r="R108" s="1">
        <f t="shared" si="23"/>
        <v>0</v>
      </c>
      <c r="S108" s="31">
        <f t="shared" si="23"/>
        <v>90.9</v>
      </c>
      <c r="T108" s="1" t="str">
        <f t="shared" si="18"/>
        <v>caught</v>
      </c>
      <c r="U108" s="1" t="str">
        <f t="shared" si="19"/>
        <v>1</v>
      </c>
      <c r="V108" s="1" t="str">
        <f t="shared" si="20"/>
        <v xml:space="preserve"> Pakistan</v>
      </c>
      <c r="W108" s="1" t="str">
        <f t="shared" si="21"/>
        <v>Lahore</v>
      </c>
      <c r="X108" s="1" t="str">
        <f t="shared" si="22"/>
        <v>Yes</v>
      </c>
      <c r="Y108" s="1"/>
    </row>
    <row r="109" spans="1:25" ht="14.25" customHeight="1">
      <c r="A109" s="1"/>
      <c r="B109" s="1">
        <v>91</v>
      </c>
      <c r="C109" s="1" t="s">
        <v>131</v>
      </c>
      <c r="D109" s="1" t="s">
        <v>148</v>
      </c>
      <c r="E109" s="1" t="s">
        <v>131</v>
      </c>
      <c r="F109" s="1" t="s">
        <v>131</v>
      </c>
      <c r="G109" s="1" t="s">
        <v>210</v>
      </c>
      <c r="H109" s="1" t="s">
        <v>26</v>
      </c>
      <c r="I109" s="1" t="s">
        <v>130</v>
      </c>
      <c r="J109" s="1" t="s">
        <v>383</v>
      </c>
      <c r="K109" s="1" t="s">
        <v>21</v>
      </c>
      <c r="L109" s="1"/>
      <c r="M109" s="1"/>
      <c r="N109" s="1" t="str">
        <f t="shared" si="15"/>
        <v>No</v>
      </c>
      <c r="O109" s="1">
        <f t="shared" si="16"/>
        <v>0</v>
      </c>
      <c r="P109" s="1">
        <f t="shared" si="17"/>
        <v>3</v>
      </c>
      <c r="Q109" s="1">
        <f t="shared" si="23"/>
        <v>0</v>
      </c>
      <c r="R109" s="1">
        <f t="shared" si="23"/>
        <v>0</v>
      </c>
      <c r="S109" s="31">
        <f t="shared" si="23"/>
        <v>0</v>
      </c>
      <c r="T109" s="1" t="str">
        <f t="shared" si="18"/>
        <v>run out</v>
      </c>
      <c r="U109" s="1" t="str">
        <f t="shared" si="19"/>
        <v>1</v>
      </c>
      <c r="V109" s="1" t="str">
        <f t="shared" si="20"/>
        <v xml:space="preserve"> U.A.E.</v>
      </c>
      <c r="W109" s="1" t="str">
        <f t="shared" si="21"/>
        <v>Dambulla</v>
      </c>
      <c r="X109" s="1" t="str">
        <f t="shared" si="22"/>
        <v>Yes</v>
      </c>
      <c r="Y109" s="1"/>
    </row>
    <row r="110" spans="1:25" ht="14.25" customHeight="1">
      <c r="A110" s="1"/>
      <c r="B110" s="1">
        <v>92</v>
      </c>
      <c r="C110" s="1" t="s">
        <v>134</v>
      </c>
      <c r="D110" s="1" t="s">
        <v>436</v>
      </c>
      <c r="E110" s="1" t="s">
        <v>202</v>
      </c>
      <c r="F110" s="1" t="s">
        <v>131</v>
      </c>
      <c r="G110" s="1" t="s">
        <v>1265</v>
      </c>
      <c r="H110" s="1" t="s">
        <v>26</v>
      </c>
      <c r="I110" s="1" t="s">
        <v>151</v>
      </c>
      <c r="J110" s="1" t="s">
        <v>133</v>
      </c>
      <c r="K110" s="1" t="s">
        <v>21</v>
      </c>
      <c r="L110" s="1"/>
      <c r="M110" s="1"/>
      <c r="N110" s="1" t="str">
        <f t="shared" si="15"/>
        <v>No</v>
      </c>
      <c r="O110" s="1">
        <f t="shared" si="16"/>
        <v>37</v>
      </c>
      <c r="P110" s="1">
        <f t="shared" si="17"/>
        <v>39</v>
      </c>
      <c r="Q110" s="1">
        <f t="shared" si="23"/>
        <v>5</v>
      </c>
      <c r="R110" s="1">
        <f t="shared" si="23"/>
        <v>0</v>
      </c>
      <c r="S110" s="31">
        <f t="shared" si="23"/>
        <v>94.87</v>
      </c>
      <c r="T110" s="1" t="str">
        <f t="shared" si="18"/>
        <v>run out</v>
      </c>
      <c r="U110" s="1" t="str">
        <f t="shared" si="19"/>
        <v>2</v>
      </c>
      <c r="V110" s="1" t="str">
        <f t="shared" si="20"/>
        <v xml:space="preserve"> Sri Lanka</v>
      </c>
      <c r="W110" s="1" t="str">
        <f t="shared" si="21"/>
        <v>Dambulla</v>
      </c>
      <c r="X110" s="1" t="str">
        <f t="shared" si="22"/>
        <v>Yes</v>
      </c>
      <c r="Y110" s="1"/>
    </row>
    <row r="111" spans="1:25" ht="14.25" customHeight="1">
      <c r="A111" s="1"/>
      <c r="B111" s="1">
        <v>93</v>
      </c>
      <c r="C111" s="1" t="s">
        <v>153</v>
      </c>
      <c r="D111" s="1" t="s">
        <v>189</v>
      </c>
      <c r="E111" s="1" t="s">
        <v>148</v>
      </c>
      <c r="F111" s="1" t="s">
        <v>131</v>
      </c>
      <c r="G111" s="1" t="s">
        <v>427</v>
      </c>
      <c r="H111" s="1" t="s">
        <v>24</v>
      </c>
      <c r="I111" s="1" t="s">
        <v>151</v>
      </c>
      <c r="J111" s="1" t="s">
        <v>182</v>
      </c>
      <c r="K111" s="1" t="s">
        <v>584</v>
      </c>
      <c r="L111" s="1"/>
      <c r="M111" s="1"/>
      <c r="N111" s="1" t="str">
        <f t="shared" si="15"/>
        <v>No</v>
      </c>
      <c r="O111" s="1">
        <f t="shared" si="16"/>
        <v>16</v>
      </c>
      <c r="P111" s="1">
        <f t="shared" si="17"/>
        <v>8</v>
      </c>
      <c r="Q111" s="1">
        <f t="shared" si="23"/>
        <v>3</v>
      </c>
      <c r="R111" s="1">
        <f t="shared" si="23"/>
        <v>0</v>
      </c>
      <c r="S111" s="31">
        <f t="shared" si="23"/>
        <v>200</v>
      </c>
      <c r="T111" s="1" t="str">
        <f t="shared" si="18"/>
        <v>caught</v>
      </c>
      <c r="U111" s="1" t="str">
        <f t="shared" si="19"/>
        <v>2</v>
      </c>
      <c r="V111" s="1" t="str">
        <f t="shared" si="20"/>
        <v xml:space="preserve"> Bangladesh</v>
      </c>
      <c r="W111" s="1" t="str">
        <f t="shared" si="21"/>
        <v>Colombo (SSC)</v>
      </c>
      <c r="X111" s="1" t="str">
        <f t="shared" si="22"/>
        <v>Yes</v>
      </c>
      <c r="Y111" s="1"/>
    </row>
    <row r="112" spans="1:25" ht="14.25" customHeight="1">
      <c r="A112" s="1"/>
      <c r="B112" s="1">
        <v>94</v>
      </c>
      <c r="C112" s="1" t="s">
        <v>130</v>
      </c>
      <c r="D112" s="1" t="s">
        <v>202</v>
      </c>
      <c r="E112" s="1" t="s">
        <v>131</v>
      </c>
      <c r="F112" s="1" t="s">
        <v>131</v>
      </c>
      <c r="G112" s="1" t="s">
        <v>299</v>
      </c>
      <c r="H112" s="1" t="s">
        <v>24</v>
      </c>
      <c r="I112" s="1" t="s">
        <v>151</v>
      </c>
      <c r="J112" s="1" t="s">
        <v>156</v>
      </c>
      <c r="K112" s="1" t="s">
        <v>27</v>
      </c>
      <c r="L112" s="1"/>
      <c r="M112" s="1"/>
      <c r="N112" s="1" t="str">
        <f t="shared" si="15"/>
        <v>No</v>
      </c>
      <c r="O112" s="1">
        <f t="shared" si="16"/>
        <v>1</v>
      </c>
      <c r="P112" s="1">
        <f t="shared" si="17"/>
        <v>5</v>
      </c>
      <c r="Q112" s="1">
        <f t="shared" si="23"/>
        <v>0</v>
      </c>
      <c r="R112" s="1">
        <f t="shared" si="23"/>
        <v>0</v>
      </c>
      <c r="S112" s="31">
        <f t="shared" si="23"/>
        <v>20</v>
      </c>
      <c r="T112" s="1" t="str">
        <f t="shared" si="18"/>
        <v>caught</v>
      </c>
      <c r="U112" s="1" t="str">
        <f t="shared" si="19"/>
        <v>2</v>
      </c>
      <c r="V112" s="1" t="str">
        <f t="shared" si="20"/>
        <v xml:space="preserve"> Pakistan</v>
      </c>
      <c r="W112" s="1" t="str">
        <f t="shared" si="21"/>
        <v>Colombo (RPS)</v>
      </c>
      <c r="X112" s="1" t="str">
        <f t="shared" si="22"/>
        <v>Yes</v>
      </c>
      <c r="Y112" s="1"/>
    </row>
    <row r="113" spans="1:25" ht="14.25" customHeight="1">
      <c r="A113" s="1"/>
      <c r="B113" s="1">
        <v>95</v>
      </c>
      <c r="C113" s="1" t="s">
        <v>250</v>
      </c>
      <c r="D113" s="1" t="s">
        <v>197</v>
      </c>
      <c r="E113" s="1" t="s">
        <v>136</v>
      </c>
      <c r="F113" s="1" t="s">
        <v>151</v>
      </c>
      <c r="G113" s="1" t="s">
        <v>1266</v>
      </c>
      <c r="H113" s="1" t="s">
        <v>24</v>
      </c>
      <c r="I113" s="1" t="s">
        <v>130</v>
      </c>
      <c r="J113" s="1" t="s">
        <v>133</v>
      </c>
      <c r="K113" s="1" t="s">
        <v>27</v>
      </c>
      <c r="L113" s="1"/>
      <c r="M113" s="1"/>
      <c r="N113" s="1" t="str">
        <f t="shared" si="15"/>
        <v>No</v>
      </c>
      <c r="O113" s="1">
        <f t="shared" si="16"/>
        <v>81</v>
      </c>
      <c r="P113" s="1">
        <f t="shared" si="17"/>
        <v>92</v>
      </c>
      <c r="Q113" s="1">
        <f t="shared" si="23"/>
        <v>6</v>
      </c>
      <c r="R113" s="1">
        <f t="shared" si="23"/>
        <v>2</v>
      </c>
      <c r="S113" s="31">
        <f t="shared" si="23"/>
        <v>88.04</v>
      </c>
      <c r="T113" s="1" t="str">
        <f t="shared" si="18"/>
        <v>caught</v>
      </c>
      <c r="U113" s="1" t="str">
        <f t="shared" si="19"/>
        <v>1</v>
      </c>
      <c r="V113" s="1" t="str">
        <f t="shared" si="20"/>
        <v xml:space="preserve"> Sri Lanka</v>
      </c>
      <c r="W113" s="1" t="str">
        <f t="shared" si="21"/>
        <v>Colombo (RPS)</v>
      </c>
      <c r="X113" s="1" t="str">
        <f t="shared" si="22"/>
        <v>Yes</v>
      </c>
      <c r="Y113" s="1"/>
    </row>
    <row r="114" spans="1:25" ht="14.25" customHeight="1">
      <c r="A114" s="1"/>
      <c r="B114" s="1">
        <v>96</v>
      </c>
      <c r="C114" s="1" t="s">
        <v>202</v>
      </c>
      <c r="D114" s="1" t="s">
        <v>128</v>
      </c>
      <c r="E114" s="1" t="s">
        <v>130</v>
      </c>
      <c r="F114" s="1" t="s">
        <v>131</v>
      </c>
      <c r="G114" s="1" t="s">
        <v>691</v>
      </c>
      <c r="H114" s="1" t="s">
        <v>19</v>
      </c>
      <c r="I114" s="1" t="s">
        <v>151</v>
      </c>
      <c r="J114" s="1" t="s">
        <v>133</v>
      </c>
      <c r="K114" s="1" t="s">
        <v>27</v>
      </c>
      <c r="L114" s="1"/>
      <c r="M114" s="1"/>
      <c r="N114" s="1" t="str">
        <f t="shared" si="15"/>
        <v>No</v>
      </c>
      <c r="O114" s="1">
        <f t="shared" si="16"/>
        <v>5</v>
      </c>
      <c r="P114" s="1">
        <f t="shared" si="17"/>
        <v>12</v>
      </c>
      <c r="Q114" s="1">
        <f t="shared" si="23"/>
        <v>1</v>
      </c>
      <c r="R114" s="1">
        <f t="shared" si="23"/>
        <v>0</v>
      </c>
      <c r="S114" s="31">
        <f t="shared" si="23"/>
        <v>41.66</v>
      </c>
      <c r="T114" s="1" t="str">
        <f t="shared" si="18"/>
        <v>lbw</v>
      </c>
      <c r="U114" s="1" t="str">
        <f t="shared" si="19"/>
        <v>2</v>
      </c>
      <c r="V114" s="1" t="str">
        <f t="shared" si="20"/>
        <v xml:space="preserve"> Sri Lanka</v>
      </c>
      <c r="W114" s="1" t="str">
        <f t="shared" si="21"/>
        <v>Colombo (RPS)</v>
      </c>
      <c r="X114" s="1" t="str">
        <f t="shared" si="22"/>
        <v>Yes</v>
      </c>
      <c r="Y114" s="1"/>
    </row>
    <row r="115" spans="1:25" ht="14.25" customHeight="1">
      <c r="A115" s="1"/>
      <c r="B115" s="1">
        <v>97</v>
      </c>
      <c r="C115" s="1" t="s">
        <v>306</v>
      </c>
      <c r="D115" s="1" t="s">
        <v>283</v>
      </c>
      <c r="E115" s="1" t="s">
        <v>151</v>
      </c>
      <c r="F115" s="1" t="s">
        <v>131</v>
      </c>
      <c r="G115" s="1" t="s">
        <v>983</v>
      </c>
      <c r="H115" s="1" t="s">
        <v>24</v>
      </c>
      <c r="I115" s="1" t="s">
        <v>151</v>
      </c>
      <c r="J115" s="1" t="s">
        <v>156</v>
      </c>
      <c r="K115" s="1" t="s">
        <v>1267</v>
      </c>
      <c r="L115" s="1"/>
      <c r="M115" s="1"/>
      <c r="N115" s="1" t="str">
        <f t="shared" si="15"/>
        <v>No</v>
      </c>
      <c r="O115" s="1">
        <f t="shared" si="16"/>
        <v>17</v>
      </c>
      <c r="P115" s="1">
        <f t="shared" si="17"/>
        <v>15</v>
      </c>
      <c r="Q115" s="1">
        <f t="shared" si="23"/>
        <v>2</v>
      </c>
      <c r="R115" s="1">
        <f t="shared" si="23"/>
        <v>0</v>
      </c>
      <c r="S115" s="31">
        <f t="shared" si="23"/>
        <v>113.33</v>
      </c>
      <c r="T115" s="1" t="str">
        <f t="shared" si="18"/>
        <v>caught</v>
      </c>
      <c r="U115" s="1" t="str">
        <f t="shared" si="19"/>
        <v>2</v>
      </c>
      <c r="V115" s="1" t="str">
        <f t="shared" si="20"/>
        <v xml:space="preserve"> Pakistan</v>
      </c>
      <c r="W115" s="1" t="str">
        <f t="shared" si="21"/>
        <v>Amstelveen</v>
      </c>
      <c r="X115" s="1" t="str">
        <f t="shared" si="22"/>
        <v>Yes</v>
      </c>
      <c r="Y115" s="1"/>
    </row>
    <row r="116" spans="1:25" ht="14.25" customHeight="1">
      <c r="A116" s="1"/>
      <c r="B116" s="1">
        <v>98</v>
      </c>
      <c r="C116" s="1" t="s">
        <v>38</v>
      </c>
      <c r="D116" s="1" t="s">
        <v>157</v>
      </c>
      <c r="E116" s="1" t="s">
        <v>157</v>
      </c>
      <c r="F116" s="1" t="s">
        <v>157</v>
      </c>
      <c r="G116" s="1" t="s">
        <v>157</v>
      </c>
      <c r="H116" s="1" t="s">
        <v>157</v>
      </c>
      <c r="I116" s="1" t="s">
        <v>157</v>
      </c>
      <c r="J116" s="1" t="s">
        <v>158</v>
      </c>
      <c r="K116" s="1" t="s">
        <v>1267</v>
      </c>
      <c r="L116" s="1"/>
      <c r="M116" s="1"/>
      <c r="N116" s="1" t="str">
        <f t="shared" si="15"/>
        <v>Yes</v>
      </c>
      <c r="O116" s="1" t="str">
        <f t="shared" si="16"/>
        <v>NA</v>
      </c>
      <c r="P116" s="1" t="str">
        <f t="shared" si="17"/>
        <v>NA</v>
      </c>
      <c r="Q116" s="1" t="str">
        <f t="shared" si="23"/>
        <v>NA</v>
      </c>
      <c r="R116" s="1" t="str">
        <f t="shared" si="23"/>
        <v>NA</v>
      </c>
      <c r="S116" s="31" t="str">
        <f t="shared" si="23"/>
        <v>NA</v>
      </c>
      <c r="T116" s="1" t="str">
        <f t="shared" si="18"/>
        <v>NA</v>
      </c>
      <c r="U116" s="1" t="str">
        <f t="shared" si="19"/>
        <v>-</v>
      </c>
      <c r="V116" s="1" t="str">
        <f t="shared" si="20"/>
        <v xml:space="preserve"> Australia</v>
      </c>
      <c r="W116" s="1" t="str">
        <f t="shared" si="21"/>
        <v>Amstelveen</v>
      </c>
      <c r="X116" s="1" t="str">
        <f t="shared" si="22"/>
        <v>No</v>
      </c>
      <c r="Y116" s="1"/>
    </row>
    <row r="117" spans="1:25" ht="14.25" customHeight="1">
      <c r="A117" s="1"/>
      <c r="B117" s="1">
        <v>99</v>
      </c>
      <c r="C117" s="1" t="s">
        <v>140</v>
      </c>
      <c r="D117" s="1" t="s">
        <v>128</v>
      </c>
      <c r="E117" s="1" t="s">
        <v>131</v>
      </c>
      <c r="F117" s="1" t="s">
        <v>131</v>
      </c>
      <c r="G117" s="1" t="s">
        <v>229</v>
      </c>
      <c r="H117" s="1" t="s">
        <v>24</v>
      </c>
      <c r="I117" s="1" t="s">
        <v>130</v>
      </c>
      <c r="J117" s="1" t="s">
        <v>234</v>
      </c>
      <c r="K117" s="1" t="s">
        <v>108</v>
      </c>
      <c r="L117" s="1"/>
      <c r="M117" s="1"/>
      <c r="N117" s="1" t="str">
        <f t="shared" si="15"/>
        <v>No</v>
      </c>
      <c r="O117" s="1">
        <f t="shared" si="16"/>
        <v>4</v>
      </c>
      <c r="P117" s="1">
        <f t="shared" si="17"/>
        <v>12</v>
      </c>
      <c r="Q117" s="1">
        <f t="shared" si="23"/>
        <v>0</v>
      </c>
      <c r="R117" s="1">
        <f t="shared" si="23"/>
        <v>0</v>
      </c>
      <c r="S117" s="31">
        <f t="shared" si="23"/>
        <v>33.33</v>
      </c>
      <c r="T117" s="1" t="str">
        <f t="shared" si="18"/>
        <v>caught</v>
      </c>
      <c r="U117" s="1" t="str">
        <f t="shared" si="19"/>
        <v>1</v>
      </c>
      <c r="V117" s="1" t="str">
        <f t="shared" si="20"/>
        <v xml:space="preserve"> England</v>
      </c>
      <c r="W117" s="1" t="str">
        <f t="shared" si="21"/>
        <v>Nottingham</v>
      </c>
      <c r="X117" s="1" t="str">
        <f t="shared" si="22"/>
        <v>Yes</v>
      </c>
      <c r="Y117" s="1"/>
    </row>
    <row r="118" spans="1:25" ht="14.25" customHeight="1">
      <c r="A118" s="1"/>
      <c r="B118" s="1">
        <v>100</v>
      </c>
      <c r="C118" s="1" t="s">
        <v>131</v>
      </c>
      <c r="D118" s="1" t="s">
        <v>151</v>
      </c>
      <c r="E118" s="1" t="s">
        <v>131</v>
      </c>
      <c r="F118" s="1" t="s">
        <v>131</v>
      </c>
      <c r="G118" s="1" t="s">
        <v>210</v>
      </c>
      <c r="H118" s="1" t="s">
        <v>19</v>
      </c>
      <c r="I118" s="1" t="s">
        <v>151</v>
      </c>
      <c r="J118" s="1" t="s">
        <v>234</v>
      </c>
      <c r="K118" s="1" t="s">
        <v>81</v>
      </c>
      <c r="L118" s="1"/>
      <c r="M118" s="1"/>
      <c r="N118" s="1" t="str">
        <f t="shared" si="15"/>
        <v>No</v>
      </c>
      <c r="O118" s="1">
        <f t="shared" si="16"/>
        <v>0</v>
      </c>
      <c r="P118" s="1">
        <f t="shared" si="17"/>
        <v>2</v>
      </c>
      <c r="Q118" s="1">
        <f t="shared" si="23"/>
        <v>0</v>
      </c>
      <c r="R118" s="1">
        <f t="shared" si="23"/>
        <v>0</v>
      </c>
      <c r="S118" s="31">
        <f t="shared" si="23"/>
        <v>0</v>
      </c>
      <c r="T118" s="1" t="str">
        <f t="shared" si="18"/>
        <v>lbw</v>
      </c>
      <c r="U118" s="1" t="str">
        <f t="shared" si="19"/>
        <v>2</v>
      </c>
      <c r="V118" s="1" t="str">
        <f t="shared" si="20"/>
        <v xml:space="preserve"> England</v>
      </c>
      <c r="W118" s="1" t="str">
        <f t="shared" si="21"/>
        <v>The Oval</v>
      </c>
      <c r="X118" s="1" t="str">
        <f t="shared" si="22"/>
        <v>Yes</v>
      </c>
      <c r="Y118" s="1"/>
    </row>
    <row r="119" spans="1:25" ht="14.25" customHeight="1">
      <c r="A119" s="1"/>
      <c r="B119" s="1">
        <v>101</v>
      </c>
      <c r="C119" s="1" t="s">
        <v>130</v>
      </c>
      <c r="D119" s="1" t="s">
        <v>151</v>
      </c>
      <c r="E119" s="1" t="s">
        <v>131</v>
      </c>
      <c r="F119" s="1" t="s">
        <v>131</v>
      </c>
      <c r="G119" s="1" t="s">
        <v>204</v>
      </c>
      <c r="H119" s="1" t="s">
        <v>24</v>
      </c>
      <c r="I119" s="1" t="s">
        <v>130</v>
      </c>
      <c r="J119" s="1" t="s">
        <v>234</v>
      </c>
      <c r="K119" s="1" t="s">
        <v>82</v>
      </c>
      <c r="L119" s="1"/>
      <c r="M119" s="1"/>
      <c r="N119" s="1" t="str">
        <f t="shared" si="15"/>
        <v>No</v>
      </c>
      <c r="O119" s="1">
        <f t="shared" si="16"/>
        <v>1</v>
      </c>
      <c r="P119" s="1">
        <f t="shared" si="17"/>
        <v>2</v>
      </c>
      <c r="Q119" s="1">
        <f t="shared" si="23"/>
        <v>0</v>
      </c>
      <c r="R119" s="1">
        <f t="shared" si="23"/>
        <v>0</v>
      </c>
      <c r="S119" s="31">
        <f t="shared" si="23"/>
        <v>50</v>
      </c>
      <c r="T119" s="1" t="str">
        <f t="shared" si="18"/>
        <v>caught</v>
      </c>
      <c r="U119" s="1" t="str">
        <f t="shared" si="19"/>
        <v>1</v>
      </c>
      <c r="V119" s="1" t="str">
        <f t="shared" si="20"/>
        <v xml:space="preserve"> England</v>
      </c>
      <c r="W119" s="1" t="str">
        <f t="shared" si="21"/>
        <v>Lord's</v>
      </c>
      <c r="X119" s="1" t="str">
        <f t="shared" si="22"/>
        <v>Yes</v>
      </c>
      <c r="Y119" s="1"/>
    </row>
    <row r="120" spans="1:25" ht="14.25" customHeight="1">
      <c r="A120" s="1"/>
      <c r="B120" s="1">
        <v>102</v>
      </c>
      <c r="C120" s="1" t="s">
        <v>306</v>
      </c>
      <c r="D120" s="1" t="s">
        <v>169</v>
      </c>
      <c r="E120" s="1" t="s">
        <v>151</v>
      </c>
      <c r="F120" s="1" t="s">
        <v>131</v>
      </c>
      <c r="G120" s="1" t="s">
        <v>1268</v>
      </c>
      <c r="H120" s="1" t="s">
        <v>29</v>
      </c>
      <c r="I120" s="1" t="s">
        <v>130</v>
      </c>
      <c r="J120" s="1" t="s">
        <v>1012</v>
      </c>
      <c r="K120" s="1" t="s">
        <v>80</v>
      </c>
      <c r="L120" s="1"/>
      <c r="M120" s="1"/>
      <c r="N120" s="1" t="str">
        <f t="shared" si="15"/>
        <v>No</v>
      </c>
      <c r="O120" s="1">
        <f t="shared" si="16"/>
        <v>17</v>
      </c>
      <c r="P120" s="1">
        <f t="shared" si="17"/>
        <v>27</v>
      </c>
      <c r="Q120" s="1">
        <f t="shared" si="23"/>
        <v>2</v>
      </c>
      <c r="R120" s="1">
        <f t="shared" si="23"/>
        <v>0</v>
      </c>
      <c r="S120" s="31">
        <f t="shared" si="23"/>
        <v>62.96</v>
      </c>
      <c r="T120" s="1" t="str">
        <f t="shared" si="18"/>
        <v>bowled</v>
      </c>
      <c r="U120" s="1" t="str">
        <f t="shared" si="19"/>
        <v>1</v>
      </c>
      <c r="V120" s="1" t="str">
        <f t="shared" si="20"/>
        <v xml:space="preserve"> Kenya</v>
      </c>
      <c r="W120" s="1" t="str">
        <f t="shared" si="21"/>
        <v>Southampton</v>
      </c>
      <c r="X120" s="1" t="str">
        <f t="shared" si="22"/>
        <v>Yes</v>
      </c>
      <c r="Y120" s="1"/>
    </row>
    <row r="121" spans="1:25" ht="14.25" customHeight="1">
      <c r="A121" s="1"/>
      <c r="B121" s="1">
        <v>103</v>
      </c>
      <c r="C121" s="1" t="s">
        <v>167</v>
      </c>
      <c r="D121" s="1" t="s">
        <v>238</v>
      </c>
      <c r="E121" s="1" t="s">
        <v>131</v>
      </c>
      <c r="F121" s="1" t="s">
        <v>131</v>
      </c>
      <c r="G121" s="1" t="s">
        <v>204</v>
      </c>
      <c r="H121" s="1" t="s">
        <v>24</v>
      </c>
      <c r="I121" s="1" t="s">
        <v>130</v>
      </c>
      <c r="J121" s="1" t="s">
        <v>156</v>
      </c>
      <c r="K121" s="1" t="s">
        <v>99</v>
      </c>
      <c r="L121" s="1"/>
      <c r="M121" s="1"/>
      <c r="N121" s="1" t="str">
        <f t="shared" si="15"/>
        <v>No</v>
      </c>
      <c r="O121" s="1">
        <f t="shared" si="16"/>
        <v>10</v>
      </c>
      <c r="P121" s="1">
        <f t="shared" si="17"/>
        <v>20</v>
      </c>
      <c r="Q121" s="1">
        <f t="shared" si="23"/>
        <v>0</v>
      </c>
      <c r="R121" s="1">
        <f t="shared" si="23"/>
        <v>0</v>
      </c>
      <c r="S121" s="31">
        <f t="shared" si="23"/>
        <v>50</v>
      </c>
      <c r="T121" s="1" t="str">
        <f t="shared" si="18"/>
        <v>caught</v>
      </c>
      <c r="U121" s="1" t="str">
        <f t="shared" si="19"/>
        <v>1</v>
      </c>
      <c r="V121" s="1" t="str">
        <f t="shared" si="20"/>
        <v xml:space="preserve"> Pakistan</v>
      </c>
      <c r="W121" s="1" t="str">
        <f t="shared" si="21"/>
        <v>Birmingham</v>
      </c>
      <c r="X121" s="1" t="str">
        <f t="shared" si="22"/>
        <v>Yes</v>
      </c>
      <c r="Y121" s="1"/>
    </row>
    <row r="122" spans="1:25" ht="14.25" customHeight="1">
      <c r="A122" s="1"/>
      <c r="B122" s="1">
        <v>104</v>
      </c>
      <c r="C122" s="1" t="s">
        <v>235</v>
      </c>
      <c r="D122" s="1" t="s">
        <v>172</v>
      </c>
      <c r="E122" s="1" t="s">
        <v>136</v>
      </c>
      <c r="F122" s="1" t="s">
        <v>151</v>
      </c>
      <c r="G122" s="1" t="s">
        <v>1269</v>
      </c>
      <c r="H122" s="1" t="s">
        <v>29</v>
      </c>
      <c r="I122" s="1" t="s">
        <v>130</v>
      </c>
      <c r="J122" s="1" t="s">
        <v>156</v>
      </c>
      <c r="K122" s="1" t="s">
        <v>51</v>
      </c>
      <c r="L122" s="1"/>
      <c r="M122" s="1"/>
      <c r="N122" s="1" t="str">
        <f t="shared" si="15"/>
        <v>No</v>
      </c>
      <c r="O122" s="1">
        <f t="shared" si="16"/>
        <v>53</v>
      </c>
      <c r="P122" s="1">
        <f t="shared" si="17"/>
        <v>65</v>
      </c>
      <c r="Q122" s="1">
        <f t="shared" si="23"/>
        <v>6</v>
      </c>
      <c r="R122" s="1">
        <f t="shared" si="23"/>
        <v>2</v>
      </c>
      <c r="S122" s="31">
        <f t="shared" si="23"/>
        <v>81.53</v>
      </c>
      <c r="T122" s="1" t="str">
        <f t="shared" si="18"/>
        <v>bowled</v>
      </c>
      <c r="U122" s="1" t="str">
        <f t="shared" si="19"/>
        <v>1</v>
      </c>
      <c r="V122" s="1" t="str">
        <f t="shared" si="20"/>
        <v xml:space="preserve"> Pakistan</v>
      </c>
      <c r="W122" s="1" t="str">
        <f t="shared" si="21"/>
        <v>Eden Gardens</v>
      </c>
      <c r="X122" s="1" t="str">
        <f t="shared" si="22"/>
        <v>Yes</v>
      </c>
      <c r="Y122" s="1"/>
    </row>
    <row r="123" spans="1:25" ht="14.25" customHeight="1">
      <c r="A123" s="1"/>
      <c r="B123" s="1">
        <v>105</v>
      </c>
      <c r="C123" s="1" t="s">
        <v>131</v>
      </c>
      <c r="D123" s="1" t="s">
        <v>148</v>
      </c>
      <c r="E123" s="1" t="s">
        <v>131</v>
      </c>
      <c r="F123" s="1" t="s">
        <v>131</v>
      </c>
      <c r="G123" s="1" t="s">
        <v>210</v>
      </c>
      <c r="H123" s="1" t="s">
        <v>29</v>
      </c>
      <c r="I123" s="1" t="s">
        <v>151</v>
      </c>
      <c r="J123" s="1" t="s">
        <v>182</v>
      </c>
      <c r="K123" s="1" t="s">
        <v>531</v>
      </c>
      <c r="L123" s="1"/>
      <c r="M123" s="1"/>
      <c r="N123" s="1" t="str">
        <f t="shared" si="15"/>
        <v>No</v>
      </c>
      <c r="O123" s="1">
        <f t="shared" si="16"/>
        <v>0</v>
      </c>
      <c r="P123" s="1">
        <f t="shared" si="17"/>
        <v>3</v>
      </c>
      <c r="Q123" s="1">
        <f t="shared" si="23"/>
        <v>0</v>
      </c>
      <c r="R123" s="1">
        <f t="shared" si="23"/>
        <v>0</v>
      </c>
      <c r="S123" s="31">
        <f t="shared" si="23"/>
        <v>0</v>
      </c>
      <c r="T123" s="1" t="str">
        <f t="shared" si="18"/>
        <v>bowled</v>
      </c>
      <c r="U123" s="1" t="str">
        <f t="shared" si="19"/>
        <v>2</v>
      </c>
      <c r="V123" s="1" t="str">
        <f t="shared" si="20"/>
        <v xml:space="preserve"> Bangladesh</v>
      </c>
      <c r="W123" s="1" t="str">
        <f t="shared" si="21"/>
        <v>Dhaka</v>
      </c>
      <c r="X123" s="1" t="str">
        <f t="shared" si="22"/>
        <v>Yes</v>
      </c>
      <c r="Y123" s="1"/>
    </row>
    <row r="124" spans="1:25" ht="14.25" customHeight="1">
      <c r="A124" s="1"/>
      <c r="B124" s="1">
        <v>106</v>
      </c>
      <c r="C124" s="1" t="s">
        <v>222</v>
      </c>
      <c r="D124" s="1" t="s">
        <v>327</v>
      </c>
      <c r="E124" s="1" t="s">
        <v>161</v>
      </c>
      <c r="F124" s="1" t="s">
        <v>151</v>
      </c>
      <c r="G124" s="1" t="s">
        <v>1104</v>
      </c>
      <c r="H124" s="1" t="s">
        <v>24</v>
      </c>
      <c r="I124" s="1" t="s">
        <v>130</v>
      </c>
      <c r="J124" s="1" t="s">
        <v>182</v>
      </c>
      <c r="K124" s="1" t="s">
        <v>531</v>
      </c>
      <c r="L124" s="1"/>
      <c r="M124" s="1"/>
      <c r="N124" s="1" t="str">
        <f t="shared" si="15"/>
        <v>No</v>
      </c>
      <c r="O124" s="1">
        <f t="shared" si="16"/>
        <v>70</v>
      </c>
      <c r="P124" s="1">
        <f t="shared" si="17"/>
        <v>52</v>
      </c>
      <c r="Q124" s="1">
        <f t="shared" si="23"/>
        <v>9</v>
      </c>
      <c r="R124" s="1">
        <f t="shared" si="23"/>
        <v>2</v>
      </c>
      <c r="S124" s="31">
        <f t="shared" si="23"/>
        <v>134.61000000000001</v>
      </c>
      <c r="T124" s="1" t="str">
        <f t="shared" si="18"/>
        <v>caught</v>
      </c>
      <c r="U124" s="1" t="str">
        <f t="shared" si="19"/>
        <v>1</v>
      </c>
      <c r="V124" s="1" t="str">
        <f t="shared" si="20"/>
        <v xml:space="preserve"> Bangladesh</v>
      </c>
      <c r="W124" s="1" t="str">
        <f t="shared" si="21"/>
        <v>Dhaka</v>
      </c>
      <c r="X124" s="1" t="str">
        <f t="shared" si="22"/>
        <v>Yes</v>
      </c>
      <c r="Y124" s="1"/>
    </row>
    <row r="125" spans="1:25" ht="14.25" customHeight="1">
      <c r="A125" s="1"/>
      <c r="B125" s="1">
        <v>107</v>
      </c>
      <c r="C125" s="1" t="s">
        <v>405</v>
      </c>
      <c r="D125" s="1" t="s">
        <v>436</v>
      </c>
      <c r="E125" s="1" t="s">
        <v>202</v>
      </c>
      <c r="F125" s="1" t="s">
        <v>130</v>
      </c>
      <c r="G125" s="1" t="s">
        <v>892</v>
      </c>
      <c r="H125" s="1" t="s">
        <v>24</v>
      </c>
      <c r="I125" s="1" t="s">
        <v>151</v>
      </c>
      <c r="J125" s="1" t="s">
        <v>1270</v>
      </c>
      <c r="K125" s="1" t="s">
        <v>88</v>
      </c>
      <c r="L125" s="1"/>
      <c r="M125" s="1"/>
      <c r="N125" s="1" t="str">
        <f t="shared" si="15"/>
        <v>No</v>
      </c>
      <c r="O125" s="1">
        <f t="shared" si="16"/>
        <v>45</v>
      </c>
      <c r="P125" s="1">
        <f t="shared" si="17"/>
        <v>39</v>
      </c>
      <c r="Q125" s="1">
        <f t="shared" si="23"/>
        <v>5</v>
      </c>
      <c r="R125" s="1">
        <f t="shared" si="23"/>
        <v>1</v>
      </c>
      <c r="S125" s="31">
        <f t="shared" si="23"/>
        <v>115.38</v>
      </c>
      <c r="T125" s="1" t="str">
        <f t="shared" si="18"/>
        <v>caught</v>
      </c>
      <c r="U125" s="1" t="str">
        <f t="shared" si="19"/>
        <v>2</v>
      </c>
      <c r="V125" s="1" t="str">
        <f t="shared" si="20"/>
        <v xml:space="preserve"> ICC World XI</v>
      </c>
      <c r="W125" s="1" t="str">
        <f t="shared" si="21"/>
        <v>Melbourne</v>
      </c>
      <c r="X125" s="1" t="str">
        <f t="shared" si="22"/>
        <v>Yes</v>
      </c>
      <c r="Y125" s="1"/>
    </row>
    <row r="126" spans="1:25" ht="14.25" customHeight="1">
      <c r="A126" s="1"/>
      <c r="B126" s="1">
        <v>108</v>
      </c>
      <c r="C126" s="1" t="s">
        <v>290</v>
      </c>
      <c r="D126" s="1" t="s">
        <v>187</v>
      </c>
      <c r="E126" s="1" t="s">
        <v>161</v>
      </c>
      <c r="F126" s="1" t="s">
        <v>148</v>
      </c>
      <c r="G126" s="1" t="s">
        <v>1271</v>
      </c>
      <c r="H126" s="1" t="s">
        <v>29</v>
      </c>
      <c r="I126" s="1" t="s">
        <v>130</v>
      </c>
      <c r="J126" s="1" t="s">
        <v>156</v>
      </c>
      <c r="K126" s="1" t="s">
        <v>96</v>
      </c>
      <c r="L126" s="1"/>
      <c r="M126" s="1"/>
      <c r="N126" s="1" t="str">
        <f t="shared" si="15"/>
        <v>No</v>
      </c>
      <c r="O126" s="1">
        <f t="shared" si="16"/>
        <v>108</v>
      </c>
      <c r="P126" s="1">
        <f t="shared" si="17"/>
        <v>95</v>
      </c>
      <c r="Q126" s="1">
        <f t="shared" si="23"/>
        <v>9</v>
      </c>
      <c r="R126" s="1">
        <f t="shared" si="23"/>
        <v>3</v>
      </c>
      <c r="S126" s="31">
        <f t="shared" si="23"/>
        <v>113.68</v>
      </c>
      <c r="T126" s="1" t="str">
        <f t="shared" si="18"/>
        <v>bowled</v>
      </c>
      <c r="U126" s="1" t="str">
        <f t="shared" si="19"/>
        <v>1</v>
      </c>
      <c r="V126" s="1" t="str">
        <f t="shared" si="20"/>
        <v xml:space="preserve"> Pakistan</v>
      </c>
      <c r="W126" s="1" t="str">
        <f t="shared" si="21"/>
        <v>Kochi</v>
      </c>
      <c r="X126" s="1" t="str">
        <f t="shared" si="22"/>
        <v>Yes</v>
      </c>
      <c r="Y126" s="1"/>
    </row>
    <row r="127" spans="1:25" ht="14.25" customHeight="1">
      <c r="A127" s="1"/>
      <c r="B127" s="1">
        <v>109</v>
      </c>
      <c r="C127" s="1" t="s">
        <v>466</v>
      </c>
      <c r="D127" s="1" t="s">
        <v>359</v>
      </c>
      <c r="E127" s="1" t="s">
        <v>128</v>
      </c>
      <c r="F127" s="1" t="s">
        <v>151</v>
      </c>
      <c r="G127" s="1" t="s">
        <v>1272</v>
      </c>
      <c r="H127" s="1" t="s">
        <v>24</v>
      </c>
      <c r="I127" s="1" t="s">
        <v>130</v>
      </c>
      <c r="J127" s="1" t="s">
        <v>156</v>
      </c>
      <c r="K127" s="1" t="s">
        <v>65</v>
      </c>
      <c r="L127" s="1"/>
      <c r="M127" s="1"/>
      <c r="N127" s="1" t="str">
        <f t="shared" si="15"/>
        <v>No</v>
      </c>
      <c r="O127" s="1">
        <f t="shared" si="16"/>
        <v>74</v>
      </c>
      <c r="P127" s="1">
        <f t="shared" si="17"/>
        <v>40</v>
      </c>
      <c r="Q127" s="1">
        <f t="shared" si="23"/>
        <v>12</v>
      </c>
      <c r="R127" s="1">
        <f t="shared" si="23"/>
        <v>2</v>
      </c>
      <c r="S127" s="31">
        <f t="shared" si="23"/>
        <v>185</v>
      </c>
      <c r="T127" s="1" t="str">
        <f t="shared" si="18"/>
        <v>caught</v>
      </c>
      <c r="U127" s="1" t="str">
        <f t="shared" si="19"/>
        <v>1</v>
      </c>
      <c r="V127" s="1" t="str">
        <f t="shared" si="20"/>
        <v xml:space="preserve"> Pakistan</v>
      </c>
      <c r="W127" s="1" t="str">
        <f t="shared" si="21"/>
        <v>Visakhapatnam</v>
      </c>
      <c r="X127" s="1" t="str">
        <f t="shared" si="22"/>
        <v>Yes</v>
      </c>
      <c r="Y127" s="1"/>
    </row>
    <row r="128" spans="1:25" ht="14.25" customHeight="1">
      <c r="A128" s="1"/>
      <c r="B128" s="1">
        <v>110</v>
      </c>
      <c r="C128" s="1" t="s">
        <v>151</v>
      </c>
      <c r="D128" s="1" t="s">
        <v>202</v>
      </c>
      <c r="E128" s="1" t="s">
        <v>131</v>
      </c>
      <c r="F128" s="1" t="s">
        <v>131</v>
      </c>
      <c r="G128" s="1" t="s">
        <v>324</v>
      </c>
      <c r="H128" s="1" t="s">
        <v>24</v>
      </c>
      <c r="I128" s="1" t="s">
        <v>151</v>
      </c>
      <c r="J128" s="1" t="s">
        <v>156</v>
      </c>
      <c r="K128" s="1" t="s">
        <v>535</v>
      </c>
      <c r="L128" s="1"/>
      <c r="M128" s="1"/>
      <c r="N128" s="1" t="str">
        <f t="shared" si="15"/>
        <v>No</v>
      </c>
      <c r="O128" s="1">
        <f t="shared" si="16"/>
        <v>2</v>
      </c>
      <c r="P128" s="1">
        <f t="shared" si="17"/>
        <v>5</v>
      </c>
      <c r="Q128" s="1">
        <f t="shared" si="23"/>
        <v>0</v>
      </c>
      <c r="R128" s="1">
        <f t="shared" si="23"/>
        <v>0</v>
      </c>
      <c r="S128" s="31">
        <f t="shared" si="23"/>
        <v>40</v>
      </c>
      <c r="T128" s="1" t="str">
        <f t="shared" si="18"/>
        <v>caught</v>
      </c>
      <c r="U128" s="1" t="str">
        <f t="shared" si="19"/>
        <v>2</v>
      </c>
      <c r="V128" s="1" t="str">
        <f t="shared" si="20"/>
        <v xml:space="preserve"> Pakistan</v>
      </c>
      <c r="W128" s="1" t="str">
        <f t="shared" si="21"/>
        <v>Jamshedpur</v>
      </c>
      <c r="X128" s="1" t="str">
        <f t="shared" si="22"/>
        <v>Yes</v>
      </c>
      <c r="Y128" s="1"/>
    </row>
    <row r="129" spans="1:25" ht="14.25" customHeight="1">
      <c r="A129" s="1"/>
      <c r="B129" s="1">
        <v>111</v>
      </c>
      <c r="C129" s="1" t="s">
        <v>200</v>
      </c>
      <c r="D129" s="1" t="s">
        <v>521</v>
      </c>
      <c r="E129" s="1" t="s">
        <v>140</v>
      </c>
      <c r="F129" s="1" t="s">
        <v>131</v>
      </c>
      <c r="G129" s="1" t="s">
        <v>320</v>
      </c>
      <c r="H129" s="1" t="s">
        <v>26</v>
      </c>
      <c r="I129" s="1" t="s">
        <v>130</v>
      </c>
      <c r="J129" s="1" t="s">
        <v>156</v>
      </c>
      <c r="K129" s="1" t="s">
        <v>59</v>
      </c>
      <c r="L129" s="1"/>
      <c r="M129" s="1"/>
      <c r="N129" s="1" t="str">
        <f t="shared" si="15"/>
        <v>No</v>
      </c>
      <c r="O129" s="1">
        <f t="shared" si="16"/>
        <v>29</v>
      </c>
      <c r="P129" s="1">
        <f t="shared" si="17"/>
        <v>32</v>
      </c>
      <c r="Q129" s="1">
        <f t="shared" si="23"/>
        <v>4</v>
      </c>
      <c r="R129" s="1">
        <f t="shared" si="23"/>
        <v>0</v>
      </c>
      <c r="S129" s="31">
        <f t="shared" si="23"/>
        <v>90.62</v>
      </c>
      <c r="T129" s="1" t="str">
        <f t="shared" si="18"/>
        <v>run out</v>
      </c>
      <c r="U129" s="1" t="str">
        <f t="shared" si="19"/>
        <v>1</v>
      </c>
      <c r="V129" s="1" t="str">
        <f t="shared" si="20"/>
        <v xml:space="preserve"> Pakistan</v>
      </c>
      <c r="W129" s="1" t="str">
        <f t="shared" si="21"/>
        <v>Ahmedabad</v>
      </c>
      <c r="X129" s="1" t="str">
        <f t="shared" si="22"/>
        <v>Yes</v>
      </c>
      <c r="Y129" s="1"/>
    </row>
    <row r="130" spans="1:25" ht="14.25" customHeight="1">
      <c r="A130" s="1"/>
      <c r="B130" s="1">
        <v>112</v>
      </c>
      <c r="C130" s="1" t="s">
        <v>202</v>
      </c>
      <c r="D130" s="1" t="s">
        <v>325</v>
      </c>
      <c r="E130" s="1" t="s">
        <v>130</v>
      </c>
      <c r="F130" s="1" t="s">
        <v>131</v>
      </c>
      <c r="G130" s="1" t="s">
        <v>830</v>
      </c>
      <c r="H130" s="1" t="s">
        <v>29</v>
      </c>
      <c r="I130" s="1" t="s">
        <v>130</v>
      </c>
      <c r="J130" s="1" t="s">
        <v>156</v>
      </c>
      <c r="K130" s="1" t="s">
        <v>101</v>
      </c>
      <c r="L130" s="1"/>
      <c r="M130" s="1"/>
      <c r="N130" s="1" t="str">
        <f t="shared" si="15"/>
        <v>No</v>
      </c>
      <c r="O130" s="1">
        <f t="shared" si="16"/>
        <v>5</v>
      </c>
      <c r="P130" s="1">
        <f t="shared" si="17"/>
        <v>13</v>
      </c>
      <c r="Q130" s="1">
        <f t="shared" si="23"/>
        <v>1</v>
      </c>
      <c r="R130" s="1">
        <f t="shared" si="23"/>
        <v>0</v>
      </c>
      <c r="S130" s="31">
        <f t="shared" si="23"/>
        <v>38.46</v>
      </c>
      <c r="T130" s="1" t="str">
        <f t="shared" si="18"/>
        <v>bowled</v>
      </c>
      <c r="U130" s="1" t="str">
        <f t="shared" si="19"/>
        <v>1</v>
      </c>
      <c r="V130" s="1" t="str">
        <f t="shared" si="20"/>
        <v xml:space="preserve"> Pakistan</v>
      </c>
      <c r="W130" s="1" t="str">
        <f t="shared" si="21"/>
        <v>Kanpur</v>
      </c>
      <c r="X130" s="1" t="str">
        <f t="shared" si="22"/>
        <v>Yes</v>
      </c>
      <c r="Y130" s="1"/>
    </row>
    <row r="131" spans="1:25" ht="14.25" customHeight="1">
      <c r="A131" s="1"/>
      <c r="B131" s="1">
        <v>113</v>
      </c>
      <c r="C131" s="1" t="s">
        <v>246</v>
      </c>
      <c r="D131" s="1" t="s">
        <v>313</v>
      </c>
      <c r="E131" s="1" t="s">
        <v>148</v>
      </c>
      <c r="F131" s="1" t="s">
        <v>131</v>
      </c>
      <c r="G131" s="1" t="s">
        <v>490</v>
      </c>
      <c r="H131" s="1" t="s">
        <v>24</v>
      </c>
      <c r="I131" s="1" t="s">
        <v>151</v>
      </c>
      <c r="J131" s="1" t="s">
        <v>156</v>
      </c>
      <c r="K131" s="1" t="s">
        <v>52</v>
      </c>
      <c r="L131" s="1"/>
      <c r="M131" s="1"/>
      <c r="N131" s="1" t="str">
        <f t="shared" si="15"/>
        <v>No</v>
      </c>
      <c r="O131" s="1">
        <f t="shared" si="16"/>
        <v>21</v>
      </c>
      <c r="P131" s="1">
        <f t="shared" si="17"/>
        <v>26</v>
      </c>
      <c r="Q131" s="1">
        <f t="shared" si="23"/>
        <v>3</v>
      </c>
      <c r="R131" s="1">
        <f t="shared" si="23"/>
        <v>0</v>
      </c>
      <c r="S131" s="31">
        <f t="shared" si="23"/>
        <v>80.760000000000005</v>
      </c>
      <c r="T131" s="1" t="str">
        <f t="shared" si="18"/>
        <v>caught</v>
      </c>
      <c r="U131" s="1" t="str">
        <f t="shared" si="19"/>
        <v>2</v>
      </c>
      <c r="V131" s="1" t="str">
        <f t="shared" si="20"/>
        <v xml:space="preserve"> Pakistan</v>
      </c>
      <c r="W131" s="1" t="str">
        <f t="shared" si="21"/>
        <v>Delhi</v>
      </c>
      <c r="X131" s="1" t="str">
        <f t="shared" si="22"/>
        <v>Yes</v>
      </c>
      <c r="Y131" s="1"/>
    </row>
    <row r="132" spans="1:25" ht="14.25" customHeight="1">
      <c r="A132" s="1"/>
      <c r="B132" s="1">
        <v>114</v>
      </c>
      <c r="C132" s="1" t="s">
        <v>205</v>
      </c>
      <c r="D132" s="1" t="s">
        <v>167</v>
      </c>
      <c r="E132" s="1" t="s">
        <v>148</v>
      </c>
      <c r="F132" s="1" t="s">
        <v>131</v>
      </c>
      <c r="G132" s="1" t="s">
        <v>774</v>
      </c>
      <c r="H132" s="1" t="s">
        <v>29</v>
      </c>
      <c r="I132" s="1" t="s">
        <v>130</v>
      </c>
      <c r="J132" s="1" t="s">
        <v>133</v>
      </c>
      <c r="K132" s="1" t="s">
        <v>21</v>
      </c>
      <c r="L132" s="1"/>
      <c r="M132" s="1"/>
      <c r="N132" s="1" t="str">
        <f t="shared" si="15"/>
        <v>No</v>
      </c>
      <c r="O132" s="1">
        <f t="shared" si="16"/>
        <v>14</v>
      </c>
      <c r="P132" s="1">
        <f t="shared" si="17"/>
        <v>10</v>
      </c>
      <c r="Q132" s="1">
        <f t="shared" si="23"/>
        <v>3</v>
      </c>
      <c r="R132" s="1">
        <f t="shared" si="23"/>
        <v>0</v>
      </c>
      <c r="S132" s="31">
        <f t="shared" si="23"/>
        <v>140</v>
      </c>
      <c r="T132" s="1" t="str">
        <f t="shared" si="18"/>
        <v>bowled</v>
      </c>
      <c r="U132" s="1" t="str">
        <f t="shared" si="19"/>
        <v>1</v>
      </c>
      <c r="V132" s="1" t="str">
        <f t="shared" si="20"/>
        <v xml:space="preserve"> Sri Lanka</v>
      </c>
      <c r="W132" s="1" t="str">
        <f t="shared" si="21"/>
        <v>Dambulla</v>
      </c>
      <c r="X132" s="1" t="str">
        <f t="shared" si="22"/>
        <v>Yes</v>
      </c>
      <c r="Y132" s="1"/>
    </row>
    <row r="133" spans="1:25" ht="14.25" customHeight="1">
      <c r="A133" s="1"/>
      <c r="B133" s="1">
        <v>115</v>
      </c>
      <c r="C133" s="1" t="s">
        <v>151</v>
      </c>
      <c r="D133" s="1" t="s">
        <v>151</v>
      </c>
      <c r="E133" s="1" t="s">
        <v>131</v>
      </c>
      <c r="F133" s="1" t="s">
        <v>131</v>
      </c>
      <c r="G133" s="1" t="s">
        <v>152</v>
      </c>
      <c r="H133" s="1" t="s">
        <v>24</v>
      </c>
      <c r="I133" s="1" t="s">
        <v>151</v>
      </c>
      <c r="J133" s="1" t="s">
        <v>163</v>
      </c>
      <c r="K133" s="1" t="s">
        <v>21</v>
      </c>
      <c r="L133" s="1"/>
      <c r="M133" s="1"/>
      <c r="N133" s="1" t="str">
        <f t="shared" si="15"/>
        <v>No</v>
      </c>
      <c r="O133" s="1">
        <f t="shared" si="16"/>
        <v>2</v>
      </c>
      <c r="P133" s="1">
        <f t="shared" si="17"/>
        <v>2</v>
      </c>
      <c r="Q133" s="1">
        <f t="shared" si="23"/>
        <v>0</v>
      </c>
      <c r="R133" s="1">
        <f t="shared" si="23"/>
        <v>0</v>
      </c>
      <c r="S133" s="31">
        <f t="shared" si="23"/>
        <v>100</v>
      </c>
      <c r="T133" s="1" t="str">
        <f t="shared" si="18"/>
        <v>caught</v>
      </c>
      <c r="U133" s="1" t="str">
        <f t="shared" si="19"/>
        <v>2</v>
      </c>
      <c r="V133" s="1" t="str">
        <f t="shared" si="20"/>
        <v xml:space="preserve"> West Indies</v>
      </c>
      <c r="W133" s="1" t="str">
        <f t="shared" si="21"/>
        <v>Dambulla</v>
      </c>
      <c r="X133" s="1" t="str">
        <f t="shared" si="22"/>
        <v>Yes</v>
      </c>
      <c r="Y133" s="1"/>
    </row>
    <row r="134" spans="1:25" ht="14.25" customHeight="1">
      <c r="A134" s="1"/>
      <c r="B134" s="1">
        <v>116</v>
      </c>
      <c r="C134" s="1" t="s">
        <v>521</v>
      </c>
      <c r="D134" s="1" t="s">
        <v>436</v>
      </c>
      <c r="E134" s="1" t="s">
        <v>202</v>
      </c>
      <c r="F134" s="1" t="s">
        <v>131</v>
      </c>
      <c r="G134" s="1" t="s">
        <v>1273</v>
      </c>
      <c r="H134" s="1" t="s">
        <v>29</v>
      </c>
      <c r="I134" s="1" t="s">
        <v>130</v>
      </c>
      <c r="J134" s="1" t="s">
        <v>133</v>
      </c>
      <c r="K134" s="1" t="s">
        <v>21</v>
      </c>
      <c r="L134" s="1"/>
      <c r="M134" s="1"/>
      <c r="N134" s="1" t="str">
        <f t="shared" si="15"/>
        <v>No</v>
      </c>
      <c r="O134" s="1">
        <f t="shared" si="16"/>
        <v>32</v>
      </c>
      <c r="P134" s="1">
        <f t="shared" si="17"/>
        <v>39</v>
      </c>
      <c r="Q134" s="1">
        <f t="shared" si="23"/>
        <v>5</v>
      </c>
      <c r="R134" s="1">
        <f t="shared" si="23"/>
        <v>0</v>
      </c>
      <c r="S134" s="31">
        <f t="shared" si="23"/>
        <v>82.05</v>
      </c>
      <c r="T134" s="1" t="str">
        <f t="shared" si="18"/>
        <v>bowled</v>
      </c>
      <c r="U134" s="1" t="str">
        <f t="shared" si="19"/>
        <v>1</v>
      </c>
      <c r="V134" s="1" t="str">
        <f t="shared" si="20"/>
        <v xml:space="preserve"> Sri Lanka</v>
      </c>
      <c r="W134" s="1" t="str">
        <f t="shared" si="21"/>
        <v>Dambulla</v>
      </c>
      <c r="X134" s="1" t="str">
        <f t="shared" si="22"/>
        <v>Yes</v>
      </c>
      <c r="Y134" s="1"/>
    </row>
    <row r="135" spans="1:25" ht="14.25" customHeight="1">
      <c r="A135" s="1"/>
      <c r="B135" s="1">
        <v>117</v>
      </c>
      <c r="C135" s="1" t="s">
        <v>136</v>
      </c>
      <c r="D135" s="1" t="s">
        <v>304</v>
      </c>
      <c r="E135" s="1" t="s">
        <v>131</v>
      </c>
      <c r="F135" s="1" t="s">
        <v>131</v>
      </c>
      <c r="G135" s="1" t="s">
        <v>1274</v>
      </c>
      <c r="H135" s="1" t="s">
        <v>19</v>
      </c>
      <c r="I135" s="1" t="s">
        <v>130</v>
      </c>
      <c r="J135" s="1" t="s">
        <v>163</v>
      </c>
      <c r="K135" s="1" t="s">
        <v>27</v>
      </c>
      <c r="L135" s="1"/>
      <c r="M135" s="1"/>
      <c r="N135" s="1" t="str">
        <f t="shared" si="15"/>
        <v>No</v>
      </c>
      <c r="O135" s="1">
        <f t="shared" si="16"/>
        <v>6</v>
      </c>
      <c r="P135" s="1">
        <f t="shared" si="17"/>
        <v>23</v>
      </c>
      <c r="Q135" s="1">
        <f t="shared" si="23"/>
        <v>0</v>
      </c>
      <c r="R135" s="1">
        <f t="shared" si="23"/>
        <v>0</v>
      </c>
      <c r="S135" s="31">
        <f t="shared" si="23"/>
        <v>26.08</v>
      </c>
      <c r="T135" s="1" t="str">
        <f t="shared" si="18"/>
        <v>lbw</v>
      </c>
      <c r="U135" s="1" t="str">
        <f t="shared" si="19"/>
        <v>1</v>
      </c>
      <c r="V135" s="1" t="str">
        <f t="shared" si="20"/>
        <v xml:space="preserve"> West Indies</v>
      </c>
      <c r="W135" s="1" t="str">
        <f t="shared" si="21"/>
        <v>Colombo (RPS)</v>
      </c>
      <c r="X135" s="1" t="str">
        <f t="shared" si="22"/>
        <v>Yes</v>
      </c>
      <c r="Y135" s="1"/>
    </row>
    <row r="136" spans="1:25" ht="14.25" customHeight="1">
      <c r="A136" s="1"/>
      <c r="B136" s="1">
        <v>118</v>
      </c>
      <c r="C136" s="1" t="s">
        <v>355</v>
      </c>
      <c r="D136" s="1" t="s">
        <v>129</v>
      </c>
      <c r="E136" s="1" t="s">
        <v>161</v>
      </c>
      <c r="F136" s="1" t="s">
        <v>130</v>
      </c>
      <c r="G136" s="1" t="s">
        <v>1275</v>
      </c>
      <c r="H136" s="1" t="s">
        <v>29</v>
      </c>
      <c r="I136" s="1" t="s">
        <v>151</v>
      </c>
      <c r="J136" s="1" t="s">
        <v>133</v>
      </c>
      <c r="K136" s="1" t="s">
        <v>27</v>
      </c>
      <c r="L136" s="1"/>
      <c r="M136" s="1"/>
      <c r="N136" s="1" t="str">
        <f t="shared" si="15"/>
        <v>No</v>
      </c>
      <c r="O136" s="1">
        <f t="shared" si="16"/>
        <v>48</v>
      </c>
      <c r="P136" s="1">
        <f t="shared" si="17"/>
        <v>22</v>
      </c>
      <c r="Q136" s="1">
        <f t="shared" si="23"/>
        <v>9</v>
      </c>
      <c r="R136" s="1">
        <f t="shared" si="23"/>
        <v>1</v>
      </c>
      <c r="S136" s="31">
        <f t="shared" si="23"/>
        <v>218.18</v>
      </c>
      <c r="T136" s="1" t="str">
        <f t="shared" si="18"/>
        <v>bowled</v>
      </c>
      <c r="U136" s="1" t="str">
        <f t="shared" si="19"/>
        <v>2</v>
      </c>
      <c r="V136" s="1" t="str">
        <f t="shared" si="20"/>
        <v xml:space="preserve"> Sri Lanka</v>
      </c>
      <c r="W136" s="1" t="str">
        <f t="shared" si="21"/>
        <v>Colombo (RPS)</v>
      </c>
      <c r="X136" s="1" t="str">
        <f t="shared" si="22"/>
        <v>Yes</v>
      </c>
      <c r="Y136" s="1"/>
    </row>
    <row r="137" spans="1:25" ht="14.25" customHeight="1">
      <c r="A137" s="1"/>
      <c r="B137" s="1">
        <v>119</v>
      </c>
      <c r="C137" s="1" t="s">
        <v>246</v>
      </c>
      <c r="D137" s="1" t="s">
        <v>313</v>
      </c>
      <c r="E137" s="1" t="s">
        <v>202</v>
      </c>
      <c r="F137" s="1" t="s">
        <v>131</v>
      </c>
      <c r="G137" s="1" t="s">
        <v>490</v>
      </c>
      <c r="H137" s="1" t="s">
        <v>24</v>
      </c>
      <c r="I137" s="1" t="s">
        <v>151</v>
      </c>
      <c r="J137" s="1" t="s">
        <v>604</v>
      </c>
      <c r="K137" s="1" t="s">
        <v>36</v>
      </c>
      <c r="L137" s="1"/>
      <c r="M137" s="1"/>
      <c r="N137" s="1" t="str">
        <f t="shared" si="15"/>
        <v>No</v>
      </c>
      <c r="O137" s="1">
        <f t="shared" si="16"/>
        <v>21</v>
      </c>
      <c r="P137" s="1">
        <f t="shared" si="17"/>
        <v>26</v>
      </c>
      <c r="Q137" s="1">
        <f t="shared" si="23"/>
        <v>5</v>
      </c>
      <c r="R137" s="1">
        <f t="shared" si="23"/>
        <v>0</v>
      </c>
      <c r="S137" s="31">
        <f t="shared" si="23"/>
        <v>80.760000000000005</v>
      </c>
      <c r="T137" s="1" t="str">
        <f t="shared" si="18"/>
        <v>caught</v>
      </c>
      <c r="U137" s="1" t="str">
        <f t="shared" si="19"/>
        <v>2</v>
      </c>
      <c r="V137" s="1" t="str">
        <f t="shared" si="20"/>
        <v xml:space="preserve"> Africa XI</v>
      </c>
      <c r="W137" s="1" t="str">
        <f t="shared" si="21"/>
        <v>Centurion</v>
      </c>
      <c r="X137" s="1" t="str">
        <f t="shared" si="22"/>
        <v>Yes</v>
      </c>
      <c r="Y137" s="1"/>
    </row>
    <row r="138" spans="1:25" ht="14.25" customHeight="1">
      <c r="A138" s="1"/>
      <c r="B138" s="1">
        <v>120</v>
      </c>
      <c r="C138" s="1" t="s">
        <v>139</v>
      </c>
      <c r="D138" s="1" t="s">
        <v>356</v>
      </c>
      <c r="E138" s="1" t="s">
        <v>140</v>
      </c>
      <c r="F138" s="1" t="s">
        <v>130</v>
      </c>
      <c r="G138" s="1" t="s">
        <v>1276</v>
      </c>
      <c r="H138" s="1" t="s">
        <v>24</v>
      </c>
      <c r="I138" s="1" t="s">
        <v>130</v>
      </c>
      <c r="J138" s="1" t="s">
        <v>604</v>
      </c>
      <c r="K138" s="1" t="s">
        <v>69</v>
      </c>
      <c r="L138" s="1"/>
      <c r="M138" s="1"/>
      <c r="N138" s="1" t="str">
        <f t="shared" si="15"/>
        <v>No</v>
      </c>
      <c r="O138" s="1">
        <f t="shared" si="16"/>
        <v>38</v>
      </c>
      <c r="P138" s="1">
        <f t="shared" si="17"/>
        <v>51</v>
      </c>
      <c r="Q138" s="1">
        <f t="shared" si="23"/>
        <v>4</v>
      </c>
      <c r="R138" s="1">
        <f t="shared" si="23"/>
        <v>1</v>
      </c>
      <c r="S138" s="31">
        <f t="shared" si="23"/>
        <v>74.5</v>
      </c>
      <c r="T138" s="1" t="str">
        <f t="shared" si="18"/>
        <v>caught</v>
      </c>
      <c r="U138" s="1" t="str">
        <f t="shared" si="19"/>
        <v>1</v>
      </c>
      <c r="V138" s="1" t="str">
        <f t="shared" si="20"/>
        <v xml:space="preserve"> Africa XI</v>
      </c>
      <c r="W138" s="1" t="str">
        <f t="shared" si="21"/>
        <v>Durban</v>
      </c>
      <c r="X138" s="1" t="str">
        <f t="shared" si="22"/>
        <v>Yes</v>
      </c>
      <c r="Y138" s="1"/>
    </row>
    <row r="139" spans="1:25" ht="14.25" customHeight="1">
      <c r="A139" s="1"/>
      <c r="B139" s="1">
        <v>121</v>
      </c>
      <c r="C139" s="1" t="s">
        <v>202</v>
      </c>
      <c r="D139" s="1" t="s">
        <v>202</v>
      </c>
      <c r="E139" s="1" t="s">
        <v>130</v>
      </c>
      <c r="F139" s="1" t="s">
        <v>131</v>
      </c>
      <c r="G139" s="1" t="s">
        <v>152</v>
      </c>
      <c r="H139" s="1" t="s">
        <v>29</v>
      </c>
      <c r="I139" s="1" t="s">
        <v>151</v>
      </c>
      <c r="J139" s="1" t="s">
        <v>604</v>
      </c>
      <c r="K139" s="1" t="s">
        <v>69</v>
      </c>
      <c r="L139" s="1"/>
      <c r="M139" s="1"/>
      <c r="N139" s="1" t="str">
        <f t="shared" si="15"/>
        <v>No</v>
      </c>
      <c r="O139" s="1">
        <f t="shared" si="16"/>
        <v>5</v>
      </c>
      <c r="P139" s="1">
        <f t="shared" si="17"/>
        <v>5</v>
      </c>
      <c r="Q139" s="1">
        <f t="shared" si="23"/>
        <v>1</v>
      </c>
      <c r="R139" s="1">
        <f t="shared" si="23"/>
        <v>0</v>
      </c>
      <c r="S139" s="31">
        <f t="shared" si="23"/>
        <v>100</v>
      </c>
      <c r="T139" s="1" t="str">
        <f t="shared" si="18"/>
        <v>bowled</v>
      </c>
      <c r="U139" s="1" t="str">
        <f t="shared" si="19"/>
        <v>2</v>
      </c>
      <c r="V139" s="1" t="str">
        <f t="shared" si="20"/>
        <v xml:space="preserve"> Africa XI</v>
      </c>
      <c r="W139" s="1" t="str">
        <f t="shared" si="21"/>
        <v>Durban</v>
      </c>
      <c r="X139" s="1" t="str">
        <f t="shared" si="22"/>
        <v>Yes</v>
      </c>
      <c r="Y139" s="1"/>
    </row>
    <row r="140" spans="1:25" ht="14.25" customHeight="1">
      <c r="A140" s="1"/>
      <c r="B140" s="1">
        <v>122</v>
      </c>
      <c r="C140" s="1" t="s">
        <v>283</v>
      </c>
      <c r="D140" s="1" t="s">
        <v>129</v>
      </c>
      <c r="E140" s="1" t="s">
        <v>151</v>
      </c>
      <c r="F140" s="1" t="s">
        <v>131</v>
      </c>
      <c r="G140" s="1" t="s">
        <v>308</v>
      </c>
      <c r="H140" s="1" t="s">
        <v>24</v>
      </c>
      <c r="I140" s="1" t="s">
        <v>151</v>
      </c>
      <c r="J140" s="1" t="s">
        <v>211</v>
      </c>
      <c r="K140" s="1" t="s">
        <v>61</v>
      </c>
      <c r="L140" s="1"/>
      <c r="M140" s="1"/>
      <c r="N140" s="1" t="str">
        <f t="shared" si="15"/>
        <v>No</v>
      </c>
      <c r="O140" s="1">
        <f t="shared" si="16"/>
        <v>15</v>
      </c>
      <c r="P140" s="1">
        <f t="shared" si="17"/>
        <v>22</v>
      </c>
      <c r="Q140" s="1">
        <f t="shared" si="23"/>
        <v>2</v>
      </c>
      <c r="R140" s="1">
        <f t="shared" si="23"/>
        <v>0</v>
      </c>
      <c r="S140" s="31">
        <f t="shared" si="23"/>
        <v>68.180000000000007</v>
      </c>
      <c r="T140" s="1" t="str">
        <f t="shared" si="18"/>
        <v>caught</v>
      </c>
      <c r="U140" s="1" t="str">
        <f t="shared" si="19"/>
        <v>2</v>
      </c>
      <c r="V140" s="1" t="str">
        <f t="shared" si="20"/>
        <v xml:space="preserve"> New Zealand</v>
      </c>
      <c r="W140" s="1" t="str">
        <f t="shared" si="21"/>
        <v>Bulawayo</v>
      </c>
      <c r="X140" s="1" t="str">
        <f t="shared" si="22"/>
        <v>Yes</v>
      </c>
      <c r="Y140" s="1"/>
    </row>
    <row r="141" spans="1:25" ht="14.25" customHeight="1">
      <c r="A141" s="1"/>
      <c r="B141" s="1">
        <v>123</v>
      </c>
      <c r="C141" s="1" t="s">
        <v>405</v>
      </c>
      <c r="D141" s="1" t="s">
        <v>208</v>
      </c>
      <c r="E141" s="1" t="s">
        <v>136</v>
      </c>
      <c r="F141" s="1" t="s">
        <v>131</v>
      </c>
      <c r="G141" s="1" t="s">
        <v>1277</v>
      </c>
      <c r="H141" s="1" t="s">
        <v>29</v>
      </c>
      <c r="I141" s="1" t="s">
        <v>151</v>
      </c>
      <c r="J141" s="1" t="s">
        <v>211</v>
      </c>
      <c r="K141" s="1" t="s">
        <v>62</v>
      </c>
      <c r="L141" s="1"/>
      <c r="M141" s="1"/>
      <c r="N141" s="1" t="str">
        <f t="shared" si="15"/>
        <v>No</v>
      </c>
      <c r="O141" s="1">
        <f t="shared" si="16"/>
        <v>45</v>
      </c>
      <c r="P141" s="1">
        <f t="shared" si="17"/>
        <v>34</v>
      </c>
      <c r="Q141" s="1">
        <f t="shared" si="23"/>
        <v>6</v>
      </c>
      <c r="R141" s="1">
        <f t="shared" si="23"/>
        <v>0</v>
      </c>
      <c r="S141" s="31">
        <f t="shared" si="23"/>
        <v>132.35</v>
      </c>
      <c r="T141" s="1" t="str">
        <f t="shared" si="18"/>
        <v>bowled</v>
      </c>
      <c r="U141" s="1" t="str">
        <f t="shared" si="19"/>
        <v>2</v>
      </c>
      <c r="V141" s="1" t="str">
        <f t="shared" si="20"/>
        <v xml:space="preserve"> New Zealand</v>
      </c>
      <c r="W141" s="1" t="str">
        <f t="shared" si="21"/>
        <v>Harare</v>
      </c>
      <c r="X141" s="1" t="str">
        <f t="shared" si="22"/>
        <v>Yes</v>
      </c>
      <c r="Y141" s="1"/>
    </row>
    <row r="142" spans="1:25" ht="14.25" customHeight="1">
      <c r="A142" s="1"/>
      <c r="B142" s="1">
        <v>124</v>
      </c>
      <c r="C142" s="1" t="s">
        <v>128</v>
      </c>
      <c r="D142" s="1" t="s">
        <v>325</v>
      </c>
      <c r="E142" s="1" t="s">
        <v>151</v>
      </c>
      <c r="F142" s="1" t="s">
        <v>131</v>
      </c>
      <c r="G142" s="1" t="s">
        <v>954</v>
      </c>
      <c r="H142" s="1" t="s">
        <v>29</v>
      </c>
      <c r="I142" s="1" t="s">
        <v>151</v>
      </c>
      <c r="J142" s="1" t="s">
        <v>195</v>
      </c>
      <c r="K142" s="1" t="s">
        <v>62</v>
      </c>
      <c r="L142" s="1"/>
      <c r="M142" s="1"/>
      <c r="N142" s="1" t="str">
        <f t="shared" si="15"/>
        <v>No</v>
      </c>
      <c r="O142" s="1">
        <f t="shared" si="16"/>
        <v>12</v>
      </c>
      <c r="P142" s="1">
        <f t="shared" si="17"/>
        <v>13</v>
      </c>
      <c r="Q142" s="1">
        <f t="shared" si="23"/>
        <v>2</v>
      </c>
      <c r="R142" s="1">
        <f t="shared" si="23"/>
        <v>0</v>
      </c>
      <c r="S142" s="31">
        <f t="shared" si="23"/>
        <v>92.3</v>
      </c>
      <c r="T142" s="1" t="str">
        <f t="shared" si="18"/>
        <v>bowled</v>
      </c>
      <c r="U142" s="1" t="str">
        <f t="shared" si="19"/>
        <v>2</v>
      </c>
      <c r="V142" s="1" t="str">
        <f t="shared" si="20"/>
        <v xml:space="preserve"> Zimbabwe</v>
      </c>
      <c r="W142" s="1" t="str">
        <f t="shared" si="21"/>
        <v>Harare</v>
      </c>
      <c r="X142" s="1" t="str">
        <f t="shared" si="22"/>
        <v>Yes</v>
      </c>
      <c r="Y142" s="1"/>
    </row>
    <row r="143" spans="1:25" ht="14.25" customHeight="1">
      <c r="A143" s="1"/>
      <c r="B143" s="1">
        <v>125</v>
      </c>
      <c r="C143" s="1" t="s">
        <v>447</v>
      </c>
      <c r="D143" s="1" t="s">
        <v>172</v>
      </c>
      <c r="E143" s="1" t="s">
        <v>128</v>
      </c>
      <c r="F143" s="1" t="s">
        <v>130</v>
      </c>
      <c r="G143" s="1" t="s">
        <v>892</v>
      </c>
      <c r="H143" s="1" t="s">
        <v>24</v>
      </c>
      <c r="I143" s="1" t="s">
        <v>130</v>
      </c>
      <c r="J143" s="1" t="s">
        <v>211</v>
      </c>
      <c r="K143" s="1" t="s">
        <v>62</v>
      </c>
      <c r="L143" s="1"/>
      <c r="M143" s="1"/>
      <c r="N143" s="1" t="str">
        <f t="shared" si="15"/>
        <v>No</v>
      </c>
      <c r="O143" s="1">
        <f t="shared" si="16"/>
        <v>75</v>
      </c>
      <c r="P143" s="1">
        <f t="shared" si="17"/>
        <v>65</v>
      </c>
      <c r="Q143" s="1">
        <f t="shared" si="23"/>
        <v>12</v>
      </c>
      <c r="R143" s="1">
        <f t="shared" si="23"/>
        <v>1</v>
      </c>
      <c r="S143" s="31">
        <f t="shared" si="23"/>
        <v>115.38</v>
      </c>
      <c r="T143" s="1" t="str">
        <f t="shared" si="18"/>
        <v>caught</v>
      </c>
      <c r="U143" s="1" t="str">
        <f t="shared" si="19"/>
        <v>1</v>
      </c>
      <c r="V143" s="1" t="str">
        <f t="shared" si="20"/>
        <v xml:space="preserve"> New Zealand</v>
      </c>
      <c r="W143" s="1" t="str">
        <f t="shared" si="21"/>
        <v>Harare</v>
      </c>
      <c r="X143" s="1" t="str">
        <f t="shared" si="22"/>
        <v>Yes</v>
      </c>
      <c r="Y143" s="1"/>
    </row>
    <row r="144" spans="1:25" ht="14.25" customHeight="1">
      <c r="A144" s="1"/>
      <c r="B144" s="1">
        <v>126</v>
      </c>
      <c r="C144" s="1" t="s">
        <v>136</v>
      </c>
      <c r="D144" s="1" t="s">
        <v>167</v>
      </c>
      <c r="E144" s="1" t="s">
        <v>131</v>
      </c>
      <c r="F144" s="1" t="s">
        <v>131</v>
      </c>
      <c r="G144" s="1" t="s">
        <v>239</v>
      </c>
      <c r="H144" s="1" t="s">
        <v>24</v>
      </c>
      <c r="I144" s="1" t="s">
        <v>151</v>
      </c>
      <c r="J144" s="1" t="s">
        <v>158</v>
      </c>
      <c r="K144" s="1" t="s">
        <v>1278</v>
      </c>
      <c r="L144" s="1"/>
      <c r="M144" s="1"/>
      <c r="N144" s="1" t="str">
        <f t="shared" si="15"/>
        <v>No</v>
      </c>
      <c r="O144" s="1">
        <f t="shared" si="16"/>
        <v>6</v>
      </c>
      <c r="P144" s="1">
        <f t="shared" si="17"/>
        <v>10</v>
      </c>
      <c r="Q144" s="1">
        <f t="shared" si="23"/>
        <v>0</v>
      </c>
      <c r="R144" s="1">
        <f t="shared" si="23"/>
        <v>0</v>
      </c>
      <c r="S144" s="31">
        <f t="shared" si="23"/>
        <v>60</v>
      </c>
      <c r="T144" s="1" t="str">
        <f t="shared" si="18"/>
        <v>caught</v>
      </c>
      <c r="U144" s="1" t="str">
        <f t="shared" si="19"/>
        <v>2</v>
      </c>
      <c r="V144" s="1" t="str">
        <f t="shared" si="20"/>
        <v xml:space="preserve"> Australia</v>
      </c>
      <c r="W144" s="1" t="str">
        <f t="shared" si="21"/>
        <v>Melbourne (Docklands)</v>
      </c>
      <c r="X144" s="1" t="str">
        <f t="shared" si="22"/>
        <v>Yes</v>
      </c>
      <c r="Y144" s="1"/>
    </row>
    <row r="145" spans="1:25" ht="14.25" customHeight="1">
      <c r="A145" s="1"/>
      <c r="B145" s="1">
        <v>127</v>
      </c>
      <c r="C145" s="1" t="s">
        <v>246</v>
      </c>
      <c r="D145" s="1" t="s">
        <v>283</v>
      </c>
      <c r="E145" s="1" t="s">
        <v>140</v>
      </c>
      <c r="F145" s="1" t="s">
        <v>131</v>
      </c>
      <c r="G145" s="1" t="s">
        <v>774</v>
      </c>
      <c r="H145" s="1" t="s">
        <v>24</v>
      </c>
      <c r="I145" s="1" t="s">
        <v>151</v>
      </c>
      <c r="J145" s="1" t="s">
        <v>158</v>
      </c>
      <c r="K145" s="1" t="s">
        <v>1278</v>
      </c>
      <c r="L145" s="1"/>
      <c r="M145" s="1"/>
      <c r="N145" s="1" t="str">
        <f t="shared" si="15"/>
        <v>No</v>
      </c>
      <c r="O145" s="1">
        <f t="shared" si="16"/>
        <v>21</v>
      </c>
      <c r="P145" s="1">
        <f t="shared" si="17"/>
        <v>15</v>
      </c>
      <c r="Q145" s="1">
        <f t="shared" si="23"/>
        <v>4</v>
      </c>
      <c r="R145" s="1">
        <f t="shared" si="23"/>
        <v>0</v>
      </c>
      <c r="S145" s="31">
        <f t="shared" si="23"/>
        <v>140</v>
      </c>
      <c r="T145" s="1" t="str">
        <f t="shared" si="18"/>
        <v>caught</v>
      </c>
      <c r="U145" s="1" t="str">
        <f t="shared" si="19"/>
        <v>2</v>
      </c>
      <c r="V145" s="1" t="str">
        <f t="shared" si="20"/>
        <v xml:space="preserve"> Australia</v>
      </c>
      <c r="W145" s="1" t="str">
        <f t="shared" si="21"/>
        <v>Melbourne (Docklands)</v>
      </c>
      <c r="X145" s="1" t="str">
        <f t="shared" si="22"/>
        <v>Yes</v>
      </c>
      <c r="Y145" s="1"/>
    </row>
    <row r="146" spans="1:25" ht="14.25" customHeight="1">
      <c r="A146" s="1"/>
      <c r="B146" s="1">
        <v>128</v>
      </c>
      <c r="C146" s="1" t="s">
        <v>134</v>
      </c>
      <c r="D146" s="1" t="s">
        <v>359</v>
      </c>
      <c r="E146" s="1" t="s">
        <v>140</v>
      </c>
      <c r="F146" s="1" t="s">
        <v>130</v>
      </c>
      <c r="G146" s="1" t="s">
        <v>1279</v>
      </c>
      <c r="H146" s="1" t="s">
        <v>26</v>
      </c>
      <c r="I146" s="1" t="s">
        <v>151</v>
      </c>
      <c r="J146" s="1" t="s">
        <v>158</v>
      </c>
      <c r="K146" s="1" t="s">
        <v>1278</v>
      </c>
      <c r="L146" s="1"/>
      <c r="M146" s="1"/>
      <c r="N146" s="1" t="str">
        <f t="shared" si="15"/>
        <v>No</v>
      </c>
      <c r="O146" s="1">
        <f t="shared" si="16"/>
        <v>37</v>
      </c>
      <c r="P146" s="1">
        <f t="shared" si="17"/>
        <v>40</v>
      </c>
      <c r="Q146" s="1">
        <f t="shared" si="23"/>
        <v>4</v>
      </c>
      <c r="R146" s="1">
        <f t="shared" si="23"/>
        <v>1</v>
      </c>
      <c r="S146" s="31">
        <f t="shared" si="23"/>
        <v>92.5</v>
      </c>
      <c r="T146" s="1" t="str">
        <f t="shared" si="18"/>
        <v>run out</v>
      </c>
      <c r="U146" s="1" t="str">
        <f t="shared" si="19"/>
        <v>2</v>
      </c>
      <c r="V146" s="1" t="str">
        <f t="shared" si="20"/>
        <v xml:space="preserve"> Australia</v>
      </c>
      <c r="W146" s="1" t="str">
        <f t="shared" si="21"/>
        <v>Melbourne (Docklands)</v>
      </c>
      <c r="X146" s="1" t="str">
        <f t="shared" si="22"/>
        <v>Yes</v>
      </c>
      <c r="Y146" s="1"/>
    </row>
    <row r="147" spans="1:25" ht="14.25" customHeight="1">
      <c r="A147" s="1"/>
      <c r="B147" s="1">
        <v>129</v>
      </c>
      <c r="C147" s="1" t="s">
        <v>238</v>
      </c>
      <c r="D147" s="1" t="s">
        <v>138</v>
      </c>
      <c r="E147" s="1" t="s">
        <v>140</v>
      </c>
      <c r="F147" s="1" t="s">
        <v>131</v>
      </c>
      <c r="G147" s="1" t="s">
        <v>361</v>
      </c>
      <c r="H147" s="1" t="s">
        <v>24</v>
      </c>
      <c r="I147" s="1" t="s">
        <v>130</v>
      </c>
      <c r="J147" s="1" t="s">
        <v>133</v>
      </c>
      <c r="K147" s="1" t="s">
        <v>50</v>
      </c>
      <c r="L147" s="1"/>
      <c r="M147" s="1"/>
      <c r="N147" s="1" t="str">
        <f t="shared" ref="N147:N210" si="24">IF(OR(C147="DNB",C147="TDNB"),"Yes","No")</f>
        <v>No</v>
      </c>
      <c r="O147" s="1">
        <f t="shared" si="16"/>
        <v>20</v>
      </c>
      <c r="P147" s="1">
        <f t="shared" si="17"/>
        <v>25</v>
      </c>
      <c r="Q147" s="1">
        <f t="shared" si="23"/>
        <v>4</v>
      </c>
      <c r="R147" s="1">
        <f t="shared" si="23"/>
        <v>0</v>
      </c>
      <c r="S147" s="31">
        <f t="shared" si="23"/>
        <v>80</v>
      </c>
      <c r="T147" s="1" t="str">
        <f t="shared" si="18"/>
        <v>caught</v>
      </c>
      <c r="U147" s="1" t="str">
        <f t="shared" si="19"/>
        <v>1</v>
      </c>
      <c r="V147" s="1" t="str">
        <f t="shared" si="20"/>
        <v xml:space="preserve"> Sri Lanka</v>
      </c>
      <c r="W147" s="1" t="str">
        <f t="shared" si="21"/>
        <v>Nagpur</v>
      </c>
      <c r="X147" s="1" t="str">
        <f t="shared" si="22"/>
        <v>Yes</v>
      </c>
      <c r="Y147" s="1"/>
    </row>
    <row r="148" spans="1:25" ht="14.25" customHeight="1">
      <c r="A148" s="1"/>
      <c r="B148" s="1">
        <v>130</v>
      </c>
      <c r="C148" s="1" t="s">
        <v>139</v>
      </c>
      <c r="D148" s="1" t="s">
        <v>200</v>
      </c>
      <c r="E148" s="1" t="s">
        <v>202</v>
      </c>
      <c r="F148" s="1" t="s">
        <v>130</v>
      </c>
      <c r="G148" s="1" t="s">
        <v>928</v>
      </c>
      <c r="H148" s="1" t="s">
        <v>24</v>
      </c>
      <c r="I148" s="1" t="s">
        <v>151</v>
      </c>
      <c r="J148" s="1" t="s">
        <v>133</v>
      </c>
      <c r="K148" s="1" t="s">
        <v>46</v>
      </c>
      <c r="L148" s="1"/>
      <c r="M148" s="1"/>
      <c r="N148" s="1" t="str">
        <f t="shared" si="24"/>
        <v>No</v>
      </c>
      <c r="O148" s="1">
        <f t="shared" ref="O148:O211" si="25">IF(N148="Yes", "NA",SUBSTITUTE(C148,"*","")*1)</f>
        <v>38</v>
      </c>
      <c r="P148" s="1">
        <f t="shared" ref="P148:P211" si="26">IF(D148="-","NA",D148*1)</f>
        <v>29</v>
      </c>
      <c r="Q148" s="1">
        <f t="shared" si="23"/>
        <v>5</v>
      </c>
      <c r="R148" s="1">
        <f t="shared" si="23"/>
        <v>1</v>
      </c>
      <c r="S148" s="31">
        <f t="shared" si="23"/>
        <v>131.03</v>
      </c>
      <c r="T148" s="1" t="str">
        <f t="shared" ref="T148:T211" si="27">IF(H148="-","NA",H148)</f>
        <v>caught</v>
      </c>
      <c r="U148" s="1" t="str">
        <f t="shared" ref="U148:U211" si="28">I148</f>
        <v>2</v>
      </c>
      <c r="V148" s="1" t="str">
        <f t="shared" ref="V148:V211" si="29">SUBSTITUTE(J148,"v","")</f>
        <v xml:space="preserve"> Sri Lanka</v>
      </c>
      <c r="W148" s="1" t="str">
        <f t="shared" ref="W148:W211" si="30">K148</f>
        <v>Mohali</v>
      </c>
      <c r="X148" s="1" t="str">
        <f t="shared" ref="X148:X211" si="31">IF(N148="Yes","No",IF(T148="not out","No","Yes"))</f>
        <v>Yes</v>
      </c>
      <c r="Y148" s="1"/>
    </row>
    <row r="149" spans="1:25" ht="14.25" customHeight="1">
      <c r="A149" s="1"/>
      <c r="B149" s="1">
        <v>131</v>
      </c>
      <c r="C149" s="1" t="s">
        <v>436</v>
      </c>
      <c r="D149" s="1" t="s">
        <v>134</v>
      </c>
      <c r="E149" s="1" t="s">
        <v>148</v>
      </c>
      <c r="F149" s="1" t="s">
        <v>131</v>
      </c>
      <c r="G149" s="1" t="s">
        <v>1280</v>
      </c>
      <c r="H149" s="1" t="s">
        <v>19</v>
      </c>
      <c r="I149" s="1" t="s">
        <v>151</v>
      </c>
      <c r="J149" s="1" t="s">
        <v>133</v>
      </c>
      <c r="K149" s="1" t="s">
        <v>56</v>
      </c>
      <c r="L149" s="1"/>
      <c r="M149" s="1"/>
      <c r="N149" s="1" t="str">
        <f t="shared" si="24"/>
        <v>No</v>
      </c>
      <c r="O149" s="1">
        <f t="shared" si="25"/>
        <v>39</v>
      </c>
      <c r="P149" s="1">
        <f t="shared" si="26"/>
        <v>37</v>
      </c>
      <c r="Q149" s="1">
        <f t="shared" si="23"/>
        <v>3</v>
      </c>
      <c r="R149" s="1">
        <f t="shared" si="23"/>
        <v>0</v>
      </c>
      <c r="S149" s="31">
        <f t="shared" si="23"/>
        <v>105.4</v>
      </c>
      <c r="T149" s="1" t="str">
        <f t="shared" si="27"/>
        <v>lbw</v>
      </c>
      <c r="U149" s="1" t="str">
        <f t="shared" si="28"/>
        <v>2</v>
      </c>
      <c r="V149" s="1" t="str">
        <f t="shared" si="29"/>
        <v xml:space="preserve"> Sri Lanka</v>
      </c>
      <c r="W149" s="1" t="str">
        <f t="shared" si="30"/>
        <v>Jaipur</v>
      </c>
      <c r="X149" s="1" t="str">
        <f t="shared" si="31"/>
        <v>Yes</v>
      </c>
      <c r="Y149" s="1"/>
    </row>
    <row r="150" spans="1:25" ht="14.25" customHeight="1">
      <c r="A150" s="1"/>
      <c r="B150" s="1">
        <v>132</v>
      </c>
      <c r="C150" s="1" t="s">
        <v>355</v>
      </c>
      <c r="D150" s="1" t="s">
        <v>582</v>
      </c>
      <c r="E150" s="1" t="s">
        <v>144</v>
      </c>
      <c r="F150" s="1" t="s">
        <v>131</v>
      </c>
      <c r="G150" s="1" t="s">
        <v>1281</v>
      </c>
      <c r="H150" s="1" t="s">
        <v>24</v>
      </c>
      <c r="I150" s="1" t="s">
        <v>151</v>
      </c>
      <c r="J150" s="1" t="s">
        <v>133</v>
      </c>
      <c r="K150" s="1" t="s">
        <v>100</v>
      </c>
      <c r="L150" s="1"/>
      <c r="M150" s="1"/>
      <c r="N150" s="1" t="str">
        <f t="shared" si="24"/>
        <v>No</v>
      </c>
      <c r="O150" s="1">
        <f t="shared" si="25"/>
        <v>48</v>
      </c>
      <c r="P150" s="1">
        <f t="shared" si="26"/>
        <v>58</v>
      </c>
      <c r="Q150" s="1">
        <f t="shared" si="23"/>
        <v>7</v>
      </c>
      <c r="R150" s="1">
        <f t="shared" si="23"/>
        <v>0</v>
      </c>
      <c r="S150" s="31">
        <f t="shared" si="23"/>
        <v>82.75</v>
      </c>
      <c r="T150" s="1" t="str">
        <f t="shared" si="27"/>
        <v>caught</v>
      </c>
      <c r="U150" s="1" t="str">
        <f t="shared" si="28"/>
        <v>2</v>
      </c>
      <c r="V150" s="1" t="str">
        <f t="shared" si="29"/>
        <v xml:space="preserve"> Sri Lanka</v>
      </c>
      <c r="W150" s="1" t="str">
        <f t="shared" si="30"/>
        <v>Pune</v>
      </c>
      <c r="X150" s="1" t="str">
        <f t="shared" si="31"/>
        <v>Yes</v>
      </c>
      <c r="Y150" s="1"/>
    </row>
    <row r="151" spans="1:25" ht="14.25" customHeight="1">
      <c r="A151" s="1"/>
      <c r="B151" s="1">
        <v>133</v>
      </c>
      <c r="C151" s="1" t="s">
        <v>170</v>
      </c>
      <c r="D151" s="1" t="s">
        <v>170</v>
      </c>
      <c r="E151" s="1" t="s">
        <v>130</v>
      </c>
      <c r="F151" s="1" t="s">
        <v>131</v>
      </c>
      <c r="G151" s="1" t="s">
        <v>152</v>
      </c>
      <c r="H151" s="1" t="s">
        <v>29</v>
      </c>
      <c r="I151" s="1" t="s">
        <v>130</v>
      </c>
      <c r="J151" s="1" t="s">
        <v>133</v>
      </c>
      <c r="K151" s="1" t="s">
        <v>59</v>
      </c>
      <c r="L151" s="1"/>
      <c r="M151" s="1"/>
      <c r="N151" s="1" t="str">
        <f t="shared" si="24"/>
        <v>No</v>
      </c>
      <c r="O151" s="1">
        <f t="shared" si="25"/>
        <v>19</v>
      </c>
      <c r="P151" s="1">
        <f t="shared" si="26"/>
        <v>19</v>
      </c>
      <c r="Q151" s="1">
        <f t="shared" si="23"/>
        <v>1</v>
      </c>
      <c r="R151" s="1">
        <f t="shared" si="23"/>
        <v>0</v>
      </c>
      <c r="S151" s="31">
        <f t="shared" si="23"/>
        <v>100</v>
      </c>
      <c r="T151" s="1" t="str">
        <f t="shared" si="27"/>
        <v>bowled</v>
      </c>
      <c r="U151" s="1" t="str">
        <f t="shared" si="28"/>
        <v>1</v>
      </c>
      <c r="V151" s="1" t="str">
        <f t="shared" si="29"/>
        <v xml:space="preserve"> Sri Lanka</v>
      </c>
      <c r="W151" s="1" t="str">
        <f t="shared" si="30"/>
        <v>Ahmedabad</v>
      </c>
      <c r="X151" s="1" t="str">
        <f t="shared" si="31"/>
        <v>Yes</v>
      </c>
      <c r="Y151" s="1"/>
    </row>
    <row r="152" spans="1:25" ht="14.25" customHeight="1">
      <c r="A152" s="1"/>
      <c r="B152" s="1">
        <v>134</v>
      </c>
      <c r="C152" s="1" t="s">
        <v>129</v>
      </c>
      <c r="D152" s="1" t="s">
        <v>129</v>
      </c>
      <c r="E152" s="1" t="s">
        <v>140</v>
      </c>
      <c r="F152" s="1" t="s">
        <v>131</v>
      </c>
      <c r="G152" s="1" t="s">
        <v>152</v>
      </c>
      <c r="H152" s="1" t="s">
        <v>24</v>
      </c>
      <c r="I152" s="1" t="s">
        <v>151</v>
      </c>
      <c r="J152" s="1" t="s">
        <v>133</v>
      </c>
      <c r="K152" s="1" t="s">
        <v>48</v>
      </c>
      <c r="L152" s="1"/>
      <c r="M152" s="1"/>
      <c r="N152" s="1" t="str">
        <f t="shared" si="24"/>
        <v>No</v>
      </c>
      <c r="O152" s="1">
        <f t="shared" si="25"/>
        <v>22</v>
      </c>
      <c r="P152" s="1">
        <f t="shared" si="26"/>
        <v>22</v>
      </c>
      <c r="Q152" s="1">
        <f t="shared" si="23"/>
        <v>4</v>
      </c>
      <c r="R152" s="1">
        <f t="shared" si="23"/>
        <v>0</v>
      </c>
      <c r="S152" s="31">
        <f t="shared" si="23"/>
        <v>100</v>
      </c>
      <c r="T152" s="1" t="str">
        <f t="shared" si="27"/>
        <v>caught</v>
      </c>
      <c r="U152" s="1" t="str">
        <f t="shared" si="28"/>
        <v>2</v>
      </c>
      <c r="V152" s="1" t="str">
        <f t="shared" si="29"/>
        <v xml:space="preserve"> Sri Lanka</v>
      </c>
      <c r="W152" s="1" t="str">
        <f t="shared" si="30"/>
        <v>Rajkot</v>
      </c>
      <c r="X152" s="1" t="str">
        <f t="shared" si="31"/>
        <v>Yes</v>
      </c>
      <c r="Y152" s="1"/>
    </row>
    <row r="153" spans="1:25" ht="14.25" customHeight="1">
      <c r="A153" s="1"/>
      <c r="B153" s="1">
        <v>135</v>
      </c>
      <c r="C153" s="1" t="s">
        <v>248</v>
      </c>
      <c r="D153" s="1" t="s">
        <v>154</v>
      </c>
      <c r="E153" s="1" t="s">
        <v>136</v>
      </c>
      <c r="F153" s="1" t="s">
        <v>131</v>
      </c>
      <c r="G153" s="1" t="s">
        <v>1282</v>
      </c>
      <c r="H153" s="1" t="s">
        <v>24</v>
      </c>
      <c r="I153" s="1" t="s">
        <v>151</v>
      </c>
      <c r="J153" s="1" t="s">
        <v>133</v>
      </c>
      <c r="K153" s="1" t="s">
        <v>44</v>
      </c>
      <c r="L153" s="1"/>
      <c r="M153" s="1"/>
      <c r="N153" s="1" t="str">
        <f t="shared" si="24"/>
        <v>No</v>
      </c>
      <c r="O153" s="1">
        <f t="shared" si="25"/>
        <v>35</v>
      </c>
      <c r="P153" s="1">
        <f t="shared" si="26"/>
        <v>24</v>
      </c>
      <c r="Q153" s="1">
        <f t="shared" si="23"/>
        <v>6</v>
      </c>
      <c r="R153" s="1">
        <f t="shared" si="23"/>
        <v>0</v>
      </c>
      <c r="S153" s="31">
        <f t="shared" si="23"/>
        <v>145.83000000000001</v>
      </c>
      <c r="T153" s="1" t="str">
        <f t="shared" si="27"/>
        <v>caught</v>
      </c>
      <c r="U153" s="1" t="str">
        <f t="shared" si="28"/>
        <v>2</v>
      </c>
      <c r="V153" s="1" t="str">
        <f t="shared" si="29"/>
        <v xml:space="preserve"> Sri Lanka</v>
      </c>
      <c r="W153" s="1" t="str">
        <f t="shared" si="30"/>
        <v>Vadodara</v>
      </c>
      <c r="X153" s="1" t="str">
        <f t="shared" si="31"/>
        <v>Yes</v>
      </c>
      <c r="Y153" s="1"/>
    </row>
    <row r="154" spans="1:25" ht="14.25" customHeight="1">
      <c r="A154" s="1"/>
      <c r="B154" s="1">
        <v>136</v>
      </c>
      <c r="C154" s="1" t="s">
        <v>130</v>
      </c>
      <c r="D154" s="1" t="s">
        <v>140</v>
      </c>
      <c r="E154" s="1" t="s">
        <v>131</v>
      </c>
      <c r="F154" s="1" t="s">
        <v>131</v>
      </c>
      <c r="G154" s="1" t="s">
        <v>190</v>
      </c>
      <c r="H154" s="1" t="s">
        <v>24</v>
      </c>
      <c r="I154" s="1" t="s">
        <v>130</v>
      </c>
      <c r="J154" s="1" t="s">
        <v>191</v>
      </c>
      <c r="K154" s="1" t="s">
        <v>85</v>
      </c>
      <c r="L154" s="1"/>
      <c r="M154" s="1"/>
      <c r="N154" s="1" t="str">
        <f t="shared" si="24"/>
        <v>No</v>
      </c>
      <c r="O154" s="1">
        <f t="shared" si="25"/>
        <v>1</v>
      </c>
      <c r="P154" s="1">
        <f t="shared" si="26"/>
        <v>4</v>
      </c>
      <c r="Q154" s="1">
        <f t="shared" si="23"/>
        <v>0</v>
      </c>
      <c r="R154" s="1">
        <f t="shared" si="23"/>
        <v>0</v>
      </c>
      <c r="S154" s="31">
        <f t="shared" si="23"/>
        <v>25</v>
      </c>
      <c r="T154" s="1" t="str">
        <f t="shared" si="27"/>
        <v>caught</v>
      </c>
      <c r="U154" s="1" t="str">
        <f t="shared" si="28"/>
        <v>1</v>
      </c>
      <c r="V154" s="1" t="str">
        <f t="shared" si="29"/>
        <v xml:space="preserve"> South Africa</v>
      </c>
      <c r="W154" s="1" t="str">
        <f t="shared" si="30"/>
        <v>Hyderabad</v>
      </c>
      <c r="X154" s="1" t="str">
        <f t="shared" si="31"/>
        <v>Yes</v>
      </c>
      <c r="Y154" s="1"/>
    </row>
    <row r="155" spans="1:25" ht="14.25" customHeight="1">
      <c r="A155" s="1"/>
      <c r="B155" s="1">
        <v>137</v>
      </c>
      <c r="C155" s="1" t="s">
        <v>310</v>
      </c>
      <c r="D155" s="1" t="s">
        <v>364</v>
      </c>
      <c r="E155" s="1" t="s">
        <v>176</v>
      </c>
      <c r="F155" s="1" t="s">
        <v>131</v>
      </c>
      <c r="G155" s="1" t="s">
        <v>1283</v>
      </c>
      <c r="H155" s="1" t="s">
        <v>32</v>
      </c>
      <c r="I155" s="1" t="s">
        <v>151</v>
      </c>
      <c r="J155" s="1" t="s">
        <v>191</v>
      </c>
      <c r="K155" s="1" t="s">
        <v>67</v>
      </c>
      <c r="L155" s="1"/>
      <c r="M155" s="1"/>
      <c r="N155" s="1" t="str">
        <f t="shared" si="24"/>
        <v>No</v>
      </c>
      <c r="O155" s="1">
        <f t="shared" si="25"/>
        <v>77</v>
      </c>
      <c r="P155" s="1">
        <f t="shared" si="26"/>
        <v>62</v>
      </c>
      <c r="Q155" s="1">
        <f t="shared" si="23"/>
        <v>11</v>
      </c>
      <c r="R155" s="1">
        <f t="shared" si="23"/>
        <v>0</v>
      </c>
      <c r="S155" s="31">
        <f t="shared" si="23"/>
        <v>124.19</v>
      </c>
      <c r="T155" s="1" t="str">
        <f t="shared" si="27"/>
        <v>not out</v>
      </c>
      <c r="U155" s="1" t="str">
        <f t="shared" si="28"/>
        <v>2</v>
      </c>
      <c r="V155" s="1" t="str">
        <f t="shared" si="29"/>
        <v xml:space="preserve"> South Africa</v>
      </c>
      <c r="W155" s="1" t="str">
        <f t="shared" si="30"/>
        <v>Bengaluru</v>
      </c>
      <c r="X155" s="1" t="str">
        <f t="shared" si="31"/>
        <v>No</v>
      </c>
      <c r="Y155" s="1"/>
    </row>
    <row r="156" spans="1:25" ht="14.25" customHeight="1">
      <c r="A156" s="1"/>
      <c r="B156" s="1">
        <v>138</v>
      </c>
      <c r="C156" s="1" t="s">
        <v>164</v>
      </c>
      <c r="D156" s="1" t="s">
        <v>246</v>
      </c>
      <c r="E156" s="1" t="s">
        <v>136</v>
      </c>
      <c r="F156" s="1" t="s">
        <v>131</v>
      </c>
      <c r="G156" s="1" t="s">
        <v>621</v>
      </c>
      <c r="H156" s="1" t="s">
        <v>24</v>
      </c>
      <c r="I156" s="1" t="s">
        <v>130</v>
      </c>
      <c r="J156" s="1" t="s">
        <v>191</v>
      </c>
      <c r="K156" s="1" t="s">
        <v>51</v>
      </c>
      <c r="L156" s="1"/>
      <c r="M156" s="1"/>
      <c r="N156" s="1" t="str">
        <f t="shared" si="24"/>
        <v>No</v>
      </c>
      <c r="O156" s="1">
        <f t="shared" si="25"/>
        <v>30</v>
      </c>
      <c r="P156" s="1">
        <f t="shared" si="26"/>
        <v>21</v>
      </c>
      <c r="Q156" s="1">
        <f t="shared" si="23"/>
        <v>6</v>
      </c>
      <c r="R156" s="1">
        <f t="shared" si="23"/>
        <v>0</v>
      </c>
      <c r="S156" s="31">
        <f t="shared" si="23"/>
        <v>142.85</v>
      </c>
      <c r="T156" s="1" t="str">
        <f t="shared" si="27"/>
        <v>caught</v>
      </c>
      <c r="U156" s="1" t="str">
        <f t="shared" si="28"/>
        <v>1</v>
      </c>
      <c r="V156" s="1" t="str">
        <f t="shared" si="29"/>
        <v xml:space="preserve"> South Africa</v>
      </c>
      <c r="W156" s="1" t="str">
        <f t="shared" si="30"/>
        <v>Eden Gardens</v>
      </c>
      <c r="X156" s="1" t="str">
        <f t="shared" si="31"/>
        <v>Yes</v>
      </c>
      <c r="Y156" s="1"/>
    </row>
    <row r="157" spans="1:25" ht="14.25" customHeight="1">
      <c r="A157" s="1"/>
      <c r="B157" s="1">
        <v>139</v>
      </c>
      <c r="C157" s="1" t="s">
        <v>169</v>
      </c>
      <c r="D157" s="1" t="s">
        <v>238</v>
      </c>
      <c r="E157" s="1" t="s">
        <v>140</v>
      </c>
      <c r="F157" s="1" t="s">
        <v>130</v>
      </c>
      <c r="G157" s="1" t="s">
        <v>1284</v>
      </c>
      <c r="H157" s="1" t="s">
        <v>19</v>
      </c>
      <c r="I157" s="1" t="s">
        <v>151</v>
      </c>
      <c r="J157" s="1" t="s">
        <v>191</v>
      </c>
      <c r="K157" s="1" t="s">
        <v>75</v>
      </c>
      <c r="L157" s="1"/>
      <c r="M157" s="1"/>
      <c r="N157" s="1" t="str">
        <f t="shared" si="24"/>
        <v>No</v>
      </c>
      <c r="O157" s="1">
        <f t="shared" si="25"/>
        <v>27</v>
      </c>
      <c r="P157" s="1">
        <f t="shared" si="26"/>
        <v>20</v>
      </c>
      <c r="Q157" s="1">
        <f t="shared" si="23"/>
        <v>4</v>
      </c>
      <c r="R157" s="1">
        <f t="shared" si="23"/>
        <v>1</v>
      </c>
      <c r="S157" s="31">
        <f t="shared" si="23"/>
        <v>135</v>
      </c>
      <c r="T157" s="1" t="str">
        <f t="shared" si="27"/>
        <v>lbw</v>
      </c>
      <c r="U157" s="1" t="str">
        <f t="shared" si="28"/>
        <v>2</v>
      </c>
      <c r="V157" s="1" t="str">
        <f t="shared" si="29"/>
        <v xml:space="preserve"> South Africa</v>
      </c>
      <c r="W157" s="1" t="str">
        <f t="shared" si="30"/>
        <v>Wankhede</v>
      </c>
      <c r="X157" s="1" t="str">
        <f t="shared" si="31"/>
        <v>Yes</v>
      </c>
      <c r="Y157" s="1"/>
    </row>
    <row r="158" spans="1:25" ht="14.25" customHeight="1">
      <c r="A158" s="1"/>
      <c r="B158" s="1">
        <v>140</v>
      </c>
      <c r="C158" s="1" t="s">
        <v>202</v>
      </c>
      <c r="D158" s="1" t="s">
        <v>136</v>
      </c>
      <c r="E158" s="1" t="s">
        <v>130</v>
      </c>
      <c r="F158" s="1" t="s">
        <v>131</v>
      </c>
      <c r="G158" s="1" t="s">
        <v>496</v>
      </c>
      <c r="H158" s="1" t="s">
        <v>24</v>
      </c>
      <c r="I158" s="1" t="s">
        <v>130</v>
      </c>
      <c r="J158" s="1" t="s">
        <v>156</v>
      </c>
      <c r="K158" s="1" t="s">
        <v>561</v>
      </c>
      <c r="L158" s="1"/>
      <c r="M158" s="1"/>
      <c r="N158" s="1" t="str">
        <f t="shared" si="24"/>
        <v>No</v>
      </c>
      <c r="O158" s="1">
        <f t="shared" si="25"/>
        <v>5</v>
      </c>
      <c r="P158" s="1">
        <f t="shared" si="26"/>
        <v>6</v>
      </c>
      <c r="Q158" s="1">
        <f t="shared" si="23"/>
        <v>1</v>
      </c>
      <c r="R158" s="1">
        <f t="shared" si="23"/>
        <v>0</v>
      </c>
      <c r="S158" s="31">
        <f t="shared" si="23"/>
        <v>83.33</v>
      </c>
      <c r="T158" s="1" t="str">
        <f t="shared" si="27"/>
        <v>caught</v>
      </c>
      <c r="U158" s="1" t="str">
        <f t="shared" si="28"/>
        <v>1</v>
      </c>
      <c r="V158" s="1" t="str">
        <f t="shared" si="29"/>
        <v xml:space="preserve"> Pakistan</v>
      </c>
      <c r="W158" s="1" t="str">
        <f t="shared" si="30"/>
        <v>Peshawar</v>
      </c>
      <c r="X158" s="1" t="str">
        <f t="shared" si="31"/>
        <v>Yes</v>
      </c>
      <c r="Y158" s="1"/>
    </row>
    <row r="159" spans="1:25" ht="14.25" customHeight="1">
      <c r="A159" s="1"/>
      <c r="B159" s="1">
        <v>141</v>
      </c>
      <c r="C159" s="1" t="s">
        <v>135</v>
      </c>
      <c r="D159" s="1" t="s">
        <v>380</v>
      </c>
      <c r="E159" s="1" t="s">
        <v>167</v>
      </c>
      <c r="F159" s="1" t="s">
        <v>130</v>
      </c>
      <c r="G159" s="1" t="s">
        <v>1285</v>
      </c>
      <c r="H159" s="1" t="s">
        <v>26</v>
      </c>
      <c r="I159" s="1" t="s">
        <v>151</v>
      </c>
      <c r="J159" s="1" t="s">
        <v>156</v>
      </c>
      <c r="K159" s="1" t="s">
        <v>562</v>
      </c>
      <c r="L159" s="1"/>
      <c r="M159" s="1"/>
      <c r="N159" s="1" t="str">
        <f t="shared" si="24"/>
        <v>No</v>
      </c>
      <c r="O159" s="1">
        <f t="shared" si="25"/>
        <v>67</v>
      </c>
      <c r="P159" s="1">
        <f t="shared" si="26"/>
        <v>60</v>
      </c>
      <c r="Q159" s="1">
        <f t="shared" si="23"/>
        <v>10</v>
      </c>
      <c r="R159" s="1">
        <f t="shared" si="23"/>
        <v>1</v>
      </c>
      <c r="S159" s="31">
        <f t="shared" si="23"/>
        <v>111.66</v>
      </c>
      <c r="T159" s="1" t="str">
        <f t="shared" si="27"/>
        <v>run out</v>
      </c>
      <c r="U159" s="1" t="str">
        <f t="shared" si="28"/>
        <v>2</v>
      </c>
      <c r="V159" s="1" t="str">
        <f t="shared" si="29"/>
        <v xml:space="preserve"> Pakistan</v>
      </c>
      <c r="W159" s="1" t="str">
        <f t="shared" si="30"/>
        <v>Rawalpindi</v>
      </c>
      <c r="X159" s="1" t="str">
        <f t="shared" si="31"/>
        <v>Yes</v>
      </c>
      <c r="Y159" s="1"/>
    </row>
    <row r="160" spans="1:25" ht="14.25" customHeight="1">
      <c r="A160" s="1"/>
      <c r="B160" s="1">
        <v>142</v>
      </c>
      <c r="C160" s="1" t="s">
        <v>144</v>
      </c>
      <c r="D160" s="1" t="s">
        <v>189</v>
      </c>
      <c r="E160" s="1" t="s">
        <v>130</v>
      </c>
      <c r="F160" s="1" t="s">
        <v>131</v>
      </c>
      <c r="G160" s="1" t="s">
        <v>698</v>
      </c>
      <c r="H160" s="1" t="s">
        <v>24</v>
      </c>
      <c r="I160" s="1" t="s">
        <v>130</v>
      </c>
      <c r="J160" s="1" t="s">
        <v>234</v>
      </c>
      <c r="K160" s="1" t="s">
        <v>52</v>
      </c>
      <c r="L160" s="1"/>
      <c r="M160" s="1"/>
      <c r="N160" s="1" t="str">
        <f t="shared" si="24"/>
        <v>No</v>
      </c>
      <c r="O160" s="1">
        <f t="shared" si="25"/>
        <v>7</v>
      </c>
      <c r="P160" s="1">
        <f t="shared" si="26"/>
        <v>8</v>
      </c>
      <c r="Q160" s="1">
        <f t="shared" si="23"/>
        <v>1</v>
      </c>
      <c r="R160" s="1">
        <f t="shared" si="23"/>
        <v>0</v>
      </c>
      <c r="S160" s="31">
        <f t="shared" si="23"/>
        <v>87.5</v>
      </c>
      <c r="T160" s="1" t="str">
        <f t="shared" si="27"/>
        <v>caught</v>
      </c>
      <c r="U160" s="1" t="str">
        <f t="shared" si="28"/>
        <v>1</v>
      </c>
      <c r="V160" s="1" t="str">
        <f t="shared" si="29"/>
        <v xml:space="preserve"> England</v>
      </c>
      <c r="W160" s="1" t="str">
        <f t="shared" si="30"/>
        <v>Delhi</v>
      </c>
      <c r="X160" s="1" t="str">
        <f t="shared" si="31"/>
        <v>Yes</v>
      </c>
      <c r="Y160" s="1"/>
    </row>
    <row r="161" spans="1:25" ht="14.25" customHeight="1">
      <c r="A161" s="1"/>
      <c r="B161" s="1">
        <v>143</v>
      </c>
      <c r="C161" s="1" t="s">
        <v>313</v>
      </c>
      <c r="D161" s="1" t="s">
        <v>405</v>
      </c>
      <c r="E161" s="1" t="s">
        <v>140</v>
      </c>
      <c r="F161" s="1" t="s">
        <v>131</v>
      </c>
      <c r="G161" s="1" t="s">
        <v>1286</v>
      </c>
      <c r="H161" s="1" t="s">
        <v>29</v>
      </c>
      <c r="I161" s="1" t="s">
        <v>151</v>
      </c>
      <c r="J161" s="1" t="s">
        <v>234</v>
      </c>
      <c r="K161" s="1" t="s">
        <v>570</v>
      </c>
      <c r="L161" s="1"/>
      <c r="M161" s="1"/>
      <c r="N161" s="1" t="str">
        <f t="shared" si="24"/>
        <v>No</v>
      </c>
      <c r="O161" s="1">
        <f t="shared" si="25"/>
        <v>26</v>
      </c>
      <c r="P161" s="1">
        <f t="shared" si="26"/>
        <v>45</v>
      </c>
      <c r="Q161" s="1">
        <f t="shared" si="23"/>
        <v>4</v>
      </c>
      <c r="R161" s="1">
        <f t="shared" si="23"/>
        <v>0</v>
      </c>
      <c r="S161" s="31">
        <f t="shared" si="23"/>
        <v>57.77</v>
      </c>
      <c r="T161" s="1" t="str">
        <f t="shared" si="27"/>
        <v>bowled</v>
      </c>
      <c r="U161" s="1" t="str">
        <f t="shared" si="28"/>
        <v>2</v>
      </c>
      <c r="V161" s="1" t="str">
        <f t="shared" si="29"/>
        <v xml:space="preserve"> England</v>
      </c>
      <c r="W161" s="1" t="str">
        <f t="shared" si="30"/>
        <v>Faridabad</v>
      </c>
      <c r="X161" s="1" t="str">
        <f t="shared" si="31"/>
        <v>Yes</v>
      </c>
      <c r="Y161" s="1"/>
    </row>
    <row r="162" spans="1:25" ht="14.25" customHeight="1">
      <c r="A162" s="1"/>
      <c r="B162" s="1">
        <v>144</v>
      </c>
      <c r="C162" s="1" t="s">
        <v>283</v>
      </c>
      <c r="D162" s="1" t="s">
        <v>313</v>
      </c>
      <c r="E162" s="1" t="s">
        <v>151</v>
      </c>
      <c r="F162" s="1" t="s">
        <v>131</v>
      </c>
      <c r="G162" s="1" t="s">
        <v>580</v>
      </c>
      <c r="H162" s="1" t="s">
        <v>29</v>
      </c>
      <c r="I162" s="1" t="s">
        <v>130</v>
      </c>
      <c r="J162" s="1" t="s">
        <v>234</v>
      </c>
      <c r="K162" s="1" t="s">
        <v>573</v>
      </c>
      <c r="L162" s="1"/>
      <c r="M162" s="1"/>
      <c r="N162" s="1" t="str">
        <f t="shared" si="24"/>
        <v>No</v>
      </c>
      <c r="O162" s="1">
        <f t="shared" si="25"/>
        <v>15</v>
      </c>
      <c r="P162" s="1">
        <f t="shared" si="26"/>
        <v>26</v>
      </c>
      <c r="Q162" s="1">
        <f t="shared" si="23"/>
        <v>2</v>
      </c>
      <c r="R162" s="1">
        <f t="shared" si="23"/>
        <v>0</v>
      </c>
      <c r="S162" s="31">
        <f t="shared" si="23"/>
        <v>57.69</v>
      </c>
      <c r="T162" s="1" t="str">
        <f t="shared" si="27"/>
        <v>bowled</v>
      </c>
      <c r="U162" s="1" t="str">
        <f t="shared" si="28"/>
        <v>1</v>
      </c>
      <c r="V162" s="1" t="str">
        <f t="shared" si="29"/>
        <v xml:space="preserve"> England</v>
      </c>
      <c r="W162" s="1" t="str">
        <f t="shared" si="30"/>
        <v>Margao</v>
      </c>
      <c r="X162" s="1" t="str">
        <f t="shared" si="31"/>
        <v>Yes</v>
      </c>
      <c r="Y162" s="1"/>
    </row>
    <row r="163" spans="1:25" ht="14.25" customHeight="1">
      <c r="A163" s="1"/>
      <c r="B163" s="1">
        <v>145</v>
      </c>
      <c r="C163" s="1" t="s">
        <v>313</v>
      </c>
      <c r="D163" s="1" t="s">
        <v>244</v>
      </c>
      <c r="E163" s="1" t="s">
        <v>140</v>
      </c>
      <c r="F163" s="1" t="s">
        <v>131</v>
      </c>
      <c r="G163" s="1" t="s">
        <v>314</v>
      </c>
      <c r="H163" s="1" t="s">
        <v>24</v>
      </c>
      <c r="I163" s="1" t="s">
        <v>151</v>
      </c>
      <c r="J163" s="1" t="s">
        <v>234</v>
      </c>
      <c r="K163" s="1" t="s">
        <v>96</v>
      </c>
      <c r="L163" s="1"/>
      <c r="M163" s="1"/>
      <c r="N163" s="1" t="str">
        <f t="shared" si="24"/>
        <v>No</v>
      </c>
      <c r="O163" s="1">
        <f t="shared" si="25"/>
        <v>26</v>
      </c>
      <c r="P163" s="1">
        <f t="shared" si="26"/>
        <v>33</v>
      </c>
      <c r="Q163" s="1">
        <f t="shared" ref="Q163:S226" si="32">IF(E163="-","NA",E163*1)</f>
        <v>4</v>
      </c>
      <c r="R163" s="1">
        <f t="shared" si="32"/>
        <v>0</v>
      </c>
      <c r="S163" s="31">
        <f t="shared" si="32"/>
        <v>78.78</v>
      </c>
      <c r="T163" s="1" t="str">
        <f t="shared" si="27"/>
        <v>caught</v>
      </c>
      <c r="U163" s="1" t="str">
        <f t="shared" si="28"/>
        <v>2</v>
      </c>
      <c r="V163" s="1" t="str">
        <f t="shared" si="29"/>
        <v xml:space="preserve"> England</v>
      </c>
      <c r="W163" s="1" t="str">
        <f t="shared" si="30"/>
        <v>Kochi</v>
      </c>
      <c r="X163" s="1" t="str">
        <f t="shared" si="31"/>
        <v>Yes</v>
      </c>
      <c r="Y163" s="1"/>
    </row>
    <row r="164" spans="1:25" ht="14.25" customHeight="1">
      <c r="A164" s="1"/>
      <c r="B164" s="1">
        <v>146</v>
      </c>
      <c r="C164" s="1" t="s">
        <v>140</v>
      </c>
      <c r="D164" s="1" t="s">
        <v>202</v>
      </c>
      <c r="E164" s="1" t="s">
        <v>130</v>
      </c>
      <c r="F164" s="1" t="s">
        <v>131</v>
      </c>
      <c r="G164" s="1" t="s">
        <v>361</v>
      </c>
      <c r="H164" s="1" t="s">
        <v>24</v>
      </c>
      <c r="I164" s="1" t="s">
        <v>130</v>
      </c>
      <c r="J164" s="1" t="s">
        <v>234</v>
      </c>
      <c r="K164" s="1" t="s">
        <v>535</v>
      </c>
      <c r="L164" s="1"/>
      <c r="M164" s="1"/>
      <c r="N164" s="1" t="str">
        <f t="shared" si="24"/>
        <v>No</v>
      </c>
      <c r="O164" s="1">
        <f t="shared" si="25"/>
        <v>4</v>
      </c>
      <c r="P164" s="1">
        <f t="shared" si="26"/>
        <v>5</v>
      </c>
      <c r="Q164" s="1">
        <f t="shared" si="32"/>
        <v>1</v>
      </c>
      <c r="R164" s="1">
        <f t="shared" si="32"/>
        <v>0</v>
      </c>
      <c r="S164" s="31">
        <f t="shared" si="32"/>
        <v>80</v>
      </c>
      <c r="T164" s="1" t="str">
        <f t="shared" si="27"/>
        <v>caught</v>
      </c>
      <c r="U164" s="1" t="str">
        <f t="shared" si="28"/>
        <v>1</v>
      </c>
      <c r="V164" s="1" t="str">
        <f t="shared" si="29"/>
        <v xml:space="preserve"> England</v>
      </c>
      <c r="W164" s="1" t="str">
        <f t="shared" si="30"/>
        <v>Jamshedpur</v>
      </c>
      <c r="X164" s="1" t="str">
        <f t="shared" si="31"/>
        <v>Yes</v>
      </c>
      <c r="Y164" s="1"/>
    </row>
    <row r="165" spans="1:25" ht="14.25" customHeight="1">
      <c r="A165" s="1"/>
      <c r="B165" s="1">
        <v>147</v>
      </c>
      <c r="C165" s="1" t="s">
        <v>219</v>
      </c>
      <c r="D165" s="1" t="s">
        <v>231</v>
      </c>
      <c r="E165" s="1" t="s">
        <v>167</v>
      </c>
      <c r="F165" s="1" t="s">
        <v>130</v>
      </c>
      <c r="G165" s="1" t="s">
        <v>1287</v>
      </c>
      <c r="H165" s="1" t="s">
        <v>29</v>
      </c>
      <c r="I165" s="1" t="s">
        <v>130</v>
      </c>
      <c r="J165" s="1" t="s">
        <v>156</v>
      </c>
      <c r="K165" s="1" t="s">
        <v>577</v>
      </c>
      <c r="L165" s="1"/>
      <c r="M165" s="1"/>
      <c r="N165" s="1" t="str">
        <f t="shared" si="24"/>
        <v>No</v>
      </c>
      <c r="O165" s="1">
        <f t="shared" si="25"/>
        <v>73</v>
      </c>
      <c r="P165" s="1">
        <f t="shared" si="26"/>
        <v>83</v>
      </c>
      <c r="Q165" s="1">
        <f t="shared" si="32"/>
        <v>10</v>
      </c>
      <c r="R165" s="1">
        <f t="shared" si="32"/>
        <v>1</v>
      </c>
      <c r="S165" s="31">
        <f t="shared" si="32"/>
        <v>87.95</v>
      </c>
      <c r="T165" s="1" t="str">
        <f t="shared" si="27"/>
        <v>bowled</v>
      </c>
      <c r="U165" s="1" t="str">
        <f t="shared" si="28"/>
        <v>1</v>
      </c>
      <c r="V165" s="1" t="str">
        <f t="shared" si="29"/>
        <v xml:space="preserve"> Pakistan</v>
      </c>
      <c r="W165" s="1" t="str">
        <f t="shared" si="30"/>
        <v>Abu Dhabi</v>
      </c>
      <c r="X165" s="1" t="str">
        <f t="shared" si="31"/>
        <v>Yes</v>
      </c>
      <c r="Y165" s="1"/>
    </row>
    <row r="166" spans="1:25" ht="14.25" customHeight="1">
      <c r="A166" s="1"/>
      <c r="B166" s="1">
        <v>148</v>
      </c>
      <c r="C166" s="1" t="s">
        <v>129</v>
      </c>
      <c r="D166" s="1" t="s">
        <v>521</v>
      </c>
      <c r="E166" s="1" t="s">
        <v>148</v>
      </c>
      <c r="F166" s="1" t="s">
        <v>131</v>
      </c>
      <c r="G166" s="1" t="s">
        <v>537</v>
      </c>
      <c r="H166" s="1" t="s">
        <v>26</v>
      </c>
      <c r="I166" s="1" t="s">
        <v>151</v>
      </c>
      <c r="J166" s="1" t="s">
        <v>163</v>
      </c>
      <c r="K166" s="1" t="s">
        <v>78</v>
      </c>
      <c r="L166" s="1"/>
      <c r="M166" s="1"/>
      <c r="N166" s="1" t="str">
        <f t="shared" si="24"/>
        <v>No</v>
      </c>
      <c r="O166" s="1">
        <f t="shared" si="25"/>
        <v>22</v>
      </c>
      <c r="P166" s="1">
        <f t="shared" si="26"/>
        <v>32</v>
      </c>
      <c r="Q166" s="1">
        <f t="shared" si="32"/>
        <v>3</v>
      </c>
      <c r="R166" s="1">
        <f t="shared" si="32"/>
        <v>0</v>
      </c>
      <c r="S166" s="31">
        <f t="shared" si="32"/>
        <v>68.75</v>
      </c>
      <c r="T166" s="1" t="str">
        <f t="shared" si="27"/>
        <v>run out</v>
      </c>
      <c r="U166" s="1" t="str">
        <f t="shared" si="28"/>
        <v>2</v>
      </c>
      <c r="V166" s="1" t="str">
        <f t="shared" si="29"/>
        <v xml:space="preserve"> West Indies</v>
      </c>
      <c r="W166" s="1" t="str">
        <f t="shared" si="30"/>
        <v>Kingston</v>
      </c>
      <c r="X166" s="1" t="str">
        <f t="shared" si="31"/>
        <v>Yes</v>
      </c>
      <c r="Y166" s="1"/>
    </row>
    <row r="167" spans="1:25" ht="14.25" customHeight="1">
      <c r="A167" s="1"/>
      <c r="B167" s="1">
        <v>149</v>
      </c>
      <c r="C167" s="1" t="s">
        <v>128</v>
      </c>
      <c r="D167" s="1" t="s">
        <v>170</v>
      </c>
      <c r="E167" s="1" t="s">
        <v>130</v>
      </c>
      <c r="F167" s="1" t="s">
        <v>131</v>
      </c>
      <c r="G167" s="1" t="s">
        <v>538</v>
      </c>
      <c r="H167" s="1" t="s">
        <v>24</v>
      </c>
      <c r="I167" s="1" t="s">
        <v>151</v>
      </c>
      <c r="J167" s="1" t="s">
        <v>163</v>
      </c>
      <c r="K167" s="1" t="s">
        <v>78</v>
      </c>
      <c r="L167" s="1"/>
      <c r="M167" s="1"/>
      <c r="N167" s="1" t="str">
        <f t="shared" si="24"/>
        <v>No</v>
      </c>
      <c r="O167" s="1">
        <f t="shared" si="25"/>
        <v>12</v>
      </c>
      <c r="P167" s="1">
        <f t="shared" si="26"/>
        <v>19</v>
      </c>
      <c r="Q167" s="1">
        <f t="shared" si="32"/>
        <v>1</v>
      </c>
      <c r="R167" s="1">
        <f t="shared" si="32"/>
        <v>0</v>
      </c>
      <c r="S167" s="31">
        <f t="shared" si="32"/>
        <v>63.15</v>
      </c>
      <c r="T167" s="1" t="str">
        <f t="shared" si="27"/>
        <v>caught</v>
      </c>
      <c r="U167" s="1" t="str">
        <f t="shared" si="28"/>
        <v>2</v>
      </c>
      <c r="V167" s="1" t="str">
        <f t="shared" si="29"/>
        <v xml:space="preserve"> West Indies</v>
      </c>
      <c r="W167" s="1" t="str">
        <f t="shared" si="30"/>
        <v>Kingston</v>
      </c>
      <c r="X167" s="1" t="str">
        <f t="shared" si="31"/>
        <v>Yes</v>
      </c>
      <c r="Y167" s="1"/>
    </row>
    <row r="168" spans="1:25" ht="14.25" customHeight="1">
      <c r="A168" s="1"/>
      <c r="B168" s="1">
        <v>150</v>
      </c>
      <c r="C168" s="1" t="s">
        <v>395</v>
      </c>
      <c r="D168" s="1" t="s">
        <v>231</v>
      </c>
      <c r="E168" s="1" t="s">
        <v>161</v>
      </c>
      <c r="F168" s="1" t="s">
        <v>148</v>
      </c>
      <c r="G168" s="1" t="s">
        <v>1288</v>
      </c>
      <c r="H168" s="1" t="s">
        <v>19</v>
      </c>
      <c r="I168" s="1" t="s">
        <v>130</v>
      </c>
      <c r="J168" s="1" t="s">
        <v>163</v>
      </c>
      <c r="K168" s="1" t="s">
        <v>581</v>
      </c>
      <c r="L168" s="1"/>
      <c r="M168" s="1"/>
      <c r="N168" s="1" t="str">
        <f t="shared" si="24"/>
        <v>No</v>
      </c>
      <c r="O168" s="1">
        <f t="shared" si="25"/>
        <v>97</v>
      </c>
      <c r="P168" s="1">
        <f t="shared" si="26"/>
        <v>83</v>
      </c>
      <c r="Q168" s="1">
        <f t="shared" si="32"/>
        <v>9</v>
      </c>
      <c r="R168" s="1">
        <f t="shared" si="32"/>
        <v>3</v>
      </c>
      <c r="S168" s="31">
        <f t="shared" si="32"/>
        <v>116.86</v>
      </c>
      <c r="T168" s="1" t="str">
        <f t="shared" si="27"/>
        <v>lbw</v>
      </c>
      <c r="U168" s="1" t="str">
        <f t="shared" si="28"/>
        <v>1</v>
      </c>
      <c r="V168" s="1" t="str">
        <f t="shared" si="29"/>
        <v xml:space="preserve"> West Indies</v>
      </c>
      <c r="W168" s="1" t="str">
        <f t="shared" si="30"/>
        <v>Basseterre</v>
      </c>
      <c r="X168" s="1" t="str">
        <f t="shared" si="31"/>
        <v>Yes</v>
      </c>
      <c r="Y168" s="1"/>
    </row>
    <row r="169" spans="1:25" ht="14.25" customHeight="1">
      <c r="A169" s="1"/>
      <c r="B169" s="1">
        <v>151</v>
      </c>
      <c r="C169" s="1" t="s">
        <v>176</v>
      </c>
      <c r="D169" s="1" t="s">
        <v>176</v>
      </c>
      <c r="E169" s="1" t="s">
        <v>151</v>
      </c>
      <c r="F169" s="1" t="s">
        <v>131</v>
      </c>
      <c r="G169" s="1" t="s">
        <v>152</v>
      </c>
      <c r="H169" s="1" t="s">
        <v>24</v>
      </c>
      <c r="I169" s="1" t="s">
        <v>130</v>
      </c>
      <c r="J169" s="1" t="s">
        <v>163</v>
      </c>
      <c r="K169" s="1" t="s">
        <v>76</v>
      </c>
      <c r="L169" s="1"/>
      <c r="M169" s="1"/>
      <c r="N169" s="1" t="str">
        <f t="shared" si="24"/>
        <v>No</v>
      </c>
      <c r="O169" s="1">
        <f t="shared" si="25"/>
        <v>11</v>
      </c>
      <c r="P169" s="1">
        <f t="shared" si="26"/>
        <v>11</v>
      </c>
      <c r="Q169" s="1">
        <f t="shared" si="32"/>
        <v>2</v>
      </c>
      <c r="R169" s="1">
        <f t="shared" si="32"/>
        <v>0</v>
      </c>
      <c r="S169" s="31">
        <f t="shared" si="32"/>
        <v>100</v>
      </c>
      <c r="T169" s="1" t="str">
        <f t="shared" si="27"/>
        <v>caught</v>
      </c>
      <c r="U169" s="1" t="str">
        <f t="shared" si="28"/>
        <v>1</v>
      </c>
      <c r="V169" s="1" t="str">
        <f t="shared" si="29"/>
        <v xml:space="preserve"> West Indies</v>
      </c>
      <c r="W169" s="1" t="str">
        <f t="shared" si="30"/>
        <v>Port of Spain</v>
      </c>
      <c r="X169" s="1" t="str">
        <f t="shared" si="31"/>
        <v>Yes</v>
      </c>
      <c r="Y169" s="1"/>
    </row>
    <row r="170" spans="1:25" ht="14.25" customHeight="1">
      <c r="A170" s="1"/>
      <c r="B170" s="1">
        <v>152</v>
      </c>
      <c r="C170" s="1" t="s">
        <v>187</v>
      </c>
      <c r="D170" s="1" t="s">
        <v>251</v>
      </c>
      <c r="E170" s="1" t="s">
        <v>167</v>
      </c>
      <c r="F170" s="1" t="s">
        <v>130</v>
      </c>
      <c r="G170" s="1" t="s">
        <v>1289</v>
      </c>
      <c r="H170" s="1" t="s">
        <v>24</v>
      </c>
      <c r="I170" s="1" t="s">
        <v>151</v>
      </c>
      <c r="J170" s="1" t="s">
        <v>163</v>
      </c>
      <c r="K170" s="1" t="s">
        <v>76</v>
      </c>
      <c r="L170" s="1"/>
      <c r="M170" s="1"/>
      <c r="N170" s="1" t="str">
        <f t="shared" si="24"/>
        <v>No</v>
      </c>
      <c r="O170" s="1">
        <f t="shared" si="25"/>
        <v>95</v>
      </c>
      <c r="P170" s="1">
        <f t="shared" si="26"/>
        <v>103</v>
      </c>
      <c r="Q170" s="1">
        <f t="shared" si="32"/>
        <v>10</v>
      </c>
      <c r="R170" s="1">
        <f t="shared" si="32"/>
        <v>1</v>
      </c>
      <c r="S170" s="31">
        <f t="shared" si="32"/>
        <v>92.23</v>
      </c>
      <c r="T170" s="1" t="str">
        <f t="shared" si="27"/>
        <v>caught</v>
      </c>
      <c r="U170" s="1" t="str">
        <f t="shared" si="28"/>
        <v>2</v>
      </c>
      <c r="V170" s="1" t="str">
        <f t="shared" si="29"/>
        <v xml:space="preserve"> West Indies</v>
      </c>
      <c r="W170" s="1" t="str">
        <f t="shared" si="30"/>
        <v>Port of Spain</v>
      </c>
      <c r="X170" s="1" t="str">
        <f t="shared" si="31"/>
        <v>Yes</v>
      </c>
      <c r="Y170" s="1"/>
    </row>
    <row r="171" spans="1:25" ht="14.25" customHeight="1">
      <c r="A171" s="1"/>
      <c r="B171" s="1">
        <v>153</v>
      </c>
      <c r="C171" s="1" t="s">
        <v>57</v>
      </c>
      <c r="D171" s="1" t="s">
        <v>157</v>
      </c>
      <c r="E171" s="1" t="s">
        <v>157</v>
      </c>
      <c r="F171" s="1" t="s">
        <v>157</v>
      </c>
      <c r="G171" s="1" t="s">
        <v>157</v>
      </c>
      <c r="H171" s="1" t="s">
        <v>157</v>
      </c>
      <c r="I171" s="1" t="s">
        <v>130</v>
      </c>
      <c r="J171" s="1" t="s">
        <v>133</v>
      </c>
      <c r="K171" s="1" t="s">
        <v>584</v>
      </c>
      <c r="L171" s="1"/>
      <c r="M171" s="1"/>
      <c r="N171" s="1" t="str">
        <f t="shared" si="24"/>
        <v>Yes</v>
      </c>
      <c r="O171" s="1" t="str">
        <f t="shared" si="25"/>
        <v>NA</v>
      </c>
      <c r="P171" s="1" t="str">
        <f t="shared" si="26"/>
        <v>NA</v>
      </c>
      <c r="Q171" s="1" t="str">
        <f t="shared" si="32"/>
        <v>NA</v>
      </c>
      <c r="R171" s="1" t="str">
        <f t="shared" si="32"/>
        <v>NA</v>
      </c>
      <c r="S171" s="31" t="str">
        <f t="shared" si="32"/>
        <v>NA</v>
      </c>
      <c r="T171" s="1" t="str">
        <f t="shared" si="27"/>
        <v>NA</v>
      </c>
      <c r="U171" s="1" t="str">
        <f t="shared" si="28"/>
        <v>1</v>
      </c>
      <c r="V171" s="1" t="str">
        <f t="shared" si="29"/>
        <v xml:space="preserve"> Sri Lanka</v>
      </c>
      <c r="W171" s="1" t="str">
        <f t="shared" si="30"/>
        <v>Colombo (SSC)</v>
      </c>
      <c r="X171" s="1" t="str">
        <f t="shared" si="31"/>
        <v>No</v>
      </c>
      <c r="Y171" s="1"/>
    </row>
    <row r="172" spans="1:25" ht="14.25" customHeight="1">
      <c r="A172" s="1"/>
      <c r="B172" s="1">
        <v>154</v>
      </c>
      <c r="C172" s="1" t="s">
        <v>161</v>
      </c>
      <c r="D172" s="1" t="s">
        <v>167</v>
      </c>
      <c r="E172" s="1" t="s">
        <v>131</v>
      </c>
      <c r="F172" s="1" t="s">
        <v>130</v>
      </c>
      <c r="G172" s="1" t="s">
        <v>223</v>
      </c>
      <c r="H172" s="1" t="s">
        <v>29</v>
      </c>
      <c r="I172" s="1" t="s">
        <v>130</v>
      </c>
      <c r="J172" s="1" t="s">
        <v>163</v>
      </c>
      <c r="K172" s="1" t="s">
        <v>585</v>
      </c>
      <c r="L172" s="1"/>
      <c r="M172" s="1"/>
      <c r="N172" s="1" t="str">
        <f t="shared" si="24"/>
        <v>No</v>
      </c>
      <c r="O172" s="1">
        <f t="shared" si="25"/>
        <v>9</v>
      </c>
      <c r="P172" s="1">
        <f t="shared" si="26"/>
        <v>10</v>
      </c>
      <c r="Q172" s="1">
        <f t="shared" si="32"/>
        <v>0</v>
      </c>
      <c r="R172" s="1">
        <f t="shared" si="32"/>
        <v>1</v>
      </c>
      <c r="S172" s="31">
        <f t="shared" si="32"/>
        <v>90</v>
      </c>
      <c r="T172" s="1" t="str">
        <f t="shared" si="27"/>
        <v>bowled</v>
      </c>
      <c r="U172" s="1" t="str">
        <f t="shared" si="28"/>
        <v>1</v>
      </c>
      <c r="V172" s="1" t="str">
        <f t="shared" si="29"/>
        <v xml:space="preserve"> West Indies</v>
      </c>
      <c r="W172" s="1" t="str">
        <f t="shared" si="30"/>
        <v>Kuala Lumpur</v>
      </c>
      <c r="X172" s="1" t="str">
        <f t="shared" si="31"/>
        <v>Yes</v>
      </c>
      <c r="Y172" s="1"/>
    </row>
    <row r="173" spans="1:25" ht="14.25" customHeight="1">
      <c r="A173" s="1"/>
      <c r="B173" s="1">
        <v>155</v>
      </c>
      <c r="C173" s="1" t="s">
        <v>189</v>
      </c>
      <c r="D173" s="1" t="s">
        <v>202</v>
      </c>
      <c r="E173" s="1" t="s">
        <v>131</v>
      </c>
      <c r="F173" s="1" t="s">
        <v>130</v>
      </c>
      <c r="G173" s="1" t="s">
        <v>233</v>
      </c>
      <c r="H173" s="1" t="s">
        <v>26</v>
      </c>
      <c r="I173" s="1" t="s">
        <v>151</v>
      </c>
      <c r="J173" s="1" t="s">
        <v>158</v>
      </c>
      <c r="K173" s="1" t="s">
        <v>585</v>
      </c>
      <c r="L173" s="1"/>
      <c r="M173" s="1"/>
      <c r="N173" s="1" t="str">
        <f t="shared" si="24"/>
        <v>No</v>
      </c>
      <c r="O173" s="1">
        <f t="shared" si="25"/>
        <v>8</v>
      </c>
      <c r="P173" s="1">
        <f t="shared" si="26"/>
        <v>5</v>
      </c>
      <c r="Q173" s="1">
        <f t="shared" si="32"/>
        <v>0</v>
      </c>
      <c r="R173" s="1">
        <f t="shared" si="32"/>
        <v>1</v>
      </c>
      <c r="S173" s="31">
        <f t="shared" si="32"/>
        <v>160</v>
      </c>
      <c r="T173" s="1" t="str">
        <f t="shared" si="27"/>
        <v>run out</v>
      </c>
      <c r="U173" s="1" t="str">
        <f t="shared" si="28"/>
        <v>2</v>
      </c>
      <c r="V173" s="1" t="str">
        <f t="shared" si="29"/>
        <v xml:space="preserve"> Australia</v>
      </c>
      <c r="W173" s="1" t="str">
        <f t="shared" si="30"/>
        <v>Kuala Lumpur</v>
      </c>
      <c r="X173" s="1" t="str">
        <f t="shared" si="31"/>
        <v>Yes</v>
      </c>
      <c r="Y173" s="1"/>
    </row>
    <row r="174" spans="1:25" ht="14.25" customHeight="1">
      <c r="A174" s="1"/>
      <c r="B174" s="1">
        <v>156</v>
      </c>
      <c r="C174" s="1" t="s">
        <v>130</v>
      </c>
      <c r="D174" s="1" t="s">
        <v>136</v>
      </c>
      <c r="E174" s="1" t="s">
        <v>131</v>
      </c>
      <c r="F174" s="1" t="s">
        <v>131</v>
      </c>
      <c r="G174" s="1" t="s">
        <v>481</v>
      </c>
      <c r="H174" s="1" t="s">
        <v>29</v>
      </c>
      <c r="I174" s="1" t="s">
        <v>130</v>
      </c>
      <c r="J174" s="1" t="s">
        <v>163</v>
      </c>
      <c r="K174" s="1" t="s">
        <v>585</v>
      </c>
      <c r="L174" s="1"/>
      <c r="M174" s="1"/>
      <c r="N174" s="1" t="str">
        <f t="shared" si="24"/>
        <v>No</v>
      </c>
      <c r="O174" s="1">
        <f t="shared" si="25"/>
        <v>1</v>
      </c>
      <c r="P174" s="1">
        <f t="shared" si="26"/>
        <v>6</v>
      </c>
      <c r="Q174" s="1">
        <f t="shared" si="32"/>
        <v>0</v>
      </c>
      <c r="R174" s="1">
        <f t="shared" si="32"/>
        <v>0</v>
      </c>
      <c r="S174" s="31">
        <f t="shared" si="32"/>
        <v>16.66</v>
      </c>
      <c r="T174" s="1" t="str">
        <f t="shared" si="27"/>
        <v>bowled</v>
      </c>
      <c r="U174" s="1" t="str">
        <f t="shared" si="28"/>
        <v>1</v>
      </c>
      <c r="V174" s="1" t="str">
        <f t="shared" si="29"/>
        <v xml:space="preserve"> West Indies</v>
      </c>
      <c r="W174" s="1" t="str">
        <f t="shared" si="30"/>
        <v>Kuala Lumpur</v>
      </c>
      <c r="X174" s="1" t="str">
        <f t="shared" si="31"/>
        <v>Yes</v>
      </c>
      <c r="Y174" s="1"/>
    </row>
    <row r="175" spans="1:25" ht="14.25" customHeight="1">
      <c r="A175" s="1"/>
      <c r="B175" s="1">
        <v>157</v>
      </c>
      <c r="C175" s="1" t="s">
        <v>167</v>
      </c>
      <c r="D175" s="1" t="s">
        <v>176</v>
      </c>
      <c r="E175" s="1" t="s">
        <v>131</v>
      </c>
      <c r="F175" s="1" t="s">
        <v>131</v>
      </c>
      <c r="G175" s="1" t="s">
        <v>471</v>
      </c>
      <c r="H175" s="1" t="s">
        <v>29</v>
      </c>
      <c r="I175" s="1" t="s">
        <v>151</v>
      </c>
      <c r="J175" s="1" t="s">
        <v>158</v>
      </c>
      <c r="K175" s="1" t="s">
        <v>585</v>
      </c>
      <c r="L175" s="1"/>
      <c r="M175" s="1"/>
      <c r="N175" s="1" t="str">
        <f t="shared" si="24"/>
        <v>No</v>
      </c>
      <c r="O175" s="1">
        <f t="shared" si="25"/>
        <v>10</v>
      </c>
      <c r="P175" s="1">
        <f t="shared" si="26"/>
        <v>11</v>
      </c>
      <c r="Q175" s="1">
        <f t="shared" si="32"/>
        <v>0</v>
      </c>
      <c r="R175" s="1">
        <f t="shared" si="32"/>
        <v>0</v>
      </c>
      <c r="S175" s="31">
        <f t="shared" si="32"/>
        <v>90.9</v>
      </c>
      <c r="T175" s="1" t="str">
        <f t="shared" si="27"/>
        <v>bowled</v>
      </c>
      <c r="U175" s="1" t="str">
        <f t="shared" si="28"/>
        <v>2</v>
      </c>
      <c r="V175" s="1" t="str">
        <f t="shared" si="29"/>
        <v xml:space="preserve"> Australia</v>
      </c>
      <c r="W175" s="1" t="str">
        <f t="shared" si="30"/>
        <v>Kuala Lumpur</v>
      </c>
      <c r="X175" s="1" t="str">
        <f t="shared" si="31"/>
        <v>Yes</v>
      </c>
      <c r="Y175" s="1"/>
    </row>
    <row r="176" spans="1:25" ht="14.25" customHeight="1">
      <c r="A176" s="1"/>
      <c r="B176" s="1">
        <v>158</v>
      </c>
      <c r="C176" s="1" t="s">
        <v>161</v>
      </c>
      <c r="D176" s="1" t="s">
        <v>140</v>
      </c>
      <c r="E176" s="1" t="s">
        <v>151</v>
      </c>
      <c r="F176" s="1" t="s">
        <v>131</v>
      </c>
      <c r="G176" s="1" t="s">
        <v>1290</v>
      </c>
      <c r="H176" s="1" t="s">
        <v>24</v>
      </c>
      <c r="I176" s="1" t="s">
        <v>151</v>
      </c>
      <c r="J176" s="1" t="s">
        <v>234</v>
      </c>
      <c r="K176" s="1" t="s">
        <v>56</v>
      </c>
      <c r="L176" s="1"/>
      <c r="M176" s="1"/>
      <c r="N176" s="1" t="str">
        <f t="shared" si="24"/>
        <v>No</v>
      </c>
      <c r="O176" s="1">
        <f t="shared" si="25"/>
        <v>9</v>
      </c>
      <c r="P176" s="1">
        <f t="shared" si="26"/>
        <v>4</v>
      </c>
      <c r="Q176" s="1">
        <f t="shared" si="32"/>
        <v>2</v>
      </c>
      <c r="R176" s="1">
        <f t="shared" si="32"/>
        <v>0</v>
      </c>
      <c r="S176" s="31">
        <f t="shared" si="32"/>
        <v>225</v>
      </c>
      <c r="T176" s="1" t="str">
        <f t="shared" si="27"/>
        <v>caught</v>
      </c>
      <c r="U176" s="1" t="str">
        <f t="shared" si="28"/>
        <v>2</v>
      </c>
      <c r="V176" s="1" t="str">
        <f t="shared" si="29"/>
        <v xml:space="preserve"> England</v>
      </c>
      <c r="W176" s="1" t="str">
        <f t="shared" si="30"/>
        <v>Jaipur</v>
      </c>
      <c r="X176" s="1" t="str">
        <f t="shared" si="31"/>
        <v>Yes</v>
      </c>
      <c r="Y176" s="1"/>
    </row>
    <row r="177" spans="1:25" ht="14.25" customHeight="1">
      <c r="A177" s="1"/>
      <c r="B177" s="1">
        <v>159</v>
      </c>
      <c r="C177" s="1" t="s">
        <v>306</v>
      </c>
      <c r="D177" s="1" t="s">
        <v>238</v>
      </c>
      <c r="E177" s="1" t="s">
        <v>148</v>
      </c>
      <c r="F177" s="1" t="s">
        <v>131</v>
      </c>
      <c r="G177" s="1" t="s">
        <v>1291</v>
      </c>
      <c r="H177" s="1" t="s">
        <v>19</v>
      </c>
      <c r="I177" s="1" t="s">
        <v>130</v>
      </c>
      <c r="J177" s="1" t="s">
        <v>163</v>
      </c>
      <c r="K177" s="1" t="s">
        <v>59</v>
      </c>
      <c r="L177" s="1"/>
      <c r="M177" s="1"/>
      <c r="N177" s="1" t="str">
        <f t="shared" si="24"/>
        <v>No</v>
      </c>
      <c r="O177" s="1">
        <f t="shared" si="25"/>
        <v>17</v>
      </c>
      <c r="P177" s="1">
        <f t="shared" si="26"/>
        <v>20</v>
      </c>
      <c r="Q177" s="1">
        <f t="shared" si="32"/>
        <v>3</v>
      </c>
      <c r="R177" s="1">
        <f t="shared" si="32"/>
        <v>0</v>
      </c>
      <c r="S177" s="31">
        <f t="shared" si="32"/>
        <v>85</v>
      </c>
      <c r="T177" s="1" t="str">
        <f t="shared" si="27"/>
        <v>lbw</v>
      </c>
      <c r="U177" s="1" t="str">
        <f t="shared" si="28"/>
        <v>1</v>
      </c>
      <c r="V177" s="1" t="str">
        <f t="shared" si="29"/>
        <v xml:space="preserve"> West Indies</v>
      </c>
      <c r="W177" s="1" t="str">
        <f t="shared" si="30"/>
        <v>Ahmedabad</v>
      </c>
      <c r="X177" s="1" t="str">
        <f t="shared" si="31"/>
        <v>Yes</v>
      </c>
      <c r="Y177" s="1"/>
    </row>
    <row r="178" spans="1:25" ht="14.25" customHeight="1">
      <c r="A178" s="1"/>
      <c r="B178" s="1">
        <v>160</v>
      </c>
      <c r="C178" s="1" t="s">
        <v>172</v>
      </c>
      <c r="D178" s="1" t="s">
        <v>835</v>
      </c>
      <c r="E178" s="1" t="s">
        <v>161</v>
      </c>
      <c r="F178" s="1" t="s">
        <v>131</v>
      </c>
      <c r="G178" s="1" t="s">
        <v>614</v>
      </c>
      <c r="H178" s="1" t="s">
        <v>19</v>
      </c>
      <c r="I178" s="1" t="s">
        <v>130</v>
      </c>
      <c r="J178" s="1" t="s">
        <v>158</v>
      </c>
      <c r="K178" s="1" t="s">
        <v>46</v>
      </c>
      <c r="L178" s="1"/>
      <c r="M178" s="1"/>
      <c r="N178" s="1" t="str">
        <f t="shared" si="24"/>
        <v>No</v>
      </c>
      <c r="O178" s="1">
        <f t="shared" si="25"/>
        <v>65</v>
      </c>
      <c r="P178" s="1">
        <f t="shared" si="26"/>
        <v>90</v>
      </c>
      <c r="Q178" s="1">
        <f t="shared" si="32"/>
        <v>9</v>
      </c>
      <c r="R178" s="1">
        <f t="shared" si="32"/>
        <v>0</v>
      </c>
      <c r="S178" s="31">
        <f t="shared" si="32"/>
        <v>72.22</v>
      </c>
      <c r="T178" s="1" t="str">
        <f t="shared" si="27"/>
        <v>lbw</v>
      </c>
      <c r="U178" s="1" t="str">
        <f t="shared" si="28"/>
        <v>1</v>
      </c>
      <c r="V178" s="1" t="str">
        <f t="shared" si="29"/>
        <v xml:space="preserve"> Australia</v>
      </c>
      <c r="W178" s="1" t="str">
        <f t="shared" si="30"/>
        <v>Mohali</v>
      </c>
      <c r="X178" s="1" t="str">
        <f t="shared" si="31"/>
        <v>Yes</v>
      </c>
      <c r="Y178" s="1"/>
    </row>
    <row r="179" spans="1:25" ht="14.25" customHeight="1">
      <c r="A179" s="1"/>
      <c r="B179" s="1">
        <v>161</v>
      </c>
      <c r="C179" s="1" t="s">
        <v>131</v>
      </c>
      <c r="D179" s="1" t="s">
        <v>140</v>
      </c>
      <c r="E179" s="1" t="s">
        <v>131</v>
      </c>
      <c r="F179" s="1" t="s">
        <v>131</v>
      </c>
      <c r="G179" s="1" t="s">
        <v>210</v>
      </c>
      <c r="H179" s="1" t="s">
        <v>24</v>
      </c>
      <c r="I179" s="1" t="s">
        <v>151</v>
      </c>
      <c r="J179" s="1" t="s">
        <v>191</v>
      </c>
      <c r="K179" s="1" t="s">
        <v>70</v>
      </c>
      <c r="L179" s="1"/>
      <c r="M179" s="1"/>
      <c r="N179" s="1" t="str">
        <f t="shared" si="24"/>
        <v>No</v>
      </c>
      <c r="O179" s="1">
        <f t="shared" si="25"/>
        <v>0</v>
      </c>
      <c r="P179" s="1">
        <f t="shared" si="26"/>
        <v>4</v>
      </c>
      <c r="Q179" s="1">
        <f t="shared" si="32"/>
        <v>0</v>
      </c>
      <c r="R179" s="1">
        <f t="shared" si="32"/>
        <v>0</v>
      </c>
      <c r="S179" s="31">
        <f t="shared" si="32"/>
        <v>0</v>
      </c>
      <c r="T179" s="1" t="str">
        <f t="shared" si="27"/>
        <v>caught</v>
      </c>
      <c r="U179" s="1" t="str">
        <f t="shared" si="28"/>
        <v>2</v>
      </c>
      <c r="V179" s="1" t="str">
        <f t="shared" si="29"/>
        <v xml:space="preserve"> South Africa</v>
      </c>
      <c r="W179" s="1" t="str">
        <f t="shared" si="30"/>
        <v>Cape Town</v>
      </c>
      <c r="X179" s="1" t="str">
        <f t="shared" si="31"/>
        <v>Yes</v>
      </c>
      <c r="Y179" s="1"/>
    </row>
    <row r="180" spans="1:25" ht="14.25" customHeight="1">
      <c r="A180" s="1"/>
      <c r="B180" s="1">
        <v>162</v>
      </c>
      <c r="C180" s="1" t="s">
        <v>199</v>
      </c>
      <c r="D180" s="1" t="s">
        <v>129</v>
      </c>
      <c r="E180" s="1" t="s">
        <v>148</v>
      </c>
      <c r="F180" s="1" t="s">
        <v>131</v>
      </c>
      <c r="G180" s="1" t="s">
        <v>145</v>
      </c>
      <c r="H180" s="1" t="s">
        <v>24</v>
      </c>
      <c r="I180" s="1" t="s">
        <v>151</v>
      </c>
      <c r="J180" s="1" t="s">
        <v>191</v>
      </c>
      <c r="K180" s="1" t="s">
        <v>71</v>
      </c>
      <c r="L180" s="1"/>
      <c r="M180" s="1"/>
      <c r="N180" s="1" t="str">
        <f t="shared" si="24"/>
        <v>No</v>
      </c>
      <c r="O180" s="1">
        <f t="shared" si="25"/>
        <v>18</v>
      </c>
      <c r="P180" s="1">
        <f t="shared" si="26"/>
        <v>22</v>
      </c>
      <c r="Q180" s="1">
        <f t="shared" si="32"/>
        <v>3</v>
      </c>
      <c r="R180" s="1">
        <f t="shared" si="32"/>
        <v>0</v>
      </c>
      <c r="S180" s="31">
        <f t="shared" si="32"/>
        <v>81.81</v>
      </c>
      <c r="T180" s="1" t="str">
        <f t="shared" si="27"/>
        <v>caught</v>
      </c>
      <c r="U180" s="1" t="str">
        <f t="shared" si="28"/>
        <v>2</v>
      </c>
      <c r="V180" s="1" t="str">
        <f t="shared" si="29"/>
        <v xml:space="preserve"> South Africa</v>
      </c>
      <c r="W180" s="1" t="str">
        <f t="shared" si="30"/>
        <v>Gqeberha</v>
      </c>
      <c r="X180" s="1" t="str">
        <f t="shared" si="31"/>
        <v>Yes</v>
      </c>
      <c r="Y180" s="1"/>
    </row>
    <row r="181" spans="1:25" ht="14.25" customHeight="1">
      <c r="A181" s="1"/>
      <c r="B181" s="1">
        <v>163</v>
      </c>
      <c r="C181" s="1" t="s">
        <v>176</v>
      </c>
      <c r="D181" s="1" t="s">
        <v>129</v>
      </c>
      <c r="E181" s="1" t="s">
        <v>151</v>
      </c>
      <c r="F181" s="1" t="s">
        <v>131</v>
      </c>
      <c r="G181" s="1" t="s">
        <v>204</v>
      </c>
      <c r="H181" s="1" t="s">
        <v>24</v>
      </c>
      <c r="I181" s="1" t="s">
        <v>130</v>
      </c>
      <c r="J181" s="1" t="s">
        <v>191</v>
      </c>
      <c r="K181" s="1" t="s">
        <v>36</v>
      </c>
      <c r="L181" s="1"/>
      <c r="M181" s="1"/>
      <c r="N181" s="1" t="str">
        <f t="shared" si="24"/>
        <v>No</v>
      </c>
      <c r="O181" s="1">
        <f t="shared" si="25"/>
        <v>11</v>
      </c>
      <c r="P181" s="1">
        <f t="shared" si="26"/>
        <v>22</v>
      </c>
      <c r="Q181" s="1">
        <f t="shared" si="32"/>
        <v>2</v>
      </c>
      <c r="R181" s="1">
        <f t="shared" si="32"/>
        <v>0</v>
      </c>
      <c r="S181" s="31">
        <f t="shared" si="32"/>
        <v>50</v>
      </c>
      <c r="T181" s="1" t="str">
        <f t="shared" si="27"/>
        <v>caught</v>
      </c>
      <c r="U181" s="1" t="str">
        <f t="shared" si="28"/>
        <v>1</v>
      </c>
      <c r="V181" s="1" t="str">
        <f t="shared" si="29"/>
        <v xml:space="preserve"> South Africa</v>
      </c>
      <c r="W181" s="1" t="str">
        <f t="shared" si="30"/>
        <v>Centurion</v>
      </c>
      <c r="X181" s="1" t="str">
        <f t="shared" si="31"/>
        <v>Yes</v>
      </c>
      <c r="Y181" s="1"/>
    </row>
    <row r="182" spans="1:25" ht="14.25" customHeight="1">
      <c r="A182" s="1"/>
      <c r="B182" s="1">
        <v>164</v>
      </c>
      <c r="C182" s="1" t="s">
        <v>38</v>
      </c>
      <c r="D182" s="1" t="s">
        <v>157</v>
      </c>
      <c r="E182" s="1" t="s">
        <v>157</v>
      </c>
      <c r="F182" s="1" t="s">
        <v>157</v>
      </c>
      <c r="G182" s="1" t="s">
        <v>157</v>
      </c>
      <c r="H182" s="1" t="s">
        <v>157</v>
      </c>
      <c r="I182" s="1" t="s">
        <v>157</v>
      </c>
      <c r="J182" s="1" t="s">
        <v>133</v>
      </c>
      <c r="K182" s="1" t="s">
        <v>51</v>
      </c>
      <c r="L182" s="1"/>
      <c r="M182" s="1"/>
      <c r="N182" s="1" t="str">
        <f t="shared" si="24"/>
        <v>Yes</v>
      </c>
      <c r="O182" s="1" t="str">
        <f t="shared" si="25"/>
        <v>NA</v>
      </c>
      <c r="P182" s="1" t="str">
        <f t="shared" si="26"/>
        <v>NA</v>
      </c>
      <c r="Q182" s="1" t="str">
        <f t="shared" si="32"/>
        <v>NA</v>
      </c>
      <c r="R182" s="1" t="str">
        <f t="shared" si="32"/>
        <v>NA</v>
      </c>
      <c r="S182" s="31" t="str">
        <f t="shared" si="32"/>
        <v>NA</v>
      </c>
      <c r="T182" s="1" t="str">
        <f t="shared" si="27"/>
        <v>NA</v>
      </c>
      <c r="U182" s="1" t="str">
        <f t="shared" si="28"/>
        <v>-</v>
      </c>
      <c r="V182" s="1" t="str">
        <f t="shared" si="29"/>
        <v xml:space="preserve"> Sri Lanka</v>
      </c>
      <c r="W182" s="1" t="str">
        <f t="shared" si="30"/>
        <v>Eden Gardens</v>
      </c>
      <c r="X182" s="1" t="str">
        <f t="shared" si="31"/>
        <v>No</v>
      </c>
      <c r="Y182" s="1"/>
    </row>
    <row r="183" spans="1:25" ht="14.25" customHeight="1">
      <c r="A183" s="1"/>
      <c r="B183" s="1">
        <v>165</v>
      </c>
      <c r="C183" s="1" t="s">
        <v>170</v>
      </c>
      <c r="D183" s="1" t="s">
        <v>304</v>
      </c>
      <c r="E183" s="1" t="s">
        <v>148</v>
      </c>
      <c r="F183" s="1" t="s">
        <v>131</v>
      </c>
      <c r="G183" s="1" t="s">
        <v>1292</v>
      </c>
      <c r="H183" s="1" t="s">
        <v>24</v>
      </c>
      <c r="I183" s="1" t="s">
        <v>151</v>
      </c>
      <c r="J183" s="1" t="s">
        <v>133</v>
      </c>
      <c r="K183" s="1" t="s">
        <v>48</v>
      </c>
      <c r="L183" s="1"/>
      <c r="M183" s="1"/>
      <c r="N183" s="1" t="str">
        <f t="shared" si="24"/>
        <v>No</v>
      </c>
      <c r="O183" s="1">
        <f t="shared" si="25"/>
        <v>19</v>
      </c>
      <c r="P183" s="1">
        <f t="shared" si="26"/>
        <v>23</v>
      </c>
      <c r="Q183" s="1">
        <f t="shared" si="32"/>
        <v>3</v>
      </c>
      <c r="R183" s="1">
        <f t="shared" si="32"/>
        <v>0</v>
      </c>
      <c r="S183" s="31">
        <f t="shared" si="32"/>
        <v>82.6</v>
      </c>
      <c r="T183" s="1" t="str">
        <f t="shared" si="27"/>
        <v>caught</v>
      </c>
      <c r="U183" s="1" t="str">
        <f t="shared" si="28"/>
        <v>2</v>
      </c>
      <c r="V183" s="1" t="str">
        <f t="shared" si="29"/>
        <v xml:space="preserve"> Sri Lanka</v>
      </c>
      <c r="W183" s="1" t="str">
        <f t="shared" si="30"/>
        <v>Rajkot</v>
      </c>
      <c r="X183" s="1" t="str">
        <f t="shared" si="31"/>
        <v>Yes</v>
      </c>
      <c r="Y183" s="1"/>
    </row>
    <row r="184" spans="1:25" ht="14.25" customHeight="1">
      <c r="A184" s="1"/>
      <c r="B184" s="1">
        <v>166</v>
      </c>
      <c r="C184" s="1" t="s">
        <v>128</v>
      </c>
      <c r="D184" s="1" t="s">
        <v>161</v>
      </c>
      <c r="E184" s="1" t="s">
        <v>148</v>
      </c>
      <c r="F184" s="1" t="s">
        <v>131</v>
      </c>
      <c r="G184" s="1" t="s">
        <v>502</v>
      </c>
      <c r="H184" s="1" t="s">
        <v>24</v>
      </c>
      <c r="I184" s="1" t="s">
        <v>151</v>
      </c>
      <c r="J184" s="1" t="s">
        <v>133</v>
      </c>
      <c r="K184" s="1" t="s">
        <v>573</v>
      </c>
      <c r="L184" s="1"/>
      <c r="M184" s="1"/>
      <c r="N184" s="1" t="str">
        <f t="shared" si="24"/>
        <v>No</v>
      </c>
      <c r="O184" s="1">
        <f t="shared" si="25"/>
        <v>12</v>
      </c>
      <c r="P184" s="1">
        <f t="shared" si="26"/>
        <v>9</v>
      </c>
      <c r="Q184" s="1">
        <f t="shared" si="32"/>
        <v>3</v>
      </c>
      <c r="R184" s="1">
        <f t="shared" si="32"/>
        <v>0</v>
      </c>
      <c r="S184" s="31">
        <f t="shared" si="32"/>
        <v>133.33000000000001</v>
      </c>
      <c r="T184" s="1" t="str">
        <f t="shared" si="27"/>
        <v>caught</v>
      </c>
      <c r="U184" s="1" t="str">
        <f t="shared" si="28"/>
        <v>2</v>
      </c>
      <c r="V184" s="1" t="str">
        <f t="shared" si="29"/>
        <v xml:space="preserve"> Sri Lanka</v>
      </c>
      <c r="W184" s="1" t="str">
        <f t="shared" si="30"/>
        <v>Margao</v>
      </c>
      <c r="X184" s="1" t="str">
        <f t="shared" si="31"/>
        <v>Yes</v>
      </c>
      <c r="Y184" s="1"/>
    </row>
    <row r="185" spans="1:25" ht="14.25" customHeight="1">
      <c r="A185" s="1"/>
      <c r="B185" s="1">
        <v>167</v>
      </c>
      <c r="C185" s="1" t="s">
        <v>147</v>
      </c>
      <c r="D185" s="1" t="s">
        <v>369</v>
      </c>
      <c r="E185" s="1" t="s">
        <v>144</v>
      </c>
      <c r="F185" s="1" t="s">
        <v>131</v>
      </c>
      <c r="G185" s="1" t="s">
        <v>896</v>
      </c>
      <c r="H185" s="1" t="s">
        <v>26</v>
      </c>
      <c r="I185" s="1" t="s">
        <v>151</v>
      </c>
      <c r="J185" s="1" t="s">
        <v>133</v>
      </c>
      <c r="K185" s="1" t="s">
        <v>65</v>
      </c>
      <c r="L185" s="1"/>
      <c r="M185" s="1"/>
      <c r="N185" s="1" t="str">
        <f t="shared" si="24"/>
        <v>No</v>
      </c>
      <c r="O185" s="1">
        <f t="shared" si="25"/>
        <v>46</v>
      </c>
      <c r="P185" s="1">
        <f t="shared" si="26"/>
        <v>44</v>
      </c>
      <c r="Q185" s="1">
        <f t="shared" si="32"/>
        <v>7</v>
      </c>
      <c r="R185" s="1">
        <f t="shared" si="32"/>
        <v>0</v>
      </c>
      <c r="S185" s="31">
        <f t="shared" si="32"/>
        <v>104.54</v>
      </c>
      <c r="T185" s="1" t="str">
        <f t="shared" si="27"/>
        <v>run out</v>
      </c>
      <c r="U185" s="1" t="str">
        <f t="shared" si="28"/>
        <v>2</v>
      </c>
      <c r="V185" s="1" t="str">
        <f t="shared" si="29"/>
        <v xml:space="preserve"> Sri Lanka</v>
      </c>
      <c r="W185" s="1" t="str">
        <f t="shared" si="30"/>
        <v>Visakhapatnam</v>
      </c>
      <c r="X185" s="1" t="str">
        <f t="shared" si="31"/>
        <v>Yes</v>
      </c>
      <c r="Y185" s="1"/>
    </row>
    <row r="186" spans="1:25" ht="14.25" customHeight="1">
      <c r="A186" s="1"/>
      <c r="B186" s="1">
        <v>168</v>
      </c>
      <c r="C186" s="1" t="s">
        <v>151</v>
      </c>
      <c r="D186" s="1" t="s">
        <v>136</v>
      </c>
      <c r="E186" s="1" t="s">
        <v>131</v>
      </c>
      <c r="F186" s="1" t="s">
        <v>131</v>
      </c>
      <c r="G186" s="1" t="s">
        <v>229</v>
      </c>
      <c r="H186" s="1" t="s">
        <v>29</v>
      </c>
      <c r="I186" s="1" t="s">
        <v>130</v>
      </c>
      <c r="J186" s="1" t="s">
        <v>182</v>
      </c>
      <c r="K186" s="1" t="s">
        <v>76</v>
      </c>
      <c r="L186" s="1"/>
      <c r="M186" s="1"/>
      <c r="N186" s="1" t="str">
        <f t="shared" si="24"/>
        <v>No</v>
      </c>
      <c r="O186" s="1">
        <f t="shared" si="25"/>
        <v>2</v>
      </c>
      <c r="P186" s="1">
        <f t="shared" si="26"/>
        <v>6</v>
      </c>
      <c r="Q186" s="1">
        <f t="shared" si="32"/>
        <v>0</v>
      </c>
      <c r="R186" s="1">
        <f t="shared" si="32"/>
        <v>0</v>
      </c>
      <c r="S186" s="31">
        <f t="shared" si="32"/>
        <v>33.33</v>
      </c>
      <c r="T186" s="1" t="str">
        <f t="shared" si="27"/>
        <v>bowled</v>
      </c>
      <c r="U186" s="1" t="str">
        <f t="shared" si="28"/>
        <v>1</v>
      </c>
      <c r="V186" s="1" t="str">
        <f t="shared" si="29"/>
        <v xml:space="preserve"> Bangladesh</v>
      </c>
      <c r="W186" s="1" t="str">
        <f t="shared" si="30"/>
        <v>Port of Spain</v>
      </c>
      <c r="X186" s="1" t="str">
        <f t="shared" si="31"/>
        <v>Yes</v>
      </c>
      <c r="Y186" s="1"/>
    </row>
    <row r="187" spans="1:25" ht="14.25" customHeight="1">
      <c r="A187" s="1"/>
      <c r="B187" s="1">
        <v>169</v>
      </c>
      <c r="C187" s="1" t="s">
        <v>175</v>
      </c>
      <c r="D187" s="1" t="s">
        <v>421</v>
      </c>
      <c r="E187" s="1" t="s">
        <v>306</v>
      </c>
      <c r="F187" s="1" t="s">
        <v>148</v>
      </c>
      <c r="G187" s="1" t="s">
        <v>928</v>
      </c>
      <c r="H187" s="1" t="s">
        <v>24</v>
      </c>
      <c r="I187" s="1" t="s">
        <v>130</v>
      </c>
      <c r="J187" s="1" t="s">
        <v>601</v>
      </c>
      <c r="K187" s="1" t="s">
        <v>76</v>
      </c>
      <c r="L187" s="1"/>
      <c r="M187" s="1"/>
      <c r="N187" s="1" t="str">
        <f t="shared" si="24"/>
        <v>No</v>
      </c>
      <c r="O187" s="1">
        <f t="shared" si="25"/>
        <v>114</v>
      </c>
      <c r="P187" s="1">
        <f t="shared" si="26"/>
        <v>87</v>
      </c>
      <c r="Q187" s="1">
        <f t="shared" si="32"/>
        <v>17</v>
      </c>
      <c r="R187" s="1">
        <f t="shared" si="32"/>
        <v>3</v>
      </c>
      <c r="S187" s="31">
        <f t="shared" si="32"/>
        <v>131.03</v>
      </c>
      <c r="T187" s="1" t="str">
        <f t="shared" si="27"/>
        <v>caught</v>
      </c>
      <c r="U187" s="1" t="str">
        <f t="shared" si="28"/>
        <v>1</v>
      </c>
      <c r="V187" s="1" t="str">
        <f t="shared" si="29"/>
        <v xml:space="preserve"> Bermuda</v>
      </c>
      <c r="W187" s="1" t="str">
        <f t="shared" si="30"/>
        <v>Port of Spain</v>
      </c>
      <c r="X187" s="1" t="str">
        <f t="shared" si="31"/>
        <v>Yes</v>
      </c>
      <c r="Y187" s="1"/>
    </row>
    <row r="188" spans="1:25" ht="14.25" customHeight="1">
      <c r="A188" s="1"/>
      <c r="B188" s="1">
        <v>170</v>
      </c>
      <c r="C188" s="1" t="s">
        <v>355</v>
      </c>
      <c r="D188" s="1" t="s">
        <v>147</v>
      </c>
      <c r="E188" s="1" t="s">
        <v>202</v>
      </c>
      <c r="F188" s="1" t="s">
        <v>130</v>
      </c>
      <c r="G188" s="1" t="s">
        <v>635</v>
      </c>
      <c r="H188" s="1" t="s">
        <v>24</v>
      </c>
      <c r="I188" s="1" t="s">
        <v>151</v>
      </c>
      <c r="J188" s="1" t="s">
        <v>133</v>
      </c>
      <c r="K188" s="1" t="s">
        <v>76</v>
      </c>
      <c r="L188" s="1"/>
      <c r="M188" s="1"/>
      <c r="N188" s="1" t="str">
        <f t="shared" si="24"/>
        <v>No</v>
      </c>
      <c r="O188" s="1">
        <f t="shared" si="25"/>
        <v>48</v>
      </c>
      <c r="P188" s="1">
        <f t="shared" si="26"/>
        <v>46</v>
      </c>
      <c r="Q188" s="1">
        <f t="shared" si="32"/>
        <v>5</v>
      </c>
      <c r="R188" s="1">
        <f t="shared" si="32"/>
        <v>1</v>
      </c>
      <c r="S188" s="31">
        <f t="shared" si="32"/>
        <v>104.34</v>
      </c>
      <c r="T188" s="1" t="str">
        <f t="shared" si="27"/>
        <v>caught</v>
      </c>
      <c r="U188" s="1" t="str">
        <f t="shared" si="28"/>
        <v>2</v>
      </c>
      <c r="V188" s="1" t="str">
        <f t="shared" si="29"/>
        <v xml:space="preserve"> Sri Lanka</v>
      </c>
      <c r="W188" s="1" t="str">
        <f t="shared" si="30"/>
        <v>Port of Spain</v>
      </c>
      <c r="X188" s="1" t="str">
        <f t="shared" si="31"/>
        <v>Yes</v>
      </c>
      <c r="Y188" s="1"/>
    </row>
    <row r="189" spans="1:25" ht="14.25" customHeight="1">
      <c r="A189" s="1"/>
      <c r="B189" s="1">
        <v>171</v>
      </c>
      <c r="C189" s="1" t="s">
        <v>164</v>
      </c>
      <c r="D189" s="1" t="s">
        <v>246</v>
      </c>
      <c r="E189" s="1" t="s">
        <v>144</v>
      </c>
      <c r="F189" s="1" t="s">
        <v>131</v>
      </c>
      <c r="G189" s="1" t="s">
        <v>621</v>
      </c>
      <c r="H189" s="1" t="s">
        <v>24</v>
      </c>
      <c r="I189" s="1" t="s">
        <v>151</v>
      </c>
      <c r="J189" s="1" t="s">
        <v>182</v>
      </c>
      <c r="K189" s="1" t="s">
        <v>53</v>
      </c>
      <c r="L189" s="1"/>
      <c r="M189" s="1"/>
      <c r="N189" s="1" t="str">
        <f t="shared" si="24"/>
        <v>No</v>
      </c>
      <c r="O189" s="1">
        <f t="shared" si="25"/>
        <v>30</v>
      </c>
      <c r="P189" s="1">
        <f t="shared" si="26"/>
        <v>21</v>
      </c>
      <c r="Q189" s="1">
        <f t="shared" si="32"/>
        <v>7</v>
      </c>
      <c r="R189" s="1">
        <f t="shared" si="32"/>
        <v>0</v>
      </c>
      <c r="S189" s="31">
        <f t="shared" si="32"/>
        <v>142.85</v>
      </c>
      <c r="T189" s="1" t="str">
        <f t="shared" si="27"/>
        <v>caught</v>
      </c>
      <c r="U189" s="1" t="str">
        <f t="shared" si="28"/>
        <v>2</v>
      </c>
      <c r="V189" s="1" t="str">
        <f t="shared" si="29"/>
        <v xml:space="preserve"> Bangladesh</v>
      </c>
      <c r="W189" s="1" t="str">
        <f t="shared" si="30"/>
        <v>Mirpur</v>
      </c>
      <c r="X189" s="1" t="str">
        <f t="shared" si="31"/>
        <v>Yes</v>
      </c>
      <c r="Y189" s="1"/>
    </row>
    <row r="190" spans="1:25" ht="14.25" customHeight="1">
      <c r="A190" s="1"/>
      <c r="B190" s="1">
        <v>172</v>
      </c>
      <c r="C190" s="1" t="s">
        <v>246</v>
      </c>
      <c r="D190" s="1" t="s">
        <v>313</v>
      </c>
      <c r="E190" s="1" t="s">
        <v>130</v>
      </c>
      <c r="F190" s="1" t="s">
        <v>130</v>
      </c>
      <c r="G190" s="1" t="s">
        <v>490</v>
      </c>
      <c r="H190" s="1" t="s">
        <v>24</v>
      </c>
      <c r="I190" s="1" t="s">
        <v>130</v>
      </c>
      <c r="J190" s="1" t="s">
        <v>182</v>
      </c>
      <c r="K190" s="1" t="s">
        <v>53</v>
      </c>
      <c r="L190" s="1"/>
      <c r="M190" s="1"/>
      <c r="N190" s="1" t="str">
        <f t="shared" si="24"/>
        <v>No</v>
      </c>
      <c r="O190" s="1">
        <f t="shared" si="25"/>
        <v>21</v>
      </c>
      <c r="P190" s="1">
        <f t="shared" si="26"/>
        <v>26</v>
      </c>
      <c r="Q190" s="1">
        <f t="shared" si="32"/>
        <v>1</v>
      </c>
      <c r="R190" s="1">
        <f t="shared" si="32"/>
        <v>1</v>
      </c>
      <c r="S190" s="31">
        <f t="shared" si="32"/>
        <v>80.760000000000005</v>
      </c>
      <c r="T190" s="1" t="str">
        <f t="shared" si="27"/>
        <v>caught</v>
      </c>
      <c r="U190" s="1" t="str">
        <f t="shared" si="28"/>
        <v>1</v>
      </c>
      <c r="V190" s="1" t="str">
        <f t="shared" si="29"/>
        <v xml:space="preserve"> Bangladesh</v>
      </c>
      <c r="W190" s="1" t="str">
        <f t="shared" si="30"/>
        <v>Mirpur</v>
      </c>
      <c r="X190" s="1" t="str">
        <f t="shared" si="31"/>
        <v>Yes</v>
      </c>
      <c r="Y190" s="1"/>
    </row>
    <row r="191" spans="1:25" ht="14.25" customHeight="1">
      <c r="A191" s="1"/>
      <c r="B191" s="1">
        <v>173</v>
      </c>
      <c r="C191" s="1" t="s">
        <v>405</v>
      </c>
      <c r="D191" s="1" t="s">
        <v>386</v>
      </c>
      <c r="E191" s="1" t="s">
        <v>144</v>
      </c>
      <c r="F191" s="1" t="s">
        <v>130</v>
      </c>
      <c r="G191" s="1" t="s">
        <v>1013</v>
      </c>
      <c r="H191" s="1" t="s">
        <v>29</v>
      </c>
      <c r="I191" s="1" t="s">
        <v>130</v>
      </c>
      <c r="J191" s="1" t="s">
        <v>604</v>
      </c>
      <c r="K191" s="1" t="s">
        <v>67</v>
      </c>
      <c r="L191" s="1"/>
      <c r="M191" s="1"/>
      <c r="N191" s="1" t="str">
        <f t="shared" si="24"/>
        <v>No</v>
      </c>
      <c r="O191" s="1">
        <f t="shared" si="25"/>
        <v>45</v>
      </c>
      <c r="P191" s="1">
        <f t="shared" si="26"/>
        <v>42</v>
      </c>
      <c r="Q191" s="1">
        <f t="shared" si="32"/>
        <v>7</v>
      </c>
      <c r="R191" s="1">
        <f t="shared" si="32"/>
        <v>1</v>
      </c>
      <c r="S191" s="31">
        <f t="shared" si="32"/>
        <v>107.14</v>
      </c>
      <c r="T191" s="1" t="str">
        <f t="shared" si="27"/>
        <v>bowled</v>
      </c>
      <c r="U191" s="1" t="str">
        <f t="shared" si="28"/>
        <v>1</v>
      </c>
      <c r="V191" s="1" t="str">
        <f t="shared" si="29"/>
        <v xml:space="preserve"> Africa XI</v>
      </c>
      <c r="W191" s="1" t="str">
        <f t="shared" si="30"/>
        <v>Bengaluru</v>
      </c>
      <c r="X191" s="1" t="str">
        <f t="shared" si="31"/>
        <v>Yes</v>
      </c>
      <c r="Y191" s="1"/>
    </row>
    <row r="192" spans="1:25" ht="14.25" customHeight="1">
      <c r="A192" s="1"/>
      <c r="B192" s="1">
        <v>174</v>
      </c>
      <c r="C192" s="1" t="s">
        <v>327</v>
      </c>
      <c r="D192" s="1" t="s">
        <v>139</v>
      </c>
      <c r="E192" s="1" t="s">
        <v>189</v>
      </c>
      <c r="F192" s="1" t="s">
        <v>130</v>
      </c>
      <c r="G192" s="1" t="s">
        <v>1293</v>
      </c>
      <c r="H192" s="1" t="s">
        <v>24</v>
      </c>
      <c r="I192" s="1" t="s">
        <v>130</v>
      </c>
      <c r="J192" s="1" t="s">
        <v>604</v>
      </c>
      <c r="K192" s="1" t="s">
        <v>68</v>
      </c>
      <c r="L192" s="1"/>
      <c r="M192" s="1"/>
      <c r="N192" s="1" t="str">
        <f t="shared" si="24"/>
        <v>No</v>
      </c>
      <c r="O192" s="1">
        <f t="shared" si="25"/>
        <v>52</v>
      </c>
      <c r="P192" s="1">
        <f t="shared" si="26"/>
        <v>38</v>
      </c>
      <c r="Q192" s="1">
        <f t="shared" si="32"/>
        <v>8</v>
      </c>
      <c r="R192" s="1">
        <f t="shared" si="32"/>
        <v>1</v>
      </c>
      <c r="S192" s="31">
        <f t="shared" si="32"/>
        <v>136.84</v>
      </c>
      <c r="T192" s="1" t="str">
        <f t="shared" si="27"/>
        <v>caught</v>
      </c>
      <c r="U192" s="1" t="str">
        <f t="shared" si="28"/>
        <v>1</v>
      </c>
      <c r="V192" s="1" t="str">
        <f t="shared" si="29"/>
        <v xml:space="preserve"> Africa XI</v>
      </c>
      <c r="W192" s="1" t="str">
        <f t="shared" si="30"/>
        <v>Chennai</v>
      </c>
      <c r="X192" s="1" t="str">
        <f t="shared" si="31"/>
        <v>Yes</v>
      </c>
      <c r="Y192" s="1"/>
    </row>
    <row r="193" spans="1:25" ht="14.25" customHeight="1">
      <c r="A193" s="1"/>
      <c r="B193" s="1">
        <v>175</v>
      </c>
      <c r="C193" s="1" t="s">
        <v>189</v>
      </c>
      <c r="D193" s="1" t="s">
        <v>189</v>
      </c>
      <c r="E193" s="1" t="s">
        <v>151</v>
      </c>
      <c r="F193" s="1" t="s">
        <v>131</v>
      </c>
      <c r="G193" s="1" t="s">
        <v>152</v>
      </c>
      <c r="H193" s="1" t="s">
        <v>24</v>
      </c>
      <c r="I193" s="1" t="s">
        <v>130</v>
      </c>
      <c r="J193" s="1" t="s">
        <v>604</v>
      </c>
      <c r="K193" s="1" t="s">
        <v>68</v>
      </c>
      <c r="L193" s="1"/>
      <c r="M193" s="1"/>
      <c r="N193" s="1" t="str">
        <f t="shared" si="24"/>
        <v>No</v>
      </c>
      <c r="O193" s="1">
        <f t="shared" si="25"/>
        <v>8</v>
      </c>
      <c r="P193" s="1">
        <f t="shared" si="26"/>
        <v>8</v>
      </c>
      <c r="Q193" s="1">
        <f t="shared" si="32"/>
        <v>2</v>
      </c>
      <c r="R193" s="1">
        <f t="shared" si="32"/>
        <v>0</v>
      </c>
      <c r="S193" s="31">
        <f t="shared" si="32"/>
        <v>100</v>
      </c>
      <c r="T193" s="1" t="str">
        <f t="shared" si="27"/>
        <v>caught</v>
      </c>
      <c r="U193" s="1" t="str">
        <f t="shared" si="28"/>
        <v>1</v>
      </c>
      <c r="V193" s="1" t="str">
        <f t="shared" si="29"/>
        <v xml:space="preserve"> Africa XI</v>
      </c>
      <c r="W193" s="1" t="str">
        <f t="shared" si="30"/>
        <v>Chennai</v>
      </c>
      <c r="X193" s="1" t="str">
        <f t="shared" si="31"/>
        <v>Yes</v>
      </c>
      <c r="Y193" s="1"/>
    </row>
    <row r="194" spans="1:25" ht="14.25" customHeight="1">
      <c r="A194" s="1"/>
      <c r="B194" s="1">
        <v>176</v>
      </c>
      <c r="C194" s="1" t="s">
        <v>138</v>
      </c>
      <c r="D194" s="1" t="s">
        <v>146</v>
      </c>
      <c r="E194" s="1" t="s">
        <v>130</v>
      </c>
      <c r="F194" s="1" t="s">
        <v>131</v>
      </c>
      <c r="G194" s="1" t="s">
        <v>1294</v>
      </c>
      <c r="H194" s="1" t="s">
        <v>29</v>
      </c>
      <c r="I194" s="1" t="s">
        <v>130</v>
      </c>
      <c r="J194" s="1" t="s">
        <v>156</v>
      </c>
      <c r="K194" s="1" t="s">
        <v>46</v>
      </c>
      <c r="L194" s="1"/>
      <c r="M194" s="1"/>
      <c r="N194" s="1" t="str">
        <f t="shared" si="24"/>
        <v>No</v>
      </c>
      <c r="O194" s="1">
        <f t="shared" si="25"/>
        <v>25</v>
      </c>
      <c r="P194" s="1">
        <f t="shared" si="26"/>
        <v>31</v>
      </c>
      <c r="Q194" s="1">
        <f t="shared" si="32"/>
        <v>1</v>
      </c>
      <c r="R194" s="1">
        <f t="shared" si="32"/>
        <v>0</v>
      </c>
      <c r="S194" s="31">
        <f t="shared" si="32"/>
        <v>80.64</v>
      </c>
      <c r="T194" s="1" t="str">
        <f t="shared" si="27"/>
        <v>bowled</v>
      </c>
      <c r="U194" s="1" t="str">
        <f t="shared" si="28"/>
        <v>1</v>
      </c>
      <c r="V194" s="1" t="str">
        <f t="shared" si="29"/>
        <v xml:space="preserve"> Pakistan</v>
      </c>
      <c r="W194" s="1" t="str">
        <f t="shared" si="30"/>
        <v>Mohali</v>
      </c>
      <c r="X194" s="1" t="str">
        <f t="shared" si="31"/>
        <v>Yes</v>
      </c>
      <c r="Y194" s="1"/>
    </row>
    <row r="195" spans="1:25" ht="14.25" customHeight="1">
      <c r="A195" s="1"/>
      <c r="B195" s="1">
        <v>177</v>
      </c>
      <c r="C195" s="1" t="s">
        <v>321</v>
      </c>
      <c r="D195" s="1" t="s">
        <v>249</v>
      </c>
      <c r="E195" s="1" t="s">
        <v>140</v>
      </c>
      <c r="F195" s="1" t="s">
        <v>130</v>
      </c>
      <c r="G195" s="1" t="s">
        <v>1204</v>
      </c>
      <c r="H195" s="1" t="s">
        <v>26</v>
      </c>
      <c r="I195" s="1" t="s">
        <v>151</v>
      </c>
      <c r="J195" s="1" t="s">
        <v>156</v>
      </c>
      <c r="K195" s="1" t="s">
        <v>58</v>
      </c>
      <c r="L195" s="1"/>
      <c r="M195" s="1"/>
      <c r="N195" s="1" t="str">
        <f t="shared" si="24"/>
        <v>No</v>
      </c>
      <c r="O195" s="1">
        <f t="shared" si="25"/>
        <v>43</v>
      </c>
      <c r="P195" s="1">
        <f t="shared" si="26"/>
        <v>49</v>
      </c>
      <c r="Q195" s="1">
        <f t="shared" si="32"/>
        <v>4</v>
      </c>
      <c r="R195" s="1">
        <f t="shared" si="32"/>
        <v>1</v>
      </c>
      <c r="S195" s="31">
        <f t="shared" si="32"/>
        <v>87.75</v>
      </c>
      <c r="T195" s="1" t="str">
        <f t="shared" si="27"/>
        <v>run out</v>
      </c>
      <c r="U195" s="1" t="str">
        <f t="shared" si="28"/>
        <v>2</v>
      </c>
      <c r="V195" s="1" t="str">
        <f t="shared" si="29"/>
        <v xml:space="preserve"> Pakistan</v>
      </c>
      <c r="W195" s="1" t="str">
        <f t="shared" si="30"/>
        <v>Gwalior</v>
      </c>
      <c r="X195" s="1" t="str">
        <f t="shared" si="31"/>
        <v>Yes</v>
      </c>
      <c r="Y195" s="1"/>
    </row>
    <row r="196" spans="1:25" ht="14.25" customHeight="1">
      <c r="A196" s="1"/>
      <c r="B196" s="1">
        <v>178</v>
      </c>
      <c r="C196" s="1" t="s">
        <v>167</v>
      </c>
      <c r="D196" s="1" t="s">
        <v>325</v>
      </c>
      <c r="E196" s="1" t="s">
        <v>130</v>
      </c>
      <c r="F196" s="1" t="s">
        <v>131</v>
      </c>
      <c r="G196" s="1" t="s">
        <v>575</v>
      </c>
      <c r="H196" s="1" t="s">
        <v>24</v>
      </c>
      <c r="I196" s="1" t="s">
        <v>151</v>
      </c>
      <c r="J196" s="1" t="s">
        <v>156</v>
      </c>
      <c r="K196" s="1" t="s">
        <v>56</v>
      </c>
      <c r="L196" s="1"/>
      <c r="M196" s="1"/>
      <c r="N196" s="1" t="str">
        <f t="shared" si="24"/>
        <v>No</v>
      </c>
      <c r="O196" s="1">
        <f t="shared" si="25"/>
        <v>10</v>
      </c>
      <c r="P196" s="1">
        <f t="shared" si="26"/>
        <v>13</v>
      </c>
      <c r="Q196" s="1">
        <f t="shared" si="32"/>
        <v>1</v>
      </c>
      <c r="R196" s="1">
        <f t="shared" si="32"/>
        <v>0</v>
      </c>
      <c r="S196" s="31">
        <f t="shared" si="32"/>
        <v>76.92</v>
      </c>
      <c r="T196" s="1" t="str">
        <f t="shared" si="27"/>
        <v>caught</v>
      </c>
      <c r="U196" s="1" t="str">
        <f t="shared" si="28"/>
        <v>2</v>
      </c>
      <c r="V196" s="1" t="str">
        <f t="shared" si="29"/>
        <v xml:space="preserve"> Pakistan</v>
      </c>
      <c r="W196" s="1" t="str">
        <f t="shared" si="30"/>
        <v>Jaipur</v>
      </c>
      <c r="X196" s="1" t="str">
        <f t="shared" si="31"/>
        <v>Yes</v>
      </c>
      <c r="Y196" s="1"/>
    </row>
    <row r="197" spans="1:25" ht="14.25" customHeight="1">
      <c r="A197" s="1"/>
      <c r="B197" s="1">
        <v>179</v>
      </c>
      <c r="C197" s="1" t="s">
        <v>136</v>
      </c>
      <c r="D197" s="1" t="s">
        <v>189</v>
      </c>
      <c r="E197" s="1" t="s">
        <v>130</v>
      </c>
      <c r="F197" s="1" t="s">
        <v>131</v>
      </c>
      <c r="G197" s="1" t="s">
        <v>178</v>
      </c>
      <c r="H197" s="1" t="s">
        <v>29</v>
      </c>
      <c r="I197" s="1" t="s">
        <v>130</v>
      </c>
      <c r="J197" s="1" t="s">
        <v>158</v>
      </c>
      <c r="K197" s="1" t="s">
        <v>91</v>
      </c>
      <c r="L197" s="1"/>
      <c r="M197" s="1"/>
      <c r="N197" s="1" t="str">
        <f t="shared" si="24"/>
        <v>No</v>
      </c>
      <c r="O197" s="1">
        <f t="shared" si="25"/>
        <v>6</v>
      </c>
      <c r="P197" s="1">
        <f t="shared" si="26"/>
        <v>8</v>
      </c>
      <c r="Q197" s="1">
        <f t="shared" si="32"/>
        <v>1</v>
      </c>
      <c r="R197" s="1">
        <f t="shared" si="32"/>
        <v>0</v>
      </c>
      <c r="S197" s="31">
        <f t="shared" si="32"/>
        <v>75</v>
      </c>
      <c r="T197" s="1" t="str">
        <f t="shared" si="27"/>
        <v>bowled</v>
      </c>
      <c r="U197" s="1" t="str">
        <f t="shared" si="28"/>
        <v>1</v>
      </c>
      <c r="V197" s="1" t="str">
        <f t="shared" si="29"/>
        <v xml:space="preserve"> Australia</v>
      </c>
      <c r="W197" s="1" t="str">
        <f t="shared" si="30"/>
        <v>Brisbane</v>
      </c>
      <c r="X197" s="1" t="str">
        <f t="shared" si="31"/>
        <v>Yes</v>
      </c>
      <c r="Y197" s="1"/>
    </row>
    <row r="198" spans="1:25" ht="14.25" customHeight="1">
      <c r="A198" s="1"/>
      <c r="B198" s="1">
        <v>180</v>
      </c>
      <c r="C198" s="1" t="s">
        <v>244</v>
      </c>
      <c r="D198" s="1" t="s">
        <v>436</v>
      </c>
      <c r="E198" s="1" t="s">
        <v>151</v>
      </c>
      <c r="F198" s="1" t="s">
        <v>130</v>
      </c>
      <c r="G198" s="1" t="s">
        <v>998</v>
      </c>
      <c r="H198" s="1" t="s">
        <v>24</v>
      </c>
      <c r="I198" s="1" t="s">
        <v>130</v>
      </c>
      <c r="J198" s="1" t="s">
        <v>133</v>
      </c>
      <c r="K198" s="1" t="s">
        <v>91</v>
      </c>
      <c r="L198" s="1"/>
      <c r="M198" s="1"/>
      <c r="N198" s="1" t="str">
        <f t="shared" si="24"/>
        <v>No</v>
      </c>
      <c r="O198" s="1">
        <f t="shared" si="25"/>
        <v>33</v>
      </c>
      <c r="P198" s="1">
        <f t="shared" si="26"/>
        <v>39</v>
      </c>
      <c r="Q198" s="1">
        <f t="shared" si="32"/>
        <v>2</v>
      </c>
      <c r="R198" s="1">
        <f t="shared" si="32"/>
        <v>1</v>
      </c>
      <c r="S198" s="31">
        <f t="shared" si="32"/>
        <v>84.61</v>
      </c>
      <c r="T198" s="1" t="str">
        <f t="shared" si="27"/>
        <v>caught</v>
      </c>
      <c r="U198" s="1" t="str">
        <f t="shared" si="28"/>
        <v>1</v>
      </c>
      <c r="V198" s="1" t="str">
        <f t="shared" si="29"/>
        <v xml:space="preserve"> Sri Lanka</v>
      </c>
      <c r="W198" s="1" t="str">
        <f t="shared" si="30"/>
        <v>Brisbane</v>
      </c>
      <c r="X198" s="1" t="str">
        <f t="shared" si="31"/>
        <v>Yes</v>
      </c>
      <c r="Y198" s="1"/>
    </row>
    <row r="199" spans="1:25" ht="14.25" customHeight="1">
      <c r="A199" s="1"/>
      <c r="B199" s="1">
        <v>181</v>
      </c>
      <c r="C199" s="1" t="s">
        <v>176</v>
      </c>
      <c r="D199" s="1" t="s">
        <v>170</v>
      </c>
      <c r="E199" s="1" t="s">
        <v>151</v>
      </c>
      <c r="F199" s="1" t="s">
        <v>131</v>
      </c>
      <c r="G199" s="1" t="s">
        <v>525</v>
      </c>
      <c r="H199" s="1" t="s">
        <v>19</v>
      </c>
      <c r="I199" s="1" t="s">
        <v>151</v>
      </c>
      <c r="J199" s="1" t="s">
        <v>158</v>
      </c>
      <c r="K199" s="1" t="s">
        <v>88</v>
      </c>
      <c r="L199" s="1"/>
      <c r="M199" s="1"/>
      <c r="N199" s="1" t="str">
        <f t="shared" si="24"/>
        <v>No</v>
      </c>
      <c r="O199" s="1">
        <f t="shared" si="25"/>
        <v>11</v>
      </c>
      <c r="P199" s="1">
        <f t="shared" si="26"/>
        <v>19</v>
      </c>
      <c r="Q199" s="1">
        <f t="shared" si="32"/>
        <v>2</v>
      </c>
      <c r="R199" s="1">
        <f t="shared" si="32"/>
        <v>0</v>
      </c>
      <c r="S199" s="31">
        <f t="shared" si="32"/>
        <v>57.89</v>
      </c>
      <c r="T199" s="1" t="str">
        <f t="shared" si="27"/>
        <v>lbw</v>
      </c>
      <c r="U199" s="1" t="str">
        <f t="shared" si="28"/>
        <v>2</v>
      </c>
      <c r="V199" s="1" t="str">
        <f t="shared" si="29"/>
        <v xml:space="preserve"> Australia</v>
      </c>
      <c r="W199" s="1" t="str">
        <f t="shared" si="30"/>
        <v>Melbourne</v>
      </c>
      <c r="X199" s="1" t="str">
        <f t="shared" si="31"/>
        <v>Yes</v>
      </c>
      <c r="Y199" s="1"/>
    </row>
    <row r="200" spans="1:25" ht="14.25" customHeight="1">
      <c r="A200" s="1"/>
      <c r="B200" s="1">
        <v>182</v>
      </c>
      <c r="C200" s="1" t="s">
        <v>205</v>
      </c>
      <c r="D200" s="1" t="s">
        <v>199</v>
      </c>
      <c r="E200" s="1" t="s">
        <v>151</v>
      </c>
      <c r="F200" s="1" t="s">
        <v>131</v>
      </c>
      <c r="G200" s="1" t="s">
        <v>286</v>
      </c>
      <c r="H200" s="1" t="s">
        <v>24</v>
      </c>
      <c r="I200" s="1" t="s">
        <v>130</v>
      </c>
      <c r="J200" s="1" t="s">
        <v>133</v>
      </c>
      <c r="K200" s="1" t="s">
        <v>111</v>
      </c>
      <c r="L200" s="1"/>
      <c r="M200" s="1"/>
      <c r="N200" s="1" t="str">
        <f t="shared" si="24"/>
        <v>No</v>
      </c>
      <c r="O200" s="1">
        <f t="shared" si="25"/>
        <v>14</v>
      </c>
      <c r="P200" s="1">
        <f t="shared" si="26"/>
        <v>18</v>
      </c>
      <c r="Q200" s="1">
        <f t="shared" si="32"/>
        <v>2</v>
      </c>
      <c r="R200" s="1">
        <f t="shared" si="32"/>
        <v>0</v>
      </c>
      <c r="S200" s="31">
        <f t="shared" si="32"/>
        <v>77.77</v>
      </c>
      <c r="T200" s="1" t="str">
        <f t="shared" si="27"/>
        <v>caught</v>
      </c>
      <c r="U200" s="1" t="str">
        <f t="shared" si="28"/>
        <v>1</v>
      </c>
      <c r="V200" s="1" t="str">
        <f t="shared" si="29"/>
        <v xml:space="preserve"> Sri Lanka</v>
      </c>
      <c r="W200" s="1" t="str">
        <f t="shared" si="30"/>
        <v>Canberra</v>
      </c>
      <c r="X200" s="1" t="str">
        <f t="shared" si="31"/>
        <v>Yes</v>
      </c>
      <c r="Y200" s="1"/>
    </row>
    <row r="201" spans="1:25" ht="14.25" customHeight="1">
      <c r="A201" s="1"/>
      <c r="B201" s="1">
        <v>183</v>
      </c>
      <c r="C201" s="1" t="s">
        <v>306</v>
      </c>
      <c r="D201" s="1" t="s">
        <v>170</v>
      </c>
      <c r="E201" s="1" t="s">
        <v>148</v>
      </c>
      <c r="F201" s="1" t="s">
        <v>131</v>
      </c>
      <c r="G201" s="1" t="s">
        <v>932</v>
      </c>
      <c r="H201" s="1" t="s">
        <v>24</v>
      </c>
      <c r="I201" s="1" t="s">
        <v>151</v>
      </c>
      <c r="J201" s="1" t="s">
        <v>158</v>
      </c>
      <c r="K201" s="1" t="s">
        <v>92</v>
      </c>
      <c r="L201" s="1"/>
      <c r="M201" s="1"/>
      <c r="N201" s="1" t="str">
        <f t="shared" si="24"/>
        <v>No</v>
      </c>
      <c r="O201" s="1">
        <f t="shared" si="25"/>
        <v>17</v>
      </c>
      <c r="P201" s="1">
        <f t="shared" si="26"/>
        <v>19</v>
      </c>
      <c r="Q201" s="1">
        <f t="shared" si="32"/>
        <v>3</v>
      </c>
      <c r="R201" s="1">
        <f t="shared" si="32"/>
        <v>0</v>
      </c>
      <c r="S201" s="31">
        <f t="shared" si="32"/>
        <v>89.47</v>
      </c>
      <c r="T201" s="1" t="str">
        <f t="shared" si="27"/>
        <v>caught</v>
      </c>
      <c r="U201" s="1" t="str">
        <f t="shared" si="28"/>
        <v>2</v>
      </c>
      <c r="V201" s="1" t="str">
        <f t="shared" si="29"/>
        <v xml:space="preserve"> Australia</v>
      </c>
      <c r="W201" s="1" t="str">
        <f t="shared" si="30"/>
        <v>Sydney</v>
      </c>
      <c r="X201" s="1" t="str">
        <f t="shared" si="31"/>
        <v>Yes</v>
      </c>
      <c r="Y201" s="1"/>
    </row>
    <row r="202" spans="1:25" ht="14.25" customHeight="1">
      <c r="A202" s="1"/>
      <c r="B202" s="1">
        <v>184</v>
      </c>
      <c r="C202" s="1" t="s">
        <v>486</v>
      </c>
      <c r="D202" s="1" t="s">
        <v>242</v>
      </c>
      <c r="E202" s="1" t="s">
        <v>325</v>
      </c>
      <c r="F202" s="1" t="s">
        <v>130</v>
      </c>
      <c r="G202" s="1" t="s">
        <v>1295</v>
      </c>
      <c r="H202" s="1" t="s">
        <v>24</v>
      </c>
      <c r="I202" s="1" t="s">
        <v>130</v>
      </c>
      <c r="J202" s="1" t="s">
        <v>156</v>
      </c>
      <c r="K202" s="1" t="s">
        <v>53</v>
      </c>
      <c r="L202" s="1"/>
      <c r="M202" s="1"/>
      <c r="N202" s="1" t="str">
        <f t="shared" si="24"/>
        <v>No</v>
      </c>
      <c r="O202" s="1">
        <f t="shared" si="25"/>
        <v>89</v>
      </c>
      <c r="P202" s="1">
        <f t="shared" si="26"/>
        <v>76</v>
      </c>
      <c r="Q202" s="1">
        <f t="shared" si="32"/>
        <v>13</v>
      </c>
      <c r="R202" s="1">
        <f t="shared" si="32"/>
        <v>1</v>
      </c>
      <c r="S202" s="31">
        <f t="shared" si="32"/>
        <v>117.1</v>
      </c>
      <c r="T202" s="1" t="str">
        <f t="shared" si="27"/>
        <v>caught</v>
      </c>
      <c r="U202" s="1" t="str">
        <f t="shared" si="28"/>
        <v>1</v>
      </c>
      <c r="V202" s="1" t="str">
        <f t="shared" si="29"/>
        <v xml:space="preserve"> Pakistan</v>
      </c>
      <c r="W202" s="1" t="str">
        <f t="shared" si="30"/>
        <v>Mirpur</v>
      </c>
      <c r="X202" s="1" t="str">
        <f t="shared" si="31"/>
        <v>Yes</v>
      </c>
      <c r="Y202" s="1"/>
    </row>
    <row r="203" spans="1:25" ht="14.25" customHeight="1">
      <c r="A203" s="1"/>
      <c r="B203" s="1">
        <v>185</v>
      </c>
      <c r="C203" s="1" t="s">
        <v>241</v>
      </c>
      <c r="D203" s="1" t="s">
        <v>521</v>
      </c>
      <c r="E203" s="1" t="s">
        <v>144</v>
      </c>
      <c r="F203" s="1" t="s">
        <v>151</v>
      </c>
      <c r="G203" s="1" t="s">
        <v>1296</v>
      </c>
      <c r="H203" s="1" t="s">
        <v>24</v>
      </c>
      <c r="I203" s="1" t="s">
        <v>151</v>
      </c>
      <c r="J203" s="1" t="s">
        <v>182</v>
      </c>
      <c r="K203" s="1" t="s">
        <v>53</v>
      </c>
      <c r="L203" s="1"/>
      <c r="M203" s="1"/>
      <c r="N203" s="1" t="str">
        <f t="shared" si="24"/>
        <v>No</v>
      </c>
      <c r="O203" s="1">
        <f t="shared" si="25"/>
        <v>59</v>
      </c>
      <c r="P203" s="1">
        <f t="shared" si="26"/>
        <v>32</v>
      </c>
      <c r="Q203" s="1">
        <f t="shared" si="32"/>
        <v>7</v>
      </c>
      <c r="R203" s="1">
        <f t="shared" si="32"/>
        <v>2</v>
      </c>
      <c r="S203" s="31">
        <f t="shared" si="32"/>
        <v>184.37</v>
      </c>
      <c r="T203" s="1" t="str">
        <f t="shared" si="27"/>
        <v>caught</v>
      </c>
      <c r="U203" s="1" t="str">
        <f t="shared" si="28"/>
        <v>2</v>
      </c>
      <c r="V203" s="1" t="str">
        <f t="shared" si="29"/>
        <v xml:space="preserve"> Bangladesh</v>
      </c>
      <c r="W203" s="1" t="str">
        <f t="shared" si="30"/>
        <v>Mirpur</v>
      </c>
      <c r="X203" s="1" t="str">
        <f t="shared" si="31"/>
        <v>Yes</v>
      </c>
      <c r="Y203" s="1"/>
    </row>
    <row r="204" spans="1:25" ht="14.25" customHeight="1">
      <c r="A204" s="1"/>
      <c r="B204" s="1">
        <v>186</v>
      </c>
      <c r="C204" s="1" t="s">
        <v>151</v>
      </c>
      <c r="D204" s="1" t="s">
        <v>189</v>
      </c>
      <c r="E204" s="1" t="s">
        <v>131</v>
      </c>
      <c r="F204" s="1" t="s">
        <v>131</v>
      </c>
      <c r="G204" s="1" t="s">
        <v>190</v>
      </c>
      <c r="H204" s="1" t="s">
        <v>24</v>
      </c>
      <c r="I204" s="1" t="s">
        <v>151</v>
      </c>
      <c r="J204" s="1" t="s">
        <v>156</v>
      </c>
      <c r="K204" s="1" t="s">
        <v>53</v>
      </c>
      <c r="L204" s="1"/>
      <c r="M204" s="1"/>
      <c r="N204" s="1" t="str">
        <f t="shared" si="24"/>
        <v>No</v>
      </c>
      <c r="O204" s="1">
        <f t="shared" si="25"/>
        <v>2</v>
      </c>
      <c r="P204" s="1">
        <f t="shared" si="26"/>
        <v>8</v>
      </c>
      <c r="Q204" s="1">
        <f t="shared" si="32"/>
        <v>0</v>
      </c>
      <c r="R204" s="1">
        <f t="shared" si="32"/>
        <v>0</v>
      </c>
      <c r="S204" s="31">
        <f t="shared" si="32"/>
        <v>25</v>
      </c>
      <c r="T204" s="1" t="str">
        <f t="shared" si="27"/>
        <v>caught</v>
      </c>
      <c r="U204" s="1" t="str">
        <f t="shared" si="28"/>
        <v>2</v>
      </c>
      <c r="V204" s="1" t="str">
        <f t="shared" si="29"/>
        <v xml:space="preserve"> Pakistan</v>
      </c>
      <c r="W204" s="1" t="str">
        <f t="shared" si="30"/>
        <v>Mirpur</v>
      </c>
      <c r="X204" s="1" t="str">
        <f t="shared" si="31"/>
        <v>Yes</v>
      </c>
      <c r="Y204" s="1"/>
    </row>
    <row r="205" spans="1:25" ht="14.25" customHeight="1">
      <c r="A205" s="1"/>
      <c r="B205" s="1">
        <v>187</v>
      </c>
      <c r="C205" s="1" t="s">
        <v>348</v>
      </c>
      <c r="D205" s="1" t="s">
        <v>369</v>
      </c>
      <c r="E205" s="1" t="s">
        <v>325</v>
      </c>
      <c r="F205" s="1" t="s">
        <v>151</v>
      </c>
      <c r="G205" s="1" t="s">
        <v>1297</v>
      </c>
      <c r="H205" s="1" t="s">
        <v>24</v>
      </c>
      <c r="I205" s="1" t="s">
        <v>130</v>
      </c>
      <c r="J205" s="1" t="s">
        <v>639</v>
      </c>
      <c r="K205" s="1" t="s">
        <v>568</v>
      </c>
      <c r="L205" s="1"/>
      <c r="M205" s="1"/>
      <c r="N205" s="1" t="str">
        <f t="shared" si="24"/>
        <v>No</v>
      </c>
      <c r="O205" s="1">
        <f t="shared" si="25"/>
        <v>78</v>
      </c>
      <c r="P205" s="1">
        <f t="shared" si="26"/>
        <v>44</v>
      </c>
      <c r="Q205" s="1">
        <f t="shared" si="32"/>
        <v>13</v>
      </c>
      <c r="R205" s="1">
        <f t="shared" si="32"/>
        <v>2</v>
      </c>
      <c r="S205" s="31">
        <f t="shared" si="32"/>
        <v>177.27</v>
      </c>
      <c r="T205" s="1" t="str">
        <f t="shared" si="27"/>
        <v>caught</v>
      </c>
      <c r="U205" s="1" t="str">
        <f t="shared" si="28"/>
        <v>1</v>
      </c>
      <c r="V205" s="1" t="str">
        <f t="shared" si="29"/>
        <v xml:space="preserve"> Hong Kong</v>
      </c>
      <c r="W205" s="1" t="str">
        <f t="shared" si="30"/>
        <v>Karachi</v>
      </c>
      <c r="X205" s="1" t="str">
        <f t="shared" si="31"/>
        <v>Yes</v>
      </c>
      <c r="Y205" s="1"/>
    </row>
    <row r="206" spans="1:25" ht="14.25" customHeight="1">
      <c r="A206" s="1"/>
      <c r="B206" s="1">
        <v>188</v>
      </c>
      <c r="C206" s="1" t="s">
        <v>302</v>
      </c>
      <c r="D206" s="1" t="s">
        <v>187</v>
      </c>
      <c r="E206" s="1" t="s">
        <v>128</v>
      </c>
      <c r="F206" s="1" t="s">
        <v>202</v>
      </c>
      <c r="G206" s="1" t="s">
        <v>1298</v>
      </c>
      <c r="H206" s="1" t="s">
        <v>24</v>
      </c>
      <c r="I206" s="1" t="s">
        <v>151</v>
      </c>
      <c r="J206" s="1" t="s">
        <v>156</v>
      </c>
      <c r="K206" s="1" t="s">
        <v>568</v>
      </c>
      <c r="L206" s="1"/>
      <c r="M206" s="1"/>
      <c r="N206" s="1" t="str">
        <f t="shared" si="24"/>
        <v>No</v>
      </c>
      <c r="O206" s="1">
        <f t="shared" si="25"/>
        <v>119</v>
      </c>
      <c r="P206" s="1">
        <f t="shared" si="26"/>
        <v>95</v>
      </c>
      <c r="Q206" s="1">
        <f t="shared" si="32"/>
        <v>12</v>
      </c>
      <c r="R206" s="1">
        <f t="shared" si="32"/>
        <v>5</v>
      </c>
      <c r="S206" s="31">
        <f t="shared" si="32"/>
        <v>125.26</v>
      </c>
      <c r="T206" s="1" t="str">
        <f t="shared" si="27"/>
        <v>caught</v>
      </c>
      <c r="U206" s="1" t="str">
        <f t="shared" si="28"/>
        <v>2</v>
      </c>
      <c r="V206" s="1" t="str">
        <f t="shared" si="29"/>
        <v xml:space="preserve"> Pakistan</v>
      </c>
      <c r="W206" s="1" t="str">
        <f t="shared" si="30"/>
        <v>Karachi</v>
      </c>
      <c r="X206" s="1" t="str">
        <f t="shared" si="31"/>
        <v>Yes</v>
      </c>
      <c r="Y206" s="1"/>
    </row>
    <row r="207" spans="1:25" ht="14.25" customHeight="1">
      <c r="A207" s="1"/>
      <c r="B207" s="1">
        <v>189</v>
      </c>
      <c r="C207" s="1" t="s">
        <v>249</v>
      </c>
      <c r="D207" s="1" t="s">
        <v>244</v>
      </c>
      <c r="E207" s="1" t="s">
        <v>136</v>
      </c>
      <c r="F207" s="1" t="s">
        <v>151</v>
      </c>
      <c r="G207" s="1" t="s">
        <v>1299</v>
      </c>
      <c r="H207" s="1" t="s">
        <v>24</v>
      </c>
      <c r="I207" s="1" t="s">
        <v>130</v>
      </c>
      <c r="J207" s="1" t="s">
        <v>156</v>
      </c>
      <c r="K207" s="1" t="s">
        <v>568</v>
      </c>
      <c r="L207" s="1"/>
      <c r="M207" s="1"/>
      <c r="N207" s="1" t="str">
        <f t="shared" si="24"/>
        <v>No</v>
      </c>
      <c r="O207" s="1">
        <f t="shared" si="25"/>
        <v>49</v>
      </c>
      <c r="P207" s="1">
        <f t="shared" si="26"/>
        <v>33</v>
      </c>
      <c r="Q207" s="1">
        <f t="shared" si="32"/>
        <v>6</v>
      </c>
      <c r="R207" s="1">
        <f t="shared" si="32"/>
        <v>2</v>
      </c>
      <c r="S207" s="31">
        <f t="shared" si="32"/>
        <v>148.47999999999999</v>
      </c>
      <c r="T207" s="1" t="str">
        <f t="shared" si="27"/>
        <v>caught</v>
      </c>
      <c r="U207" s="1" t="str">
        <f t="shared" si="28"/>
        <v>1</v>
      </c>
      <c r="V207" s="1" t="str">
        <f t="shared" si="29"/>
        <v xml:space="preserve"> Pakistan</v>
      </c>
      <c r="W207" s="1" t="str">
        <f t="shared" si="30"/>
        <v>Karachi</v>
      </c>
      <c r="X207" s="1" t="str">
        <f t="shared" si="31"/>
        <v>Yes</v>
      </c>
      <c r="Y207" s="1"/>
    </row>
    <row r="208" spans="1:25" ht="14.25" customHeight="1">
      <c r="A208" s="1"/>
      <c r="B208" s="1">
        <v>190</v>
      </c>
      <c r="C208" s="1" t="s">
        <v>386</v>
      </c>
      <c r="D208" s="1" t="s">
        <v>208</v>
      </c>
      <c r="E208" s="1" t="s">
        <v>136</v>
      </c>
      <c r="F208" s="1" t="s">
        <v>130</v>
      </c>
      <c r="G208" s="1" t="s">
        <v>1257</v>
      </c>
      <c r="H208" s="1" t="s">
        <v>24</v>
      </c>
      <c r="I208" s="1" t="s">
        <v>151</v>
      </c>
      <c r="J208" s="1" t="s">
        <v>133</v>
      </c>
      <c r="K208" s="1" t="s">
        <v>568</v>
      </c>
      <c r="L208" s="1"/>
      <c r="M208" s="1"/>
      <c r="N208" s="1" t="str">
        <f t="shared" si="24"/>
        <v>No</v>
      </c>
      <c r="O208" s="1">
        <f t="shared" si="25"/>
        <v>42</v>
      </c>
      <c r="P208" s="1">
        <f t="shared" si="26"/>
        <v>34</v>
      </c>
      <c r="Q208" s="1">
        <f t="shared" si="32"/>
        <v>6</v>
      </c>
      <c r="R208" s="1">
        <f t="shared" si="32"/>
        <v>1</v>
      </c>
      <c r="S208" s="31">
        <f t="shared" si="32"/>
        <v>123.52</v>
      </c>
      <c r="T208" s="1" t="str">
        <f t="shared" si="27"/>
        <v>caught</v>
      </c>
      <c r="U208" s="1" t="str">
        <f t="shared" si="28"/>
        <v>2</v>
      </c>
      <c r="V208" s="1" t="str">
        <f t="shared" si="29"/>
        <v xml:space="preserve"> Sri Lanka</v>
      </c>
      <c r="W208" s="1" t="str">
        <f t="shared" si="30"/>
        <v>Karachi</v>
      </c>
      <c r="X208" s="1" t="str">
        <f t="shared" si="31"/>
        <v>Yes</v>
      </c>
      <c r="Y208" s="1"/>
    </row>
    <row r="209" spans="1:25" ht="14.25" customHeight="1">
      <c r="A209" s="1"/>
      <c r="B209" s="1">
        <v>191</v>
      </c>
      <c r="C209" s="1" t="s">
        <v>380</v>
      </c>
      <c r="D209" s="1" t="s">
        <v>258</v>
      </c>
      <c r="E209" s="1" t="s">
        <v>128</v>
      </c>
      <c r="F209" s="1" t="s">
        <v>131</v>
      </c>
      <c r="G209" s="1" t="s">
        <v>923</v>
      </c>
      <c r="H209" s="1" t="s">
        <v>63</v>
      </c>
      <c r="I209" s="1" t="s">
        <v>151</v>
      </c>
      <c r="J209" s="1" t="s">
        <v>133</v>
      </c>
      <c r="K209" s="1" t="s">
        <v>568</v>
      </c>
      <c r="L209" s="1"/>
      <c r="M209" s="1"/>
      <c r="N209" s="1" t="str">
        <f t="shared" si="24"/>
        <v>No</v>
      </c>
      <c r="O209" s="1">
        <f t="shared" si="25"/>
        <v>60</v>
      </c>
      <c r="P209" s="1">
        <f t="shared" si="26"/>
        <v>36</v>
      </c>
      <c r="Q209" s="1">
        <f t="shared" si="32"/>
        <v>12</v>
      </c>
      <c r="R209" s="1">
        <f t="shared" si="32"/>
        <v>0</v>
      </c>
      <c r="S209" s="31">
        <f t="shared" si="32"/>
        <v>166.66</v>
      </c>
      <c r="T209" s="1" t="str">
        <f t="shared" si="27"/>
        <v>stumped</v>
      </c>
      <c r="U209" s="1" t="str">
        <f t="shared" si="28"/>
        <v>2</v>
      </c>
      <c r="V209" s="1" t="str">
        <f t="shared" si="29"/>
        <v xml:space="preserve"> Sri Lanka</v>
      </c>
      <c r="W209" s="1" t="str">
        <f t="shared" si="30"/>
        <v>Karachi</v>
      </c>
      <c r="X209" s="1" t="str">
        <f t="shared" si="31"/>
        <v>Yes</v>
      </c>
      <c r="Y209" s="1"/>
    </row>
    <row r="210" spans="1:25" ht="14.25" customHeight="1">
      <c r="A210" s="1"/>
      <c r="B210" s="1">
        <v>192</v>
      </c>
      <c r="C210" s="1" t="s">
        <v>277</v>
      </c>
      <c r="D210" s="1" t="s">
        <v>219</v>
      </c>
      <c r="E210" s="1" t="s">
        <v>167</v>
      </c>
      <c r="F210" s="1" t="s">
        <v>148</v>
      </c>
      <c r="G210" s="1" t="s">
        <v>1300</v>
      </c>
      <c r="H210" s="1" t="s">
        <v>24</v>
      </c>
      <c r="I210" s="1" t="s">
        <v>130</v>
      </c>
      <c r="J210" s="1" t="s">
        <v>234</v>
      </c>
      <c r="K210" s="1" t="s">
        <v>48</v>
      </c>
      <c r="L210" s="1"/>
      <c r="M210" s="1"/>
      <c r="N210" s="1" t="str">
        <f t="shared" si="24"/>
        <v>No</v>
      </c>
      <c r="O210" s="1">
        <f t="shared" si="25"/>
        <v>85</v>
      </c>
      <c r="P210" s="1">
        <f t="shared" si="26"/>
        <v>73</v>
      </c>
      <c r="Q210" s="1">
        <f t="shared" si="32"/>
        <v>10</v>
      </c>
      <c r="R210" s="1">
        <f t="shared" si="32"/>
        <v>3</v>
      </c>
      <c r="S210" s="31">
        <f t="shared" si="32"/>
        <v>116.43</v>
      </c>
      <c r="T210" s="1" t="str">
        <f t="shared" si="27"/>
        <v>caught</v>
      </c>
      <c r="U210" s="1" t="str">
        <f t="shared" si="28"/>
        <v>1</v>
      </c>
      <c r="V210" s="1" t="str">
        <f t="shared" si="29"/>
        <v xml:space="preserve"> England</v>
      </c>
      <c r="W210" s="1" t="str">
        <f t="shared" si="30"/>
        <v>Rajkot</v>
      </c>
      <c r="X210" s="1" t="str">
        <f t="shared" si="31"/>
        <v>Yes</v>
      </c>
      <c r="Y210" s="1"/>
    </row>
    <row r="211" spans="1:25" ht="14.25" customHeight="1">
      <c r="A211" s="1"/>
      <c r="B211" s="1">
        <v>193</v>
      </c>
      <c r="C211" s="1" t="s">
        <v>130</v>
      </c>
      <c r="D211" s="1" t="s">
        <v>140</v>
      </c>
      <c r="E211" s="1" t="s">
        <v>131</v>
      </c>
      <c r="F211" s="1" t="s">
        <v>131</v>
      </c>
      <c r="G211" s="1" t="s">
        <v>190</v>
      </c>
      <c r="H211" s="1" t="s">
        <v>29</v>
      </c>
      <c r="I211" s="1" t="s">
        <v>130</v>
      </c>
      <c r="J211" s="1" t="s">
        <v>234</v>
      </c>
      <c r="K211" s="1" t="s">
        <v>87</v>
      </c>
      <c r="L211" s="1"/>
      <c r="M211" s="1"/>
      <c r="N211" s="1" t="str">
        <f t="shared" ref="N211:N269" si="33">IF(OR(C211="DNB",C211="TDNB"),"Yes","No")</f>
        <v>No</v>
      </c>
      <c r="O211" s="1">
        <f t="shared" si="25"/>
        <v>1</v>
      </c>
      <c r="P211" s="1">
        <f t="shared" si="26"/>
        <v>4</v>
      </c>
      <c r="Q211" s="1">
        <f t="shared" si="32"/>
        <v>0</v>
      </c>
      <c r="R211" s="1">
        <f t="shared" si="32"/>
        <v>0</v>
      </c>
      <c r="S211" s="31">
        <f t="shared" si="32"/>
        <v>25</v>
      </c>
      <c r="T211" s="1" t="str">
        <f t="shared" si="27"/>
        <v>bowled</v>
      </c>
      <c r="U211" s="1" t="str">
        <f t="shared" si="28"/>
        <v>1</v>
      </c>
      <c r="V211" s="1" t="str">
        <f t="shared" si="29"/>
        <v xml:space="preserve"> England</v>
      </c>
      <c r="W211" s="1" t="str">
        <f t="shared" si="30"/>
        <v>Indore</v>
      </c>
      <c r="X211" s="1" t="str">
        <f t="shared" si="31"/>
        <v>Yes</v>
      </c>
      <c r="Y211" s="1"/>
    </row>
    <row r="212" spans="1:25" ht="14.25" customHeight="1">
      <c r="A212" s="1"/>
      <c r="B212" s="1">
        <v>194</v>
      </c>
      <c r="C212" s="1" t="s">
        <v>184</v>
      </c>
      <c r="D212" s="1" t="s">
        <v>242</v>
      </c>
      <c r="E212" s="1" t="s">
        <v>189</v>
      </c>
      <c r="F212" s="1" t="s">
        <v>130</v>
      </c>
      <c r="G212" s="1" t="s">
        <v>932</v>
      </c>
      <c r="H212" s="1" t="s">
        <v>24</v>
      </c>
      <c r="I212" s="1" t="s">
        <v>151</v>
      </c>
      <c r="J212" s="1" t="s">
        <v>234</v>
      </c>
      <c r="K212" s="1" t="s">
        <v>101</v>
      </c>
      <c r="L212" s="1"/>
      <c r="M212" s="1"/>
      <c r="N212" s="1" t="str">
        <f t="shared" si="33"/>
        <v>No</v>
      </c>
      <c r="O212" s="1">
        <f t="shared" ref="O212:O269" si="34">IF(N212="Yes", "NA",SUBSTITUTE(C212,"*","")*1)</f>
        <v>68</v>
      </c>
      <c r="P212" s="1">
        <f t="shared" ref="P212:P269" si="35">IF(D212="-","NA",D212*1)</f>
        <v>76</v>
      </c>
      <c r="Q212" s="1">
        <f t="shared" si="32"/>
        <v>8</v>
      </c>
      <c r="R212" s="1">
        <f t="shared" si="32"/>
        <v>1</v>
      </c>
      <c r="S212" s="31">
        <f t="shared" si="32"/>
        <v>89.47</v>
      </c>
      <c r="T212" s="1" t="str">
        <f t="shared" ref="T212:T269" si="36">IF(H212="-","NA",H212)</f>
        <v>caught</v>
      </c>
      <c r="U212" s="1" t="str">
        <f t="shared" ref="U212:U269" si="37">I212</f>
        <v>2</v>
      </c>
      <c r="V212" s="1" t="str">
        <f t="shared" ref="V212:V269" si="38">SUBSTITUTE(J212,"v","")</f>
        <v xml:space="preserve"> England</v>
      </c>
      <c r="W212" s="1" t="str">
        <f t="shared" ref="W212:W269" si="39">K212</f>
        <v>Kanpur</v>
      </c>
      <c r="X212" s="1" t="str">
        <f t="shared" ref="X212:X269" si="40">IF(N212="Yes","No",IF(T212="not out","No","Yes"))</f>
        <v>Yes</v>
      </c>
      <c r="Y212" s="1"/>
    </row>
    <row r="213" spans="1:25" ht="14.25" customHeight="1">
      <c r="A213" s="1"/>
      <c r="B213" s="1">
        <v>195</v>
      </c>
      <c r="C213" s="1" t="s">
        <v>701</v>
      </c>
      <c r="D213" s="1" t="s">
        <v>192</v>
      </c>
      <c r="E213" s="1" t="s">
        <v>161</v>
      </c>
      <c r="F213" s="1" t="s">
        <v>148</v>
      </c>
      <c r="G213" s="1" t="s">
        <v>660</v>
      </c>
      <c r="H213" s="1" t="s">
        <v>24</v>
      </c>
      <c r="I213" s="1" t="s">
        <v>130</v>
      </c>
      <c r="J213" s="1" t="s">
        <v>234</v>
      </c>
      <c r="K213" s="1" t="s">
        <v>67</v>
      </c>
      <c r="L213" s="1"/>
      <c r="M213" s="1"/>
      <c r="N213" s="1" t="str">
        <f t="shared" si="33"/>
        <v>No</v>
      </c>
      <c r="O213" s="1">
        <f t="shared" si="34"/>
        <v>69</v>
      </c>
      <c r="P213" s="1">
        <f t="shared" si="35"/>
        <v>57</v>
      </c>
      <c r="Q213" s="1">
        <f t="shared" si="32"/>
        <v>9</v>
      </c>
      <c r="R213" s="1">
        <f t="shared" si="32"/>
        <v>3</v>
      </c>
      <c r="S213" s="31">
        <f t="shared" si="32"/>
        <v>121.05</v>
      </c>
      <c r="T213" s="1" t="str">
        <f t="shared" si="36"/>
        <v>caught</v>
      </c>
      <c r="U213" s="1" t="str">
        <f t="shared" si="37"/>
        <v>1</v>
      </c>
      <c r="V213" s="1" t="str">
        <f t="shared" si="38"/>
        <v xml:space="preserve"> England</v>
      </c>
      <c r="W213" s="1" t="str">
        <f t="shared" si="39"/>
        <v>Bengaluru</v>
      </c>
      <c r="X213" s="1" t="str">
        <f t="shared" si="40"/>
        <v>Yes</v>
      </c>
      <c r="Y213" s="1"/>
    </row>
    <row r="214" spans="1:25" ht="14.25" customHeight="1">
      <c r="A214" s="1"/>
      <c r="B214" s="1">
        <v>196</v>
      </c>
      <c r="C214" s="1" t="s">
        <v>179</v>
      </c>
      <c r="D214" s="1" t="s">
        <v>219</v>
      </c>
      <c r="E214" s="1" t="s">
        <v>283</v>
      </c>
      <c r="F214" s="1" t="s">
        <v>130</v>
      </c>
      <c r="G214" s="1" t="s">
        <v>1301</v>
      </c>
      <c r="H214" s="1" t="s">
        <v>19</v>
      </c>
      <c r="I214" s="1" t="s">
        <v>151</v>
      </c>
      <c r="J214" s="1" t="s">
        <v>234</v>
      </c>
      <c r="K214" s="1" t="s">
        <v>86</v>
      </c>
      <c r="L214" s="1"/>
      <c r="M214" s="1"/>
      <c r="N214" s="1" t="str">
        <f t="shared" si="33"/>
        <v>No</v>
      </c>
      <c r="O214" s="1">
        <f t="shared" si="34"/>
        <v>91</v>
      </c>
      <c r="P214" s="1">
        <f t="shared" si="35"/>
        <v>73</v>
      </c>
      <c r="Q214" s="1">
        <f t="shared" si="32"/>
        <v>15</v>
      </c>
      <c r="R214" s="1">
        <f t="shared" si="32"/>
        <v>1</v>
      </c>
      <c r="S214" s="31">
        <f t="shared" si="32"/>
        <v>124.65</v>
      </c>
      <c r="T214" s="1" t="str">
        <f t="shared" si="36"/>
        <v>lbw</v>
      </c>
      <c r="U214" s="1" t="str">
        <f t="shared" si="37"/>
        <v>2</v>
      </c>
      <c r="V214" s="1" t="str">
        <f t="shared" si="38"/>
        <v xml:space="preserve"> England</v>
      </c>
      <c r="W214" s="1" t="str">
        <f t="shared" si="39"/>
        <v>Cuttack</v>
      </c>
      <c r="X214" s="1" t="str">
        <f t="shared" si="40"/>
        <v>Yes</v>
      </c>
      <c r="Y214" s="1"/>
    </row>
    <row r="215" spans="1:25" ht="14.25" customHeight="1">
      <c r="A215" s="1"/>
      <c r="B215" s="1">
        <v>197</v>
      </c>
      <c r="C215" s="1" t="s">
        <v>386</v>
      </c>
      <c r="D215" s="1" t="s">
        <v>313</v>
      </c>
      <c r="E215" s="1" t="s">
        <v>144</v>
      </c>
      <c r="F215" s="1" t="s">
        <v>131</v>
      </c>
      <c r="G215" s="1" t="s">
        <v>1302</v>
      </c>
      <c r="H215" s="1" t="s">
        <v>26</v>
      </c>
      <c r="I215" s="1" t="s">
        <v>130</v>
      </c>
      <c r="J215" s="1" t="s">
        <v>133</v>
      </c>
      <c r="K215" s="1" t="s">
        <v>27</v>
      </c>
      <c r="L215" s="1"/>
      <c r="M215" s="1"/>
      <c r="N215" s="1" t="str">
        <f t="shared" si="33"/>
        <v>No</v>
      </c>
      <c r="O215" s="1">
        <f t="shared" si="34"/>
        <v>42</v>
      </c>
      <c r="P215" s="1">
        <f t="shared" si="35"/>
        <v>26</v>
      </c>
      <c r="Q215" s="1">
        <f t="shared" si="32"/>
        <v>7</v>
      </c>
      <c r="R215" s="1">
        <f t="shared" si="32"/>
        <v>0</v>
      </c>
      <c r="S215" s="31">
        <f t="shared" si="32"/>
        <v>161.53</v>
      </c>
      <c r="T215" s="1" t="str">
        <f t="shared" si="36"/>
        <v>run out</v>
      </c>
      <c r="U215" s="1" t="str">
        <f t="shared" si="37"/>
        <v>1</v>
      </c>
      <c r="V215" s="1" t="str">
        <f t="shared" si="38"/>
        <v xml:space="preserve"> Sri Lanka</v>
      </c>
      <c r="W215" s="1" t="str">
        <f t="shared" si="39"/>
        <v>Colombo (RPS)</v>
      </c>
      <c r="X215" s="1" t="str">
        <f t="shared" si="40"/>
        <v>Yes</v>
      </c>
      <c r="Y215" s="1"/>
    </row>
    <row r="216" spans="1:25" ht="14.25" customHeight="1">
      <c r="A216" s="1"/>
      <c r="B216" s="1">
        <v>198</v>
      </c>
      <c r="C216" s="1" t="s">
        <v>433</v>
      </c>
      <c r="D216" s="1" t="s">
        <v>835</v>
      </c>
      <c r="E216" s="1" t="s">
        <v>306</v>
      </c>
      <c r="F216" s="1" t="s">
        <v>131</v>
      </c>
      <c r="G216" s="1" t="s">
        <v>1303</v>
      </c>
      <c r="H216" s="1" t="s">
        <v>26</v>
      </c>
      <c r="I216" s="1" t="s">
        <v>130</v>
      </c>
      <c r="J216" s="1" t="s">
        <v>133</v>
      </c>
      <c r="K216" s="1" t="s">
        <v>27</v>
      </c>
      <c r="L216" s="1"/>
      <c r="M216" s="1"/>
      <c r="N216" s="1" t="str">
        <f t="shared" si="33"/>
        <v>No</v>
      </c>
      <c r="O216" s="1">
        <f t="shared" si="34"/>
        <v>116</v>
      </c>
      <c r="P216" s="1">
        <f t="shared" si="35"/>
        <v>90</v>
      </c>
      <c r="Q216" s="1">
        <f t="shared" si="32"/>
        <v>17</v>
      </c>
      <c r="R216" s="1">
        <f t="shared" si="32"/>
        <v>0</v>
      </c>
      <c r="S216" s="31">
        <f t="shared" si="32"/>
        <v>128.88</v>
      </c>
      <c r="T216" s="1" t="str">
        <f t="shared" si="36"/>
        <v>run out</v>
      </c>
      <c r="U216" s="1" t="str">
        <f t="shared" si="37"/>
        <v>1</v>
      </c>
      <c r="V216" s="1" t="str">
        <f t="shared" si="38"/>
        <v xml:space="preserve"> Sri Lanka</v>
      </c>
      <c r="W216" s="1" t="str">
        <f t="shared" si="39"/>
        <v>Colombo (RPS)</v>
      </c>
      <c r="X216" s="1" t="str">
        <f t="shared" si="40"/>
        <v>Yes</v>
      </c>
      <c r="Y216" s="1"/>
    </row>
    <row r="217" spans="1:25" ht="14.25" customHeight="1">
      <c r="A217" s="1"/>
      <c r="B217" s="1">
        <v>199</v>
      </c>
      <c r="C217" s="1" t="s">
        <v>202</v>
      </c>
      <c r="D217" s="1" t="s">
        <v>189</v>
      </c>
      <c r="E217" s="1" t="s">
        <v>130</v>
      </c>
      <c r="F217" s="1" t="s">
        <v>131</v>
      </c>
      <c r="G217" s="1" t="s">
        <v>168</v>
      </c>
      <c r="H217" s="1" t="s">
        <v>24</v>
      </c>
      <c r="I217" s="1" t="s">
        <v>130</v>
      </c>
      <c r="J217" s="1" t="s">
        <v>133</v>
      </c>
      <c r="K217" s="1" t="s">
        <v>27</v>
      </c>
      <c r="L217" s="1"/>
      <c r="M217" s="1"/>
      <c r="N217" s="1" t="str">
        <f t="shared" si="33"/>
        <v>No</v>
      </c>
      <c r="O217" s="1">
        <f t="shared" si="34"/>
        <v>5</v>
      </c>
      <c r="P217" s="1">
        <f t="shared" si="35"/>
        <v>8</v>
      </c>
      <c r="Q217" s="1">
        <f t="shared" si="32"/>
        <v>1</v>
      </c>
      <c r="R217" s="1">
        <f t="shared" si="32"/>
        <v>0</v>
      </c>
      <c r="S217" s="31">
        <f t="shared" si="32"/>
        <v>62.5</v>
      </c>
      <c r="T217" s="1" t="str">
        <f t="shared" si="36"/>
        <v>caught</v>
      </c>
      <c r="U217" s="1" t="str">
        <f t="shared" si="37"/>
        <v>1</v>
      </c>
      <c r="V217" s="1" t="str">
        <f t="shared" si="38"/>
        <v xml:space="preserve"> Sri Lanka</v>
      </c>
      <c r="W217" s="1" t="str">
        <f t="shared" si="39"/>
        <v>Colombo (RPS)</v>
      </c>
      <c r="X217" s="1" t="str">
        <f t="shared" si="40"/>
        <v>Yes</v>
      </c>
      <c r="Y217" s="1"/>
    </row>
    <row r="218" spans="1:25" ht="14.25" customHeight="1">
      <c r="A218" s="1"/>
      <c r="B218" s="1">
        <v>200</v>
      </c>
      <c r="C218" s="1" t="s">
        <v>136</v>
      </c>
      <c r="D218" s="1" t="s">
        <v>136</v>
      </c>
      <c r="E218" s="1" t="s">
        <v>130</v>
      </c>
      <c r="F218" s="1" t="s">
        <v>131</v>
      </c>
      <c r="G218" s="1" t="s">
        <v>152</v>
      </c>
      <c r="H218" s="1" t="s">
        <v>24</v>
      </c>
      <c r="I218" s="1" t="s">
        <v>151</v>
      </c>
      <c r="J218" s="1" t="s">
        <v>133</v>
      </c>
      <c r="K218" s="1" t="s">
        <v>27</v>
      </c>
      <c r="L218" s="1"/>
      <c r="M218" s="1"/>
      <c r="N218" s="1" t="str">
        <f t="shared" si="33"/>
        <v>No</v>
      </c>
      <c r="O218" s="1">
        <f t="shared" si="34"/>
        <v>6</v>
      </c>
      <c r="P218" s="1">
        <f t="shared" si="35"/>
        <v>6</v>
      </c>
      <c r="Q218" s="1">
        <f t="shared" si="32"/>
        <v>1</v>
      </c>
      <c r="R218" s="1">
        <f t="shared" si="32"/>
        <v>0</v>
      </c>
      <c r="S218" s="31">
        <f t="shared" si="32"/>
        <v>100</v>
      </c>
      <c r="T218" s="1" t="str">
        <f t="shared" si="36"/>
        <v>caught</v>
      </c>
      <c r="U218" s="1" t="str">
        <f t="shared" si="37"/>
        <v>2</v>
      </c>
      <c r="V218" s="1" t="str">
        <f t="shared" si="38"/>
        <v xml:space="preserve"> Sri Lanka</v>
      </c>
      <c r="W218" s="1" t="str">
        <f t="shared" si="39"/>
        <v>Colombo (RPS)</v>
      </c>
      <c r="X218" s="1" t="str">
        <f t="shared" si="40"/>
        <v>Yes</v>
      </c>
      <c r="Y218" s="1"/>
    </row>
    <row r="219" spans="1:25" ht="14.25" customHeight="1">
      <c r="A219" s="1"/>
      <c r="B219" s="1">
        <v>201</v>
      </c>
      <c r="C219" s="1" t="s">
        <v>280</v>
      </c>
      <c r="D219" s="1" t="s">
        <v>452</v>
      </c>
      <c r="E219" s="1" t="s">
        <v>176</v>
      </c>
      <c r="F219" s="1" t="s">
        <v>130</v>
      </c>
      <c r="G219" s="1" t="s">
        <v>567</v>
      </c>
      <c r="H219" s="1" t="s">
        <v>24</v>
      </c>
      <c r="I219" s="1" t="s">
        <v>130</v>
      </c>
      <c r="J219" s="1" t="s">
        <v>211</v>
      </c>
      <c r="K219" s="1" t="s">
        <v>102</v>
      </c>
      <c r="L219" s="1"/>
      <c r="M219" s="1"/>
      <c r="N219" s="1" t="str">
        <f t="shared" si="33"/>
        <v>No</v>
      </c>
      <c r="O219" s="1">
        <f t="shared" si="34"/>
        <v>77</v>
      </c>
      <c r="P219" s="1">
        <f t="shared" si="35"/>
        <v>56</v>
      </c>
      <c r="Q219" s="1">
        <f t="shared" si="32"/>
        <v>11</v>
      </c>
      <c r="R219" s="1">
        <f t="shared" si="32"/>
        <v>1</v>
      </c>
      <c r="S219" s="31">
        <f t="shared" si="32"/>
        <v>137.5</v>
      </c>
      <c r="T219" s="1" t="str">
        <f t="shared" si="36"/>
        <v>caught</v>
      </c>
      <c r="U219" s="1" t="str">
        <f t="shared" si="37"/>
        <v>1</v>
      </c>
      <c r="V219" s="1" t="str">
        <f t="shared" si="38"/>
        <v xml:space="preserve"> New Zealand</v>
      </c>
      <c r="W219" s="1" t="str">
        <f t="shared" si="39"/>
        <v>Napier</v>
      </c>
      <c r="X219" s="1" t="str">
        <f t="shared" si="40"/>
        <v>Yes</v>
      </c>
      <c r="Y219" s="1"/>
    </row>
    <row r="220" spans="1:25" ht="14.25" customHeight="1">
      <c r="A220" s="1"/>
      <c r="B220" s="1">
        <v>202</v>
      </c>
      <c r="C220" s="1" t="s">
        <v>142</v>
      </c>
      <c r="D220" s="1" t="s">
        <v>258</v>
      </c>
      <c r="E220" s="1" t="s">
        <v>161</v>
      </c>
      <c r="F220" s="1" t="s">
        <v>130</v>
      </c>
      <c r="G220" s="1" t="s">
        <v>986</v>
      </c>
      <c r="H220" s="1" t="s">
        <v>24</v>
      </c>
      <c r="I220" s="1" t="s">
        <v>130</v>
      </c>
      <c r="J220" s="1" t="s">
        <v>211</v>
      </c>
      <c r="K220" s="1" t="s">
        <v>105</v>
      </c>
      <c r="L220" s="1"/>
      <c r="M220" s="1"/>
      <c r="N220" s="1" t="str">
        <f t="shared" si="33"/>
        <v>No</v>
      </c>
      <c r="O220" s="1">
        <f t="shared" si="34"/>
        <v>54</v>
      </c>
      <c r="P220" s="1">
        <f t="shared" si="35"/>
        <v>36</v>
      </c>
      <c r="Q220" s="1">
        <f t="shared" si="32"/>
        <v>9</v>
      </c>
      <c r="R220" s="1">
        <f t="shared" si="32"/>
        <v>1</v>
      </c>
      <c r="S220" s="31">
        <f t="shared" si="32"/>
        <v>150</v>
      </c>
      <c r="T220" s="1" t="str">
        <f t="shared" si="36"/>
        <v>caught</v>
      </c>
      <c r="U220" s="1" t="str">
        <f t="shared" si="37"/>
        <v>1</v>
      </c>
      <c r="V220" s="1" t="str">
        <f t="shared" si="38"/>
        <v xml:space="preserve"> New Zealand</v>
      </c>
      <c r="W220" s="1" t="str">
        <f t="shared" si="39"/>
        <v>Wellington</v>
      </c>
      <c r="X220" s="1" t="str">
        <f t="shared" si="40"/>
        <v>Yes</v>
      </c>
      <c r="Y220" s="1"/>
    </row>
    <row r="221" spans="1:25" ht="14.25" customHeight="1">
      <c r="A221" s="1"/>
      <c r="B221" s="1">
        <v>203</v>
      </c>
      <c r="C221" s="1" t="s">
        <v>148</v>
      </c>
      <c r="D221" s="1" t="s">
        <v>136</v>
      </c>
      <c r="E221" s="1" t="s">
        <v>131</v>
      </c>
      <c r="F221" s="1" t="s">
        <v>131</v>
      </c>
      <c r="G221" s="1" t="s">
        <v>204</v>
      </c>
      <c r="H221" s="1" t="s">
        <v>29</v>
      </c>
      <c r="I221" s="1" t="s">
        <v>130</v>
      </c>
      <c r="J221" s="1" t="s">
        <v>211</v>
      </c>
      <c r="K221" s="1" t="s">
        <v>662</v>
      </c>
      <c r="L221" s="1"/>
      <c r="M221" s="1"/>
      <c r="N221" s="1" t="str">
        <f t="shared" si="33"/>
        <v>No</v>
      </c>
      <c r="O221" s="1">
        <f t="shared" si="34"/>
        <v>3</v>
      </c>
      <c r="P221" s="1">
        <f t="shared" si="35"/>
        <v>6</v>
      </c>
      <c r="Q221" s="1">
        <f t="shared" si="32"/>
        <v>0</v>
      </c>
      <c r="R221" s="1">
        <f t="shared" si="32"/>
        <v>0</v>
      </c>
      <c r="S221" s="31">
        <f t="shared" si="32"/>
        <v>50</v>
      </c>
      <c r="T221" s="1" t="str">
        <f t="shared" si="36"/>
        <v>bowled</v>
      </c>
      <c r="U221" s="1" t="str">
        <f t="shared" si="37"/>
        <v>1</v>
      </c>
      <c r="V221" s="1" t="str">
        <f t="shared" si="38"/>
        <v xml:space="preserve"> New Zealand</v>
      </c>
      <c r="W221" s="1" t="str">
        <f t="shared" si="39"/>
        <v>Christchurch</v>
      </c>
      <c r="X221" s="1" t="str">
        <f t="shared" si="40"/>
        <v>Yes</v>
      </c>
      <c r="Y221" s="1"/>
    </row>
    <row r="222" spans="1:25" ht="14.25" customHeight="1">
      <c r="A222" s="1"/>
      <c r="B222" s="1">
        <v>204</v>
      </c>
      <c r="C222" s="1" t="s">
        <v>1304</v>
      </c>
      <c r="D222" s="1" t="s">
        <v>466</v>
      </c>
      <c r="E222" s="1" t="s">
        <v>205</v>
      </c>
      <c r="F222" s="1" t="s">
        <v>136</v>
      </c>
      <c r="G222" s="1" t="s">
        <v>1305</v>
      </c>
      <c r="H222" s="1" t="s">
        <v>32</v>
      </c>
      <c r="I222" s="1" t="s">
        <v>151</v>
      </c>
      <c r="J222" s="1" t="s">
        <v>211</v>
      </c>
      <c r="K222" s="1" t="s">
        <v>103</v>
      </c>
      <c r="L222" s="1"/>
      <c r="M222" s="1"/>
      <c r="N222" s="1" t="str">
        <f t="shared" si="33"/>
        <v>No</v>
      </c>
      <c r="O222" s="1">
        <f t="shared" si="34"/>
        <v>125</v>
      </c>
      <c r="P222" s="1">
        <f t="shared" si="35"/>
        <v>74</v>
      </c>
      <c r="Q222" s="1">
        <f t="shared" si="32"/>
        <v>14</v>
      </c>
      <c r="R222" s="1">
        <f t="shared" si="32"/>
        <v>6</v>
      </c>
      <c r="S222" s="31">
        <f t="shared" si="32"/>
        <v>168.91</v>
      </c>
      <c r="T222" s="1" t="str">
        <f t="shared" si="36"/>
        <v>not out</v>
      </c>
      <c r="U222" s="1" t="str">
        <f t="shared" si="37"/>
        <v>2</v>
      </c>
      <c r="V222" s="1" t="str">
        <f t="shared" si="38"/>
        <v xml:space="preserve"> New Zealand</v>
      </c>
      <c r="W222" s="1" t="str">
        <f t="shared" si="39"/>
        <v>Hamilton</v>
      </c>
      <c r="X222" s="1" t="str">
        <f t="shared" si="40"/>
        <v>No</v>
      </c>
      <c r="Y222" s="1"/>
    </row>
    <row r="223" spans="1:25" ht="14.25" customHeight="1">
      <c r="A223" s="1"/>
      <c r="B223" s="1">
        <v>205</v>
      </c>
      <c r="C223" s="1" t="s">
        <v>359</v>
      </c>
      <c r="D223" s="1" t="s">
        <v>169</v>
      </c>
      <c r="E223" s="1" t="s">
        <v>148</v>
      </c>
      <c r="F223" s="1" t="s">
        <v>148</v>
      </c>
      <c r="G223" s="1" t="s">
        <v>1306</v>
      </c>
      <c r="H223" s="1" t="s">
        <v>24</v>
      </c>
      <c r="I223" s="1" t="s">
        <v>130</v>
      </c>
      <c r="J223" s="1" t="s">
        <v>211</v>
      </c>
      <c r="K223" s="1" t="s">
        <v>104</v>
      </c>
      <c r="L223" s="1"/>
      <c r="M223" s="1"/>
      <c r="N223" s="1" t="str">
        <f t="shared" si="33"/>
        <v>No</v>
      </c>
      <c r="O223" s="1">
        <f t="shared" si="34"/>
        <v>40</v>
      </c>
      <c r="P223" s="1">
        <f t="shared" si="35"/>
        <v>27</v>
      </c>
      <c r="Q223" s="1">
        <f t="shared" si="32"/>
        <v>3</v>
      </c>
      <c r="R223" s="1">
        <f t="shared" si="32"/>
        <v>3</v>
      </c>
      <c r="S223" s="31">
        <f t="shared" si="32"/>
        <v>148.13999999999999</v>
      </c>
      <c r="T223" s="1" t="str">
        <f t="shared" si="36"/>
        <v>caught</v>
      </c>
      <c r="U223" s="1" t="str">
        <f t="shared" si="37"/>
        <v>1</v>
      </c>
      <c r="V223" s="1" t="str">
        <f t="shared" si="38"/>
        <v xml:space="preserve"> New Zealand</v>
      </c>
      <c r="W223" s="1" t="str">
        <f t="shared" si="39"/>
        <v>Auckland</v>
      </c>
      <c r="X223" s="1" t="str">
        <f t="shared" si="40"/>
        <v>Yes</v>
      </c>
      <c r="Y223" s="1"/>
    </row>
    <row r="224" spans="1:25" ht="14.25" customHeight="1">
      <c r="A224" s="1"/>
      <c r="B224" s="1">
        <v>206</v>
      </c>
      <c r="C224" s="1" t="s">
        <v>325</v>
      </c>
      <c r="D224" s="1" t="s">
        <v>176</v>
      </c>
      <c r="E224" s="1" t="s">
        <v>148</v>
      </c>
      <c r="F224" s="1" t="s">
        <v>131</v>
      </c>
      <c r="G224" s="1" t="s">
        <v>880</v>
      </c>
      <c r="H224" s="1" t="s">
        <v>24</v>
      </c>
      <c r="I224" s="1" t="s">
        <v>151</v>
      </c>
      <c r="J224" s="1" t="s">
        <v>158</v>
      </c>
      <c r="K224" s="1" t="s">
        <v>44</v>
      </c>
      <c r="L224" s="1"/>
      <c r="M224" s="1"/>
      <c r="N224" s="1" t="str">
        <f t="shared" si="33"/>
        <v>No</v>
      </c>
      <c r="O224" s="1">
        <f t="shared" si="34"/>
        <v>13</v>
      </c>
      <c r="P224" s="1">
        <f t="shared" si="35"/>
        <v>11</v>
      </c>
      <c r="Q224" s="1">
        <f t="shared" si="32"/>
        <v>3</v>
      </c>
      <c r="R224" s="1">
        <f t="shared" si="32"/>
        <v>0</v>
      </c>
      <c r="S224" s="31">
        <f t="shared" si="32"/>
        <v>118.18</v>
      </c>
      <c r="T224" s="1" t="str">
        <f t="shared" si="36"/>
        <v>caught</v>
      </c>
      <c r="U224" s="1" t="str">
        <f t="shared" si="37"/>
        <v>2</v>
      </c>
      <c r="V224" s="1" t="str">
        <f t="shared" si="38"/>
        <v xml:space="preserve"> Australia</v>
      </c>
      <c r="W224" s="1" t="str">
        <f t="shared" si="39"/>
        <v>Vadodara</v>
      </c>
      <c r="X224" s="1" t="str">
        <f t="shared" si="40"/>
        <v>Yes</v>
      </c>
      <c r="Y224" s="1"/>
    </row>
    <row r="225" spans="1:25" ht="14.25" customHeight="1">
      <c r="A225" s="1"/>
      <c r="B225" s="1">
        <v>207</v>
      </c>
      <c r="C225" s="1" t="s">
        <v>359</v>
      </c>
      <c r="D225" s="1" t="s">
        <v>146</v>
      </c>
      <c r="E225" s="1" t="s">
        <v>136</v>
      </c>
      <c r="F225" s="1" t="s">
        <v>130</v>
      </c>
      <c r="G225" s="1" t="s">
        <v>1307</v>
      </c>
      <c r="H225" s="1" t="s">
        <v>24</v>
      </c>
      <c r="I225" s="1" t="s">
        <v>130</v>
      </c>
      <c r="J225" s="1" t="s">
        <v>158</v>
      </c>
      <c r="K225" s="1" t="s">
        <v>50</v>
      </c>
      <c r="L225" s="1"/>
      <c r="M225" s="1"/>
      <c r="N225" s="1" t="str">
        <f t="shared" si="33"/>
        <v>No</v>
      </c>
      <c r="O225" s="1">
        <f t="shared" si="34"/>
        <v>40</v>
      </c>
      <c r="P225" s="1">
        <f t="shared" si="35"/>
        <v>31</v>
      </c>
      <c r="Q225" s="1">
        <f t="shared" si="32"/>
        <v>6</v>
      </c>
      <c r="R225" s="1">
        <f t="shared" si="32"/>
        <v>1</v>
      </c>
      <c r="S225" s="31">
        <f t="shared" si="32"/>
        <v>129.03</v>
      </c>
      <c r="T225" s="1" t="str">
        <f t="shared" si="36"/>
        <v>caught</v>
      </c>
      <c r="U225" s="1" t="str">
        <f t="shared" si="37"/>
        <v>1</v>
      </c>
      <c r="V225" s="1" t="str">
        <f t="shared" si="38"/>
        <v xml:space="preserve"> Australia</v>
      </c>
      <c r="W225" s="1" t="str">
        <f t="shared" si="39"/>
        <v>Nagpur</v>
      </c>
      <c r="X225" s="1" t="str">
        <f t="shared" si="40"/>
        <v>Yes</v>
      </c>
      <c r="Y225" s="1"/>
    </row>
    <row r="226" spans="1:25" ht="14.25" customHeight="1">
      <c r="A226" s="1"/>
      <c r="B226" s="1">
        <v>208</v>
      </c>
      <c r="C226" s="1" t="s">
        <v>176</v>
      </c>
      <c r="D226" s="1" t="s">
        <v>138</v>
      </c>
      <c r="E226" s="1" t="s">
        <v>130</v>
      </c>
      <c r="F226" s="1" t="s">
        <v>131</v>
      </c>
      <c r="G226" s="1" t="s">
        <v>1308</v>
      </c>
      <c r="H226" s="1" t="s">
        <v>29</v>
      </c>
      <c r="I226" s="1" t="s">
        <v>151</v>
      </c>
      <c r="J226" s="1" t="s">
        <v>158</v>
      </c>
      <c r="K226" s="1" t="s">
        <v>52</v>
      </c>
      <c r="L226" s="1"/>
      <c r="M226" s="1"/>
      <c r="N226" s="1" t="str">
        <f t="shared" si="33"/>
        <v>No</v>
      </c>
      <c r="O226" s="1">
        <f t="shared" si="34"/>
        <v>11</v>
      </c>
      <c r="P226" s="1">
        <f t="shared" si="35"/>
        <v>25</v>
      </c>
      <c r="Q226" s="1">
        <f t="shared" si="32"/>
        <v>1</v>
      </c>
      <c r="R226" s="1">
        <f t="shared" si="32"/>
        <v>0</v>
      </c>
      <c r="S226" s="31">
        <f t="shared" si="32"/>
        <v>44</v>
      </c>
      <c r="T226" s="1" t="str">
        <f t="shared" si="36"/>
        <v>bowled</v>
      </c>
      <c r="U226" s="1" t="str">
        <f t="shared" si="37"/>
        <v>2</v>
      </c>
      <c r="V226" s="1" t="str">
        <f t="shared" si="38"/>
        <v xml:space="preserve"> Australia</v>
      </c>
      <c r="W226" s="1" t="str">
        <f t="shared" si="39"/>
        <v>Delhi</v>
      </c>
      <c r="X226" s="1" t="str">
        <f t="shared" si="40"/>
        <v>Yes</v>
      </c>
      <c r="Y226" s="1"/>
    </row>
    <row r="227" spans="1:25" ht="14.25" customHeight="1">
      <c r="A227" s="1"/>
      <c r="B227" s="1">
        <v>209</v>
      </c>
      <c r="C227" s="1" t="s">
        <v>164</v>
      </c>
      <c r="D227" s="1" t="s">
        <v>170</v>
      </c>
      <c r="E227" s="1" t="s">
        <v>144</v>
      </c>
      <c r="F227" s="1" t="s">
        <v>131</v>
      </c>
      <c r="G227" s="1" t="s">
        <v>1020</v>
      </c>
      <c r="H227" s="1" t="s">
        <v>24</v>
      </c>
      <c r="I227" s="1" t="s">
        <v>151</v>
      </c>
      <c r="J227" s="1" t="s">
        <v>158</v>
      </c>
      <c r="K227" s="1" t="s">
        <v>46</v>
      </c>
      <c r="L227" s="1"/>
      <c r="M227" s="1"/>
      <c r="N227" s="1" t="str">
        <f t="shared" si="33"/>
        <v>No</v>
      </c>
      <c r="O227" s="1">
        <f t="shared" si="34"/>
        <v>30</v>
      </c>
      <c r="P227" s="1">
        <f t="shared" si="35"/>
        <v>19</v>
      </c>
      <c r="Q227" s="1">
        <f t="shared" ref="Q227:S269" si="41">IF(E227="-","NA",E227*1)</f>
        <v>7</v>
      </c>
      <c r="R227" s="1">
        <f t="shared" si="41"/>
        <v>0</v>
      </c>
      <c r="S227" s="31">
        <f t="shared" si="41"/>
        <v>157.88999999999999</v>
      </c>
      <c r="T227" s="1" t="str">
        <f t="shared" si="36"/>
        <v>caught</v>
      </c>
      <c r="U227" s="1" t="str">
        <f t="shared" si="37"/>
        <v>2</v>
      </c>
      <c r="V227" s="1" t="str">
        <f t="shared" si="38"/>
        <v xml:space="preserve"> Australia</v>
      </c>
      <c r="W227" s="1" t="str">
        <f t="shared" si="39"/>
        <v>Mohali</v>
      </c>
      <c r="X227" s="1" t="str">
        <f t="shared" si="40"/>
        <v>Yes</v>
      </c>
      <c r="Y227" s="1"/>
    </row>
    <row r="228" spans="1:25" ht="14.25" customHeight="1">
      <c r="A228" s="1"/>
      <c r="B228" s="1">
        <v>210</v>
      </c>
      <c r="C228" s="1" t="s">
        <v>139</v>
      </c>
      <c r="D228" s="1" t="s">
        <v>164</v>
      </c>
      <c r="E228" s="1" t="s">
        <v>202</v>
      </c>
      <c r="F228" s="1" t="s">
        <v>130</v>
      </c>
      <c r="G228" s="1" t="s">
        <v>1309</v>
      </c>
      <c r="H228" s="1" t="s">
        <v>24</v>
      </c>
      <c r="I228" s="1" t="s">
        <v>151</v>
      </c>
      <c r="J228" s="1" t="s">
        <v>158</v>
      </c>
      <c r="K228" s="1" t="s">
        <v>85</v>
      </c>
      <c r="L228" s="1"/>
      <c r="M228" s="1"/>
      <c r="N228" s="1" t="str">
        <f t="shared" si="33"/>
        <v>No</v>
      </c>
      <c r="O228" s="1">
        <f t="shared" si="34"/>
        <v>38</v>
      </c>
      <c r="P228" s="1">
        <f t="shared" si="35"/>
        <v>30</v>
      </c>
      <c r="Q228" s="1">
        <f t="shared" si="41"/>
        <v>5</v>
      </c>
      <c r="R228" s="1">
        <f t="shared" si="41"/>
        <v>1</v>
      </c>
      <c r="S228" s="31">
        <f t="shared" si="41"/>
        <v>126.66</v>
      </c>
      <c r="T228" s="1" t="str">
        <f t="shared" si="36"/>
        <v>caught</v>
      </c>
      <c r="U228" s="1" t="str">
        <f t="shared" si="37"/>
        <v>2</v>
      </c>
      <c r="V228" s="1" t="str">
        <f t="shared" si="38"/>
        <v xml:space="preserve"> Australia</v>
      </c>
      <c r="W228" s="1" t="str">
        <f t="shared" si="39"/>
        <v>Hyderabad</v>
      </c>
      <c r="X228" s="1" t="str">
        <f t="shared" si="40"/>
        <v>Yes</v>
      </c>
      <c r="Y228" s="1"/>
    </row>
    <row r="229" spans="1:25" ht="14.25" customHeight="1">
      <c r="A229" s="1"/>
      <c r="B229" s="1">
        <v>211</v>
      </c>
      <c r="C229" s="1" t="s">
        <v>136</v>
      </c>
      <c r="D229" s="1" t="s">
        <v>140</v>
      </c>
      <c r="E229" s="1" t="s">
        <v>131</v>
      </c>
      <c r="F229" s="1" t="s">
        <v>130</v>
      </c>
      <c r="G229" s="1" t="s">
        <v>986</v>
      </c>
      <c r="H229" s="1" t="s">
        <v>29</v>
      </c>
      <c r="I229" s="1" t="s">
        <v>130</v>
      </c>
      <c r="J229" s="1" t="s">
        <v>158</v>
      </c>
      <c r="K229" s="1" t="s">
        <v>66</v>
      </c>
      <c r="L229" s="1"/>
      <c r="M229" s="1"/>
      <c r="N229" s="1" t="str">
        <f t="shared" si="33"/>
        <v>No</v>
      </c>
      <c r="O229" s="1">
        <f t="shared" si="34"/>
        <v>6</v>
      </c>
      <c r="P229" s="1">
        <f t="shared" si="35"/>
        <v>4</v>
      </c>
      <c r="Q229" s="1">
        <f t="shared" si="41"/>
        <v>0</v>
      </c>
      <c r="R229" s="1">
        <f t="shared" si="41"/>
        <v>1</v>
      </c>
      <c r="S229" s="31">
        <f t="shared" si="41"/>
        <v>150</v>
      </c>
      <c r="T229" s="1" t="str">
        <f t="shared" si="36"/>
        <v>bowled</v>
      </c>
      <c r="U229" s="1" t="str">
        <f t="shared" si="37"/>
        <v>1</v>
      </c>
      <c r="V229" s="1" t="str">
        <f t="shared" si="38"/>
        <v xml:space="preserve"> Australia</v>
      </c>
      <c r="W229" s="1" t="str">
        <f t="shared" si="39"/>
        <v>Guwahati</v>
      </c>
      <c r="X229" s="1" t="str">
        <f t="shared" si="40"/>
        <v>Yes</v>
      </c>
      <c r="Y229" s="1"/>
    </row>
    <row r="230" spans="1:25" ht="14.25" customHeight="1">
      <c r="A230" s="1"/>
      <c r="B230" s="1">
        <v>212</v>
      </c>
      <c r="C230" s="1" t="s">
        <v>1100</v>
      </c>
      <c r="D230" s="1" t="s">
        <v>180</v>
      </c>
      <c r="E230" s="1" t="s">
        <v>306</v>
      </c>
      <c r="F230" s="1" t="s">
        <v>136</v>
      </c>
      <c r="G230" s="1" t="s">
        <v>1310</v>
      </c>
      <c r="H230" s="1" t="s">
        <v>24</v>
      </c>
      <c r="I230" s="1" t="s">
        <v>130</v>
      </c>
      <c r="J230" s="1" t="s">
        <v>133</v>
      </c>
      <c r="K230" s="1" t="s">
        <v>48</v>
      </c>
      <c r="L230" s="1"/>
      <c r="M230" s="1"/>
      <c r="N230" s="1" t="str">
        <f t="shared" si="33"/>
        <v>No</v>
      </c>
      <c r="O230" s="1">
        <f t="shared" si="34"/>
        <v>146</v>
      </c>
      <c r="P230" s="1">
        <f t="shared" si="35"/>
        <v>102</v>
      </c>
      <c r="Q230" s="1">
        <f t="shared" si="41"/>
        <v>17</v>
      </c>
      <c r="R230" s="1">
        <f t="shared" si="41"/>
        <v>6</v>
      </c>
      <c r="S230" s="31">
        <f t="shared" si="41"/>
        <v>143.13</v>
      </c>
      <c r="T230" s="1" t="str">
        <f t="shared" si="36"/>
        <v>caught</v>
      </c>
      <c r="U230" s="1" t="str">
        <f t="shared" si="37"/>
        <v>1</v>
      </c>
      <c r="V230" s="1" t="str">
        <f t="shared" si="38"/>
        <v xml:space="preserve"> Sri Lanka</v>
      </c>
      <c r="W230" s="1" t="str">
        <f t="shared" si="39"/>
        <v>Rajkot</v>
      </c>
      <c r="X230" s="1" t="str">
        <f t="shared" si="40"/>
        <v>Yes</v>
      </c>
      <c r="Y230" s="1"/>
    </row>
    <row r="231" spans="1:25" ht="14.25" customHeight="1">
      <c r="A231" s="1"/>
      <c r="B231" s="1">
        <v>213</v>
      </c>
      <c r="C231" s="1" t="s">
        <v>140</v>
      </c>
      <c r="D231" s="1" t="s">
        <v>140</v>
      </c>
      <c r="E231" s="1" t="s">
        <v>130</v>
      </c>
      <c r="F231" s="1" t="s">
        <v>131</v>
      </c>
      <c r="G231" s="1" t="s">
        <v>152</v>
      </c>
      <c r="H231" s="1" t="s">
        <v>24</v>
      </c>
      <c r="I231" s="1" t="s">
        <v>130</v>
      </c>
      <c r="J231" s="1" t="s">
        <v>133</v>
      </c>
      <c r="K231" s="1" t="s">
        <v>50</v>
      </c>
      <c r="L231" s="1"/>
      <c r="M231" s="1"/>
      <c r="N231" s="1" t="str">
        <f t="shared" si="33"/>
        <v>No</v>
      </c>
      <c r="O231" s="1">
        <f t="shared" si="34"/>
        <v>4</v>
      </c>
      <c r="P231" s="1">
        <f t="shared" si="35"/>
        <v>4</v>
      </c>
      <c r="Q231" s="1">
        <f t="shared" si="41"/>
        <v>1</v>
      </c>
      <c r="R231" s="1">
        <f t="shared" si="41"/>
        <v>0</v>
      </c>
      <c r="S231" s="31">
        <f t="shared" si="41"/>
        <v>100</v>
      </c>
      <c r="T231" s="1" t="str">
        <f t="shared" si="36"/>
        <v>caught</v>
      </c>
      <c r="U231" s="1" t="str">
        <f t="shared" si="37"/>
        <v>1</v>
      </c>
      <c r="V231" s="1" t="str">
        <f t="shared" si="38"/>
        <v xml:space="preserve"> Sri Lanka</v>
      </c>
      <c r="W231" s="1" t="str">
        <f t="shared" si="39"/>
        <v>Nagpur</v>
      </c>
      <c r="X231" s="1" t="str">
        <f t="shared" si="40"/>
        <v>Yes</v>
      </c>
      <c r="Y231" s="1"/>
    </row>
    <row r="232" spans="1:25" ht="14.25" customHeight="1">
      <c r="A232" s="1"/>
      <c r="B232" s="1">
        <v>214</v>
      </c>
      <c r="C232" s="1" t="s">
        <v>369</v>
      </c>
      <c r="D232" s="1" t="s">
        <v>207</v>
      </c>
      <c r="E232" s="1" t="s">
        <v>161</v>
      </c>
      <c r="F232" s="1" t="s">
        <v>131</v>
      </c>
      <c r="G232" s="1" t="s">
        <v>1311</v>
      </c>
      <c r="H232" s="1" t="s">
        <v>24</v>
      </c>
      <c r="I232" s="1" t="s">
        <v>151</v>
      </c>
      <c r="J232" s="1" t="s">
        <v>133</v>
      </c>
      <c r="K232" s="1" t="s">
        <v>86</v>
      </c>
      <c r="L232" s="1"/>
      <c r="M232" s="1"/>
      <c r="N232" s="1" t="str">
        <f t="shared" si="33"/>
        <v>No</v>
      </c>
      <c r="O232" s="1">
        <f t="shared" si="34"/>
        <v>44</v>
      </c>
      <c r="P232" s="1">
        <f t="shared" si="35"/>
        <v>28</v>
      </c>
      <c r="Q232" s="1">
        <f t="shared" si="41"/>
        <v>9</v>
      </c>
      <c r="R232" s="1">
        <f t="shared" si="41"/>
        <v>0</v>
      </c>
      <c r="S232" s="31">
        <f t="shared" si="41"/>
        <v>157.13999999999999</v>
      </c>
      <c r="T232" s="1" t="str">
        <f t="shared" si="36"/>
        <v>caught</v>
      </c>
      <c r="U232" s="1" t="str">
        <f t="shared" si="37"/>
        <v>2</v>
      </c>
      <c r="V232" s="1" t="str">
        <f t="shared" si="38"/>
        <v xml:space="preserve"> Sri Lanka</v>
      </c>
      <c r="W232" s="1" t="str">
        <f t="shared" si="39"/>
        <v>Cuttack</v>
      </c>
      <c r="X232" s="1" t="str">
        <f t="shared" si="40"/>
        <v>Yes</v>
      </c>
      <c r="Y232" s="1"/>
    </row>
    <row r="233" spans="1:25" ht="14.25" customHeight="1">
      <c r="A233" s="1"/>
      <c r="B233" s="1">
        <v>215</v>
      </c>
      <c r="C233" s="1" t="s">
        <v>167</v>
      </c>
      <c r="D233" s="1" t="s">
        <v>167</v>
      </c>
      <c r="E233" s="1" t="s">
        <v>151</v>
      </c>
      <c r="F233" s="1" t="s">
        <v>131</v>
      </c>
      <c r="G233" s="1" t="s">
        <v>152</v>
      </c>
      <c r="H233" s="1" t="s">
        <v>24</v>
      </c>
      <c r="I233" s="1" t="s">
        <v>151</v>
      </c>
      <c r="J233" s="1" t="s">
        <v>133</v>
      </c>
      <c r="K233" s="1" t="s">
        <v>51</v>
      </c>
      <c r="L233" s="1"/>
      <c r="M233" s="1"/>
      <c r="N233" s="1" t="str">
        <f t="shared" si="33"/>
        <v>No</v>
      </c>
      <c r="O233" s="1">
        <f t="shared" si="34"/>
        <v>10</v>
      </c>
      <c r="P233" s="1">
        <f t="shared" si="35"/>
        <v>10</v>
      </c>
      <c r="Q233" s="1">
        <f t="shared" si="41"/>
        <v>2</v>
      </c>
      <c r="R233" s="1">
        <f t="shared" si="41"/>
        <v>0</v>
      </c>
      <c r="S233" s="31">
        <f t="shared" si="41"/>
        <v>100</v>
      </c>
      <c r="T233" s="1" t="str">
        <f t="shared" si="36"/>
        <v>caught</v>
      </c>
      <c r="U233" s="1" t="str">
        <f t="shared" si="37"/>
        <v>2</v>
      </c>
      <c r="V233" s="1" t="str">
        <f t="shared" si="38"/>
        <v xml:space="preserve"> Sri Lanka</v>
      </c>
      <c r="W233" s="1" t="str">
        <f t="shared" si="39"/>
        <v>Eden Gardens</v>
      </c>
      <c r="X233" s="1" t="str">
        <f t="shared" si="40"/>
        <v>Yes</v>
      </c>
      <c r="Y233" s="1"/>
    </row>
    <row r="234" spans="1:25" ht="14.25" customHeight="1">
      <c r="A234" s="1"/>
      <c r="B234" s="1">
        <v>216</v>
      </c>
      <c r="C234" s="1" t="s">
        <v>38</v>
      </c>
      <c r="D234" s="1" t="s">
        <v>157</v>
      </c>
      <c r="E234" s="1" t="s">
        <v>157</v>
      </c>
      <c r="F234" s="1" t="s">
        <v>157</v>
      </c>
      <c r="G234" s="1" t="s">
        <v>157</v>
      </c>
      <c r="H234" s="1" t="s">
        <v>157</v>
      </c>
      <c r="I234" s="1" t="s">
        <v>157</v>
      </c>
      <c r="J234" s="1" t="s">
        <v>133</v>
      </c>
      <c r="K234" s="1" t="s">
        <v>52</v>
      </c>
      <c r="L234" s="1"/>
      <c r="M234" s="1"/>
      <c r="N234" s="1" t="str">
        <f t="shared" si="33"/>
        <v>Yes</v>
      </c>
      <c r="O234" s="1" t="str">
        <f t="shared" si="34"/>
        <v>NA</v>
      </c>
      <c r="P234" s="1" t="str">
        <f t="shared" si="35"/>
        <v>NA</v>
      </c>
      <c r="Q234" s="1" t="str">
        <f t="shared" si="41"/>
        <v>NA</v>
      </c>
      <c r="R234" s="1" t="str">
        <f t="shared" si="41"/>
        <v>NA</v>
      </c>
      <c r="S234" s="31" t="str">
        <f t="shared" si="41"/>
        <v>NA</v>
      </c>
      <c r="T234" s="1" t="str">
        <f t="shared" si="36"/>
        <v>NA</v>
      </c>
      <c r="U234" s="1" t="str">
        <f t="shared" si="37"/>
        <v>-</v>
      </c>
      <c r="V234" s="1" t="str">
        <f t="shared" si="38"/>
        <v xml:space="preserve"> Sri Lanka</v>
      </c>
      <c r="W234" s="1" t="str">
        <f t="shared" si="39"/>
        <v>Delhi</v>
      </c>
      <c r="X234" s="1" t="str">
        <f t="shared" si="40"/>
        <v>No</v>
      </c>
      <c r="Y234" s="1"/>
    </row>
    <row r="235" spans="1:25" ht="14.25" customHeight="1">
      <c r="A235" s="1"/>
      <c r="B235" s="1">
        <v>217</v>
      </c>
      <c r="C235" s="1" t="s">
        <v>419</v>
      </c>
      <c r="D235" s="1" t="s">
        <v>146</v>
      </c>
      <c r="E235" s="1" t="s">
        <v>161</v>
      </c>
      <c r="F235" s="1" t="s">
        <v>131</v>
      </c>
      <c r="G235" s="1" t="s">
        <v>945</v>
      </c>
      <c r="H235" s="1" t="s">
        <v>24</v>
      </c>
      <c r="I235" s="1" t="s">
        <v>130</v>
      </c>
      <c r="J235" s="1" t="s">
        <v>133</v>
      </c>
      <c r="K235" s="1" t="s">
        <v>53</v>
      </c>
      <c r="L235" s="1"/>
      <c r="M235" s="1"/>
      <c r="N235" s="1" t="str">
        <f t="shared" si="33"/>
        <v>No</v>
      </c>
      <c r="O235" s="1">
        <f t="shared" si="34"/>
        <v>47</v>
      </c>
      <c r="P235" s="1">
        <f t="shared" si="35"/>
        <v>31</v>
      </c>
      <c r="Q235" s="1">
        <f t="shared" si="41"/>
        <v>9</v>
      </c>
      <c r="R235" s="1">
        <f t="shared" si="41"/>
        <v>0</v>
      </c>
      <c r="S235" s="31">
        <f t="shared" si="41"/>
        <v>151.61000000000001</v>
      </c>
      <c r="T235" s="1" t="str">
        <f t="shared" si="36"/>
        <v>caught</v>
      </c>
      <c r="U235" s="1" t="str">
        <f t="shared" si="37"/>
        <v>1</v>
      </c>
      <c r="V235" s="1" t="str">
        <f t="shared" si="38"/>
        <v xml:space="preserve"> Sri Lanka</v>
      </c>
      <c r="W235" s="1" t="str">
        <f t="shared" si="39"/>
        <v>Mirpur</v>
      </c>
      <c r="X235" s="1" t="str">
        <f t="shared" si="40"/>
        <v>Yes</v>
      </c>
      <c r="Y235" s="1"/>
    </row>
    <row r="236" spans="1:25" ht="14.25" customHeight="1">
      <c r="A236" s="1"/>
      <c r="B236" s="1">
        <v>218</v>
      </c>
      <c r="C236" s="1" t="s">
        <v>325</v>
      </c>
      <c r="D236" s="1" t="s">
        <v>189</v>
      </c>
      <c r="E236" s="1" t="s">
        <v>151</v>
      </c>
      <c r="F236" s="1" t="s">
        <v>131</v>
      </c>
      <c r="G236" s="1" t="s">
        <v>1312</v>
      </c>
      <c r="H236" s="1" t="s">
        <v>26</v>
      </c>
      <c r="I236" s="1" t="s">
        <v>151</v>
      </c>
      <c r="J236" s="1" t="s">
        <v>182</v>
      </c>
      <c r="K236" s="1" t="s">
        <v>53</v>
      </c>
      <c r="L236" s="1"/>
      <c r="M236" s="1"/>
      <c r="N236" s="1" t="str">
        <f t="shared" si="33"/>
        <v>No</v>
      </c>
      <c r="O236" s="1">
        <f t="shared" si="34"/>
        <v>13</v>
      </c>
      <c r="P236" s="1">
        <f t="shared" si="35"/>
        <v>8</v>
      </c>
      <c r="Q236" s="1">
        <f t="shared" si="41"/>
        <v>2</v>
      </c>
      <c r="R236" s="1">
        <f t="shared" si="41"/>
        <v>0</v>
      </c>
      <c r="S236" s="31">
        <f t="shared" si="41"/>
        <v>162.5</v>
      </c>
      <c r="T236" s="1" t="str">
        <f t="shared" si="36"/>
        <v>run out</v>
      </c>
      <c r="U236" s="1" t="str">
        <f t="shared" si="37"/>
        <v>2</v>
      </c>
      <c r="V236" s="1" t="str">
        <f t="shared" si="38"/>
        <v xml:space="preserve"> Bangladesh</v>
      </c>
      <c r="W236" s="1" t="str">
        <f t="shared" si="39"/>
        <v>Mirpur</v>
      </c>
      <c r="X236" s="1" t="str">
        <f t="shared" si="40"/>
        <v>Yes</v>
      </c>
      <c r="Y236" s="1"/>
    </row>
    <row r="237" spans="1:25" ht="14.25" customHeight="1">
      <c r="A237" s="1"/>
      <c r="B237" s="1">
        <v>219</v>
      </c>
      <c r="C237" s="1" t="s">
        <v>386</v>
      </c>
      <c r="D237" s="1" t="s">
        <v>169</v>
      </c>
      <c r="E237" s="1" t="s">
        <v>144</v>
      </c>
      <c r="F237" s="1" t="s">
        <v>131</v>
      </c>
      <c r="G237" s="1" t="s">
        <v>1313</v>
      </c>
      <c r="H237" s="1" t="s">
        <v>24</v>
      </c>
      <c r="I237" s="1" t="s">
        <v>130</v>
      </c>
      <c r="J237" s="1" t="s">
        <v>133</v>
      </c>
      <c r="K237" s="1" t="s">
        <v>53</v>
      </c>
      <c r="L237" s="1"/>
      <c r="M237" s="1"/>
      <c r="N237" s="1" t="str">
        <f t="shared" si="33"/>
        <v>No</v>
      </c>
      <c r="O237" s="1">
        <f t="shared" si="34"/>
        <v>42</v>
      </c>
      <c r="P237" s="1">
        <f t="shared" si="35"/>
        <v>27</v>
      </c>
      <c r="Q237" s="1">
        <f t="shared" si="41"/>
        <v>7</v>
      </c>
      <c r="R237" s="1">
        <f t="shared" si="41"/>
        <v>0</v>
      </c>
      <c r="S237" s="31">
        <f t="shared" si="41"/>
        <v>155.55000000000001</v>
      </c>
      <c r="T237" s="1" t="str">
        <f t="shared" si="36"/>
        <v>caught</v>
      </c>
      <c r="U237" s="1" t="str">
        <f t="shared" si="37"/>
        <v>1</v>
      </c>
      <c r="V237" s="1" t="str">
        <f t="shared" si="38"/>
        <v xml:space="preserve"> Sri Lanka</v>
      </c>
      <c r="W237" s="1" t="str">
        <f t="shared" si="39"/>
        <v>Mirpur</v>
      </c>
      <c r="X237" s="1" t="str">
        <f t="shared" si="40"/>
        <v>Yes</v>
      </c>
      <c r="Y237" s="1"/>
    </row>
    <row r="238" spans="1:25" ht="14.25" customHeight="1">
      <c r="A238" s="1"/>
      <c r="B238" s="1">
        <v>220</v>
      </c>
      <c r="C238" s="1" t="s">
        <v>147</v>
      </c>
      <c r="D238" s="1" t="s">
        <v>134</v>
      </c>
      <c r="E238" s="1" t="s">
        <v>136</v>
      </c>
      <c r="F238" s="1" t="s">
        <v>151</v>
      </c>
      <c r="G238" s="1" t="s">
        <v>1314</v>
      </c>
      <c r="H238" s="1" t="s">
        <v>26</v>
      </c>
      <c r="I238" s="1" t="s">
        <v>130</v>
      </c>
      <c r="J238" s="1" t="s">
        <v>191</v>
      </c>
      <c r="K238" s="1" t="s">
        <v>56</v>
      </c>
      <c r="L238" s="1"/>
      <c r="M238" s="1"/>
      <c r="N238" s="1" t="str">
        <f t="shared" si="33"/>
        <v>No</v>
      </c>
      <c r="O238" s="1">
        <f t="shared" si="34"/>
        <v>46</v>
      </c>
      <c r="P238" s="1">
        <f t="shared" si="35"/>
        <v>37</v>
      </c>
      <c r="Q238" s="1">
        <f t="shared" si="41"/>
        <v>6</v>
      </c>
      <c r="R238" s="1">
        <f t="shared" si="41"/>
        <v>2</v>
      </c>
      <c r="S238" s="31">
        <f t="shared" si="41"/>
        <v>124.32</v>
      </c>
      <c r="T238" s="1" t="str">
        <f t="shared" si="36"/>
        <v>run out</v>
      </c>
      <c r="U238" s="1" t="str">
        <f t="shared" si="37"/>
        <v>1</v>
      </c>
      <c r="V238" s="1" t="str">
        <f t="shared" si="38"/>
        <v xml:space="preserve"> South Africa</v>
      </c>
      <c r="W238" s="1" t="str">
        <f t="shared" si="39"/>
        <v>Jaipur</v>
      </c>
      <c r="X238" s="1" t="str">
        <f t="shared" si="40"/>
        <v>Yes</v>
      </c>
      <c r="Y238" s="1"/>
    </row>
    <row r="239" spans="1:25" ht="14.25" customHeight="1">
      <c r="A239" s="1"/>
      <c r="B239" s="1">
        <v>221</v>
      </c>
      <c r="C239" s="1" t="s">
        <v>161</v>
      </c>
      <c r="D239" s="1" t="s">
        <v>176</v>
      </c>
      <c r="E239" s="1" t="s">
        <v>130</v>
      </c>
      <c r="F239" s="1" t="s">
        <v>131</v>
      </c>
      <c r="G239" s="1" t="s">
        <v>145</v>
      </c>
      <c r="H239" s="1" t="s">
        <v>24</v>
      </c>
      <c r="I239" s="1" t="s">
        <v>130</v>
      </c>
      <c r="J239" s="1" t="s">
        <v>191</v>
      </c>
      <c r="K239" s="1" t="s">
        <v>58</v>
      </c>
      <c r="L239" s="1"/>
      <c r="M239" s="1"/>
      <c r="N239" s="1" t="str">
        <f t="shared" si="33"/>
        <v>No</v>
      </c>
      <c r="O239" s="1">
        <f t="shared" si="34"/>
        <v>9</v>
      </c>
      <c r="P239" s="1">
        <f t="shared" si="35"/>
        <v>11</v>
      </c>
      <c r="Q239" s="1">
        <f t="shared" si="41"/>
        <v>1</v>
      </c>
      <c r="R239" s="1">
        <f t="shared" si="41"/>
        <v>0</v>
      </c>
      <c r="S239" s="31">
        <f t="shared" si="41"/>
        <v>81.81</v>
      </c>
      <c r="T239" s="1" t="str">
        <f t="shared" si="36"/>
        <v>caught</v>
      </c>
      <c r="U239" s="1" t="str">
        <f t="shared" si="37"/>
        <v>1</v>
      </c>
      <c r="V239" s="1" t="str">
        <f t="shared" si="38"/>
        <v xml:space="preserve"> South Africa</v>
      </c>
      <c r="W239" s="1" t="str">
        <f t="shared" si="39"/>
        <v>Gwalior</v>
      </c>
      <c r="X239" s="1" t="str">
        <f t="shared" si="40"/>
        <v>Yes</v>
      </c>
      <c r="Y239" s="1"/>
    </row>
    <row r="240" spans="1:25" ht="14.25" customHeight="1">
      <c r="A240" s="1"/>
      <c r="B240" s="1">
        <v>222</v>
      </c>
      <c r="C240" s="1" t="s">
        <v>176</v>
      </c>
      <c r="D240" s="1" t="s">
        <v>205</v>
      </c>
      <c r="E240" s="1" t="s">
        <v>151</v>
      </c>
      <c r="F240" s="1" t="s">
        <v>131</v>
      </c>
      <c r="G240" s="1" t="s">
        <v>527</v>
      </c>
      <c r="H240" s="1" t="s">
        <v>24</v>
      </c>
      <c r="I240" s="1" t="s">
        <v>151</v>
      </c>
      <c r="J240" s="1" t="s">
        <v>182</v>
      </c>
      <c r="K240" s="1" t="s">
        <v>21</v>
      </c>
      <c r="L240" s="1"/>
      <c r="M240" s="1"/>
      <c r="N240" s="1" t="str">
        <f t="shared" si="33"/>
        <v>No</v>
      </c>
      <c r="O240" s="1">
        <f t="shared" si="34"/>
        <v>11</v>
      </c>
      <c r="P240" s="1">
        <f t="shared" si="35"/>
        <v>14</v>
      </c>
      <c r="Q240" s="1">
        <f t="shared" si="41"/>
        <v>2</v>
      </c>
      <c r="R240" s="1">
        <f t="shared" si="41"/>
        <v>0</v>
      </c>
      <c r="S240" s="31">
        <f t="shared" si="41"/>
        <v>78.569999999999993</v>
      </c>
      <c r="T240" s="1" t="str">
        <f t="shared" si="36"/>
        <v>caught</v>
      </c>
      <c r="U240" s="1" t="str">
        <f t="shared" si="37"/>
        <v>2</v>
      </c>
      <c r="V240" s="1" t="str">
        <f t="shared" si="38"/>
        <v xml:space="preserve"> Bangladesh</v>
      </c>
      <c r="W240" s="1" t="str">
        <f t="shared" si="39"/>
        <v>Dambulla</v>
      </c>
      <c r="X240" s="1" t="str">
        <f t="shared" si="40"/>
        <v>Yes</v>
      </c>
      <c r="Y240" s="1"/>
    </row>
    <row r="241" spans="1:25" ht="14.25" customHeight="1">
      <c r="A241" s="1"/>
      <c r="B241" s="1">
        <v>223</v>
      </c>
      <c r="C241" s="1" t="s">
        <v>167</v>
      </c>
      <c r="D241" s="1" t="s">
        <v>521</v>
      </c>
      <c r="E241" s="1" t="s">
        <v>130</v>
      </c>
      <c r="F241" s="1" t="s">
        <v>131</v>
      </c>
      <c r="G241" s="1" t="s">
        <v>1185</v>
      </c>
      <c r="H241" s="1" t="s">
        <v>24</v>
      </c>
      <c r="I241" s="1" t="s">
        <v>151</v>
      </c>
      <c r="J241" s="1" t="s">
        <v>156</v>
      </c>
      <c r="K241" s="1" t="s">
        <v>21</v>
      </c>
      <c r="L241" s="1"/>
      <c r="M241" s="1"/>
      <c r="N241" s="1" t="str">
        <f t="shared" si="33"/>
        <v>No</v>
      </c>
      <c r="O241" s="1">
        <f t="shared" si="34"/>
        <v>10</v>
      </c>
      <c r="P241" s="1">
        <f t="shared" si="35"/>
        <v>32</v>
      </c>
      <c r="Q241" s="1">
        <f t="shared" si="41"/>
        <v>1</v>
      </c>
      <c r="R241" s="1">
        <f t="shared" si="41"/>
        <v>0</v>
      </c>
      <c r="S241" s="31">
        <f t="shared" si="41"/>
        <v>31.25</v>
      </c>
      <c r="T241" s="1" t="str">
        <f t="shared" si="36"/>
        <v>caught</v>
      </c>
      <c r="U241" s="1" t="str">
        <f t="shared" si="37"/>
        <v>2</v>
      </c>
      <c r="V241" s="1" t="str">
        <f t="shared" si="38"/>
        <v xml:space="preserve"> Pakistan</v>
      </c>
      <c r="W241" s="1" t="str">
        <f t="shared" si="39"/>
        <v>Dambulla</v>
      </c>
      <c r="X241" s="1" t="str">
        <f t="shared" si="40"/>
        <v>Yes</v>
      </c>
      <c r="Y241" s="1"/>
    </row>
    <row r="242" spans="1:25" ht="14.25" customHeight="1">
      <c r="A242" s="1"/>
      <c r="B242" s="1">
        <v>224</v>
      </c>
      <c r="C242" s="1" t="s">
        <v>170</v>
      </c>
      <c r="D242" s="1" t="s">
        <v>304</v>
      </c>
      <c r="E242" s="1" t="s">
        <v>148</v>
      </c>
      <c r="F242" s="1" t="s">
        <v>131</v>
      </c>
      <c r="G242" s="1" t="s">
        <v>1292</v>
      </c>
      <c r="H242" s="1" t="s">
        <v>24</v>
      </c>
      <c r="I242" s="1" t="s">
        <v>151</v>
      </c>
      <c r="J242" s="1" t="s">
        <v>211</v>
      </c>
      <c r="K242" s="1" t="s">
        <v>21</v>
      </c>
      <c r="L242" s="1"/>
      <c r="M242" s="1"/>
      <c r="N242" s="1" t="str">
        <f t="shared" si="33"/>
        <v>No</v>
      </c>
      <c r="O242" s="1">
        <f t="shared" si="34"/>
        <v>19</v>
      </c>
      <c r="P242" s="1">
        <f t="shared" si="35"/>
        <v>23</v>
      </c>
      <c r="Q242" s="1">
        <f t="shared" si="41"/>
        <v>3</v>
      </c>
      <c r="R242" s="1">
        <f t="shared" si="41"/>
        <v>0</v>
      </c>
      <c r="S242" s="31">
        <f t="shared" si="41"/>
        <v>82.6</v>
      </c>
      <c r="T242" s="1" t="str">
        <f t="shared" si="36"/>
        <v>caught</v>
      </c>
      <c r="U242" s="1" t="str">
        <f t="shared" si="37"/>
        <v>2</v>
      </c>
      <c r="V242" s="1" t="str">
        <f t="shared" si="38"/>
        <v xml:space="preserve"> New Zealand</v>
      </c>
      <c r="W242" s="1" t="str">
        <f t="shared" si="39"/>
        <v>Dambulla</v>
      </c>
      <c r="X242" s="1" t="str">
        <f t="shared" si="40"/>
        <v>Yes</v>
      </c>
      <c r="Y242" s="1"/>
    </row>
    <row r="243" spans="1:25" ht="14.25" customHeight="1">
      <c r="A243" s="1"/>
      <c r="B243" s="1">
        <v>225</v>
      </c>
      <c r="C243" s="1" t="s">
        <v>1315</v>
      </c>
      <c r="D243" s="1" t="s">
        <v>342</v>
      </c>
      <c r="E243" s="1" t="s">
        <v>176</v>
      </c>
      <c r="F243" s="1" t="s">
        <v>151</v>
      </c>
      <c r="G243" s="1" t="s">
        <v>343</v>
      </c>
      <c r="H243" s="1" t="s">
        <v>32</v>
      </c>
      <c r="I243" s="1" t="s">
        <v>151</v>
      </c>
      <c r="J243" s="1" t="s">
        <v>133</v>
      </c>
      <c r="K243" s="1" t="s">
        <v>21</v>
      </c>
      <c r="L243" s="1"/>
      <c r="M243" s="1"/>
      <c r="N243" s="1" t="str">
        <f t="shared" si="33"/>
        <v>No</v>
      </c>
      <c r="O243" s="1">
        <f t="shared" si="34"/>
        <v>99</v>
      </c>
      <c r="P243" s="1">
        <f t="shared" si="35"/>
        <v>100</v>
      </c>
      <c r="Q243" s="1">
        <f t="shared" si="41"/>
        <v>11</v>
      </c>
      <c r="R243" s="1">
        <f t="shared" si="41"/>
        <v>2</v>
      </c>
      <c r="S243" s="31">
        <f t="shared" si="41"/>
        <v>99</v>
      </c>
      <c r="T243" s="1" t="str">
        <f t="shared" si="36"/>
        <v>not out</v>
      </c>
      <c r="U243" s="1" t="str">
        <f t="shared" si="37"/>
        <v>2</v>
      </c>
      <c r="V243" s="1" t="str">
        <f t="shared" si="38"/>
        <v xml:space="preserve"> Sri Lanka</v>
      </c>
      <c r="W243" s="1" t="str">
        <f t="shared" si="39"/>
        <v>Dambulla</v>
      </c>
      <c r="X243" s="1" t="str">
        <f t="shared" si="40"/>
        <v>No</v>
      </c>
      <c r="Y243" s="1"/>
    </row>
    <row r="244" spans="1:25" ht="14.25" customHeight="1">
      <c r="A244" s="1"/>
      <c r="B244" s="1">
        <v>226</v>
      </c>
      <c r="C244" s="1" t="s">
        <v>128</v>
      </c>
      <c r="D244" s="1" t="s">
        <v>128</v>
      </c>
      <c r="E244" s="1" t="s">
        <v>151</v>
      </c>
      <c r="F244" s="1" t="s">
        <v>131</v>
      </c>
      <c r="G244" s="1" t="s">
        <v>152</v>
      </c>
      <c r="H244" s="1" t="s">
        <v>19</v>
      </c>
      <c r="I244" s="1" t="s">
        <v>130</v>
      </c>
      <c r="J244" s="1" t="s">
        <v>133</v>
      </c>
      <c r="K244" s="1" t="s">
        <v>21</v>
      </c>
      <c r="L244" s="1"/>
      <c r="M244" s="1"/>
      <c r="N244" s="1" t="str">
        <f t="shared" si="33"/>
        <v>No</v>
      </c>
      <c r="O244" s="1">
        <f t="shared" si="34"/>
        <v>12</v>
      </c>
      <c r="P244" s="1">
        <f t="shared" si="35"/>
        <v>12</v>
      </c>
      <c r="Q244" s="1">
        <f t="shared" si="41"/>
        <v>2</v>
      </c>
      <c r="R244" s="1">
        <f t="shared" si="41"/>
        <v>0</v>
      </c>
      <c r="S244" s="31">
        <f t="shared" si="41"/>
        <v>100</v>
      </c>
      <c r="T244" s="1" t="str">
        <f t="shared" si="36"/>
        <v>lbw</v>
      </c>
      <c r="U244" s="1" t="str">
        <f t="shared" si="37"/>
        <v>1</v>
      </c>
      <c r="V244" s="1" t="str">
        <f t="shared" si="38"/>
        <v xml:space="preserve"> Sri Lanka</v>
      </c>
      <c r="W244" s="1" t="str">
        <f t="shared" si="39"/>
        <v>Dambulla</v>
      </c>
      <c r="X244" s="1" t="str">
        <f t="shared" si="40"/>
        <v>Yes</v>
      </c>
      <c r="Y244" s="1"/>
    </row>
    <row r="245" spans="1:25" ht="14.25" customHeight="1">
      <c r="A245" s="1"/>
      <c r="B245" s="1">
        <v>227</v>
      </c>
      <c r="C245" s="1" t="s">
        <v>500</v>
      </c>
      <c r="D245" s="1" t="s">
        <v>260</v>
      </c>
      <c r="E245" s="1" t="s">
        <v>153</v>
      </c>
      <c r="F245" s="1" t="s">
        <v>130</v>
      </c>
      <c r="G245" s="1" t="s">
        <v>1316</v>
      </c>
      <c r="H245" s="1" t="s">
        <v>24</v>
      </c>
      <c r="I245" s="1" t="s">
        <v>130</v>
      </c>
      <c r="J245" s="1" t="s">
        <v>211</v>
      </c>
      <c r="K245" s="1" t="s">
        <v>21</v>
      </c>
      <c r="L245" s="1"/>
      <c r="M245" s="1"/>
      <c r="N245" s="1" t="str">
        <f t="shared" si="33"/>
        <v>No</v>
      </c>
      <c r="O245" s="1">
        <f t="shared" si="34"/>
        <v>110</v>
      </c>
      <c r="P245" s="1">
        <f t="shared" si="35"/>
        <v>93</v>
      </c>
      <c r="Q245" s="1">
        <f t="shared" si="41"/>
        <v>16</v>
      </c>
      <c r="R245" s="1">
        <f t="shared" si="41"/>
        <v>1</v>
      </c>
      <c r="S245" s="31">
        <f t="shared" si="41"/>
        <v>118.27</v>
      </c>
      <c r="T245" s="1" t="str">
        <f t="shared" si="36"/>
        <v>caught</v>
      </c>
      <c r="U245" s="1" t="str">
        <f t="shared" si="37"/>
        <v>1</v>
      </c>
      <c r="V245" s="1" t="str">
        <f t="shared" si="38"/>
        <v xml:space="preserve"> New Zealand</v>
      </c>
      <c r="W245" s="1" t="str">
        <f t="shared" si="39"/>
        <v>Dambulla</v>
      </c>
      <c r="X245" s="1" t="str">
        <f t="shared" si="40"/>
        <v>Yes</v>
      </c>
      <c r="Y245" s="1"/>
    </row>
    <row r="246" spans="1:25" ht="14.25" customHeight="1">
      <c r="A246" s="1"/>
      <c r="B246" s="1">
        <v>228</v>
      </c>
      <c r="C246" s="1" t="s">
        <v>207</v>
      </c>
      <c r="D246" s="1" t="s">
        <v>129</v>
      </c>
      <c r="E246" s="1" t="s">
        <v>136</v>
      </c>
      <c r="F246" s="1" t="s">
        <v>131</v>
      </c>
      <c r="G246" s="1" t="s">
        <v>608</v>
      </c>
      <c r="H246" s="1" t="s">
        <v>26</v>
      </c>
      <c r="I246" s="1" t="s">
        <v>151</v>
      </c>
      <c r="J246" s="1" t="s">
        <v>133</v>
      </c>
      <c r="K246" s="1" t="s">
        <v>21</v>
      </c>
      <c r="L246" s="1"/>
      <c r="M246" s="1"/>
      <c r="N246" s="1" t="str">
        <f t="shared" si="33"/>
        <v>No</v>
      </c>
      <c r="O246" s="1">
        <f t="shared" si="34"/>
        <v>28</v>
      </c>
      <c r="P246" s="1">
        <f t="shared" si="35"/>
        <v>22</v>
      </c>
      <c r="Q246" s="1">
        <f t="shared" si="41"/>
        <v>6</v>
      </c>
      <c r="R246" s="1">
        <f t="shared" si="41"/>
        <v>0</v>
      </c>
      <c r="S246" s="31">
        <f t="shared" si="41"/>
        <v>127.27</v>
      </c>
      <c r="T246" s="1" t="str">
        <f t="shared" si="36"/>
        <v>run out</v>
      </c>
      <c r="U246" s="1" t="str">
        <f t="shared" si="37"/>
        <v>2</v>
      </c>
      <c r="V246" s="1" t="str">
        <f t="shared" si="38"/>
        <v xml:space="preserve"> Sri Lanka</v>
      </c>
      <c r="W246" s="1" t="str">
        <f t="shared" si="39"/>
        <v>Dambulla</v>
      </c>
      <c r="X246" s="1" t="str">
        <f t="shared" si="40"/>
        <v>Yes</v>
      </c>
      <c r="Y246" s="1"/>
    </row>
    <row r="247" spans="1:25" ht="14.25" customHeight="1">
      <c r="A247" s="1"/>
      <c r="B247" s="1">
        <v>229</v>
      </c>
      <c r="C247" s="1" t="s">
        <v>1191</v>
      </c>
      <c r="D247" s="1" t="s">
        <v>393</v>
      </c>
      <c r="E247" s="1" t="s">
        <v>205</v>
      </c>
      <c r="F247" s="1" t="s">
        <v>202</v>
      </c>
      <c r="G247" s="1" t="s">
        <v>633</v>
      </c>
      <c r="H247" s="1" t="s">
        <v>29</v>
      </c>
      <c r="I247" s="1" t="s">
        <v>130</v>
      </c>
      <c r="J247" s="1" t="s">
        <v>182</v>
      </c>
      <c r="K247" s="1" t="s">
        <v>53</v>
      </c>
      <c r="L247" s="1"/>
      <c r="M247" s="1"/>
      <c r="N247" s="1" t="str">
        <f t="shared" si="33"/>
        <v>No</v>
      </c>
      <c r="O247" s="1">
        <f t="shared" si="34"/>
        <v>175</v>
      </c>
      <c r="P247" s="1">
        <f t="shared" si="35"/>
        <v>140</v>
      </c>
      <c r="Q247" s="1">
        <f t="shared" si="41"/>
        <v>14</v>
      </c>
      <c r="R247" s="1">
        <f t="shared" si="41"/>
        <v>5</v>
      </c>
      <c r="S247" s="31">
        <f t="shared" si="41"/>
        <v>125</v>
      </c>
      <c r="T247" s="1" t="str">
        <f t="shared" si="36"/>
        <v>bowled</v>
      </c>
      <c r="U247" s="1" t="str">
        <f t="shared" si="37"/>
        <v>1</v>
      </c>
      <c r="V247" s="1" t="str">
        <f t="shared" si="38"/>
        <v xml:space="preserve"> Bangladesh</v>
      </c>
      <c r="W247" s="1" t="str">
        <f t="shared" si="39"/>
        <v>Mirpur</v>
      </c>
      <c r="X247" s="1" t="str">
        <f t="shared" si="40"/>
        <v>Yes</v>
      </c>
      <c r="Y247" s="1"/>
    </row>
    <row r="248" spans="1:25" ht="14.25" customHeight="1">
      <c r="A248" s="1"/>
      <c r="B248" s="1">
        <v>230</v>
      </c>
      <c r="C248" s="1" t="s">
        <v>248</v>
      </c>
      <c r="D248" s="1" t="s">
        <v>313</v>
      </c>
      <c r="E248" s="1" t="s">
        <v>136</v>
      </c>
      <c r="F248" s="1" t="s">
        <v>131</v>
      </c>
      <c r="G248" s="1" t="s">
        <v>1104</v>
      </c>
      <c r="H248" s="1" t="s">
        <v>24</v>
      </c>
      <c r="I248" s="1" t="s">
        <v>130</v>
      </c>
      <c r="J248" s="1" t="s">
        <v>234</v>
      </c>
      <c r="K248" s="1" t="s">
        <v>67</v>
      </c>
      <c r="L248" s="1"/>
      <c r="M248" s="1"/>
      <c r="N248" s="1" t="str">
        <f t="shared" si="33"/>
        <v>No</v>
      </c>
      <c r="O248" s="1">
        <f t="shared" si="34"/>
        <v>35</v>
      </c>
      <c r="P248" s="1">
        <f t="shared" si="35"/>
        <v>26</v>
      </c>
      <c r="Q248" s="1">
        <f t="shared" si="41"/>
        <v>6</v>
      </c>
      <c r="R248" s="1">
        <f t="shared" si="41"/>
        <v>0</v>
      </c>
      <c r="S248" s="31">
        <f t="shared" si="41"/>
        <v>134.61000000000001</v>
      </c>
      <c r="T248" s="1" t="str">
        <f t="shared" si="36"/>
        <v>caught</v>
      </c>
      <c r="U248" s="1" t="str">
        <f t="shared" si="37"/>
        <v>1</v>
      </c>
      <c r="V248" s="1" t="str">
        <f t="shared" si="38"/>
        <v xml:space="preserve"> England</v>
      </c>
      <c r="W248" s="1" t="str">
        <f t="shared" si="39"/>
        <v>Bengaluru</v>
      </c>
      <c r="X248" s="1" t="str">
        <f t="shared" si="40"/>
        <v>Yes</v>
      </c>
      <c r="Y248" s="1"/>
    </row>
    <row r="249" spans="1:25" ht="14.25" customHeight="1">
      <c r="A249" s="1"/>
      <c r="B249" s="1">
        <v>231</v>
      </c>
      <c r="C249" s="1" t="s">
        <v>202</v>
      </c>
      <c r="D249" s="1" t="s">
        <v>148</v>
      </c>
      <c r="E249" s="1" t="s">
        <v>130</v>
      </c>
      <c r="F249" s="1" t="s">
        <v>131</v>
      </c>
      <c r="G249" s="1" t="s">
        <v>923</v>
      </c>
      <c r="H249" s="1" t="s">
        <v>24</v>
      </c>
      <c r="I249" s="1" t="s">
        <v>151</v>
      </c>
      <c r="J249" s="1" t="s">
        <v>237</v>
      </c>
      <c r="K249" s="1" t="s">
        <v>67</v>
      </c>
      <c r="L249" s="1"/>
      <c r="M249" s="1"/>
      <c r="N249" s="1" t="str">
        <f t="shared" si="33"/>
        <v>No</v>
      </c>
      <c r="O249" s="1">
        <f t="shared" si="34"/>
        <v>5</v>
      </c>
      <c r="P249" s="1">
        <f t="shared" si="35"/>
        <v>3</v>
      </c>
      <c r="Q249" s="1">
        <f t="shared" si="41"/>
        <v>1</v>
      </c>
      <c r="R249" s="1">
        <f t="shared" si="41"/>
        <v>0</v>
      </c>
      <c r="S249" s="31">
        <f t="shared" si="41"/>
        <v>166.66</v>
      </c>
      <c r="T249" s="1" t="str">
        <f t="shared" si="36"/>
        <v>caught</v>
      </c>
      <c r="U249" s="1" t="str">
        <f t="shared" si="37"/>
        <v>2</v>
      </c>
      <c r="V249" s="1" t="str">
        <f t="shared" si="38"/>
        <v xml:space="preserve"> Ireland</v>
      </c>
      <c r="W249" s="1" t="str">
        <f t="shared" si="39"/>
        <v>Bengaluru</v>
      </c>
      <c r="X249" s="1" t="str">
        <f t="shared" si="40"/>
        <v>Yes</v>
      </c>
      <c r="Y249" s="1"/>
    </row>
    <row r="250" spans="1:25" ht="14.25" customHeight="1">
      <c r="A250" s="1"/>
      <c r="B250" s="1">
        <v>232</v>
      </c>
      <c r="C250" s="1" t="s">
        <v>436</v>
      </c>
      <c r="D250" s="1" t="s">
        <v>313</v>
      </c>
      <c r="E250" s="1" t="s">
        <v>202</v>
      </c>
      <c r="F250" s="1" t="s">
        <v>151</v>
      </c>
      <c r="G250" s="1" t="s">
        <v>986</v>
      </c>
      <c r="H250" s="1" t="s">
        <v>24</v>
      </c>
      <c r="I250" s="1" t="s">
        <v>151</v>
      </c>
      <c r="J250" s="1" t="s">
        <v>240</v>
      </c>
      <c r="K250" s="1" t="s">
        <v>52</v>
      </c>
      <c r="L250" s="1"/>
      <c r="M250" s="1"/>
      <c r="N250" s="1" t="str">
        <f t="shared" si="33"/>
        <v>No</v>
      </c>
      <c r="O250" s="1">
        <f t="shared" si="34"/>
        <v>39</v>
      </c>
      <c r="P250" s="1">
        <f t="shared" si="35"/>
        <v>26</v>
      </c>
      <c r="Q250" s="1">
        <f t="shared" si="41"/>
        <v>5</v>
      </c>
      <c r="R250" s="1">
        <f t="shared" si="41"/>
        <v>2</v>
      </c>
      <c r="S250" s="31">
        <f t="shared" si="41"/>
        <v>150</v>
      </c>
      <c r="T250" s="1" t="str">
        <f t="shared" si="36"/>
        <v>caught</v>
      </c>
      <c r="U250" s="1" t="str">
        <f t="shared" si="37"/>
        <v>2</v>
      </c>
      <c r="V250" s="1" t="str">
        <f t="shared" si="38"/>
        <v xml:space="preserve"> Netherlands</v>
      </c>
      <c r="W250" s="1" t="str">
        <f t="shared" si="39"/>
        <v>Delhi</v>
      </c>
      <c r="X250" s="1" t="str">
        <f t="shared" si="40"/>
        <v>Yes</v>
      </c>
      <c r="Y250" s="1"/>
    </row>
    <row r="251" spans="1:25" ht="14.25" customHeight="1">
      <c r="A251" s="1"/>
      <c r="B251" s="1">
        <v>233</v>
      </c>
      <c r="C251" s="1" t="s">
        <v>219</v>
      </c>
      <c r="D251" s="1" t="s">
        <v>143</v>
      </c>
      <c r="E251" s="1" t="s">
        <v>128</v>
      </c>
      <c r="F251" s="1" t="s">
        <v>131</v>
      </c>
      <c r="G251" s="1" t="s">
        <v>1113</v>
      </c>
      <c r="H251" s="1" t="s">
        <v>29</v>
      </c>
      <c r="I251" s="1" t="s">
        <v>130</v>
      </c>
      <c r="J251" s="1" t="s">
        <v>191</v>
      </c>
      <c r="K251" s="1" t="s">
        <v>50</v>
      </c>
      <c r="L251" s="1"/>
      <c r="M251" s="1"/>
      <c r="N251" s="1" t="str">
        <f t="shared" si="33"/>
        <v>No</v>
      </c>
      <c r="O251" s="1">
        <f t="shared" si="34"/>
        <v>73</v>
      </c>
      <c r="P251" s="1">
        <f t="shared" si="35"/>
        <v>66</v>
      </c>
      <c r="Q251" s="1">
        <f t="shared" si="41"/>
        <v>12</v>
      </c>
      <c r="R251" s="1">
        <f t="shared" si="41"/>
        <v>0</v>
      </c>
      <c r="S251" s="31">
        <f t="shared" si="41"/>
        <v>110.6</v>
      </c>
      <c r="T251" s="1" t="str">
        <f t="shared" si="36"/>
        <v>bowled</v>
      </c>
      <c r="U251" s="1" t="str">
        <f t="shared" si="37"/>
        <v>1</v>
      </c>
      <c r="V251" s="1" t="str">
        <f t="shared" si="38"/>
        <v xml:space="preserve"> South Africa</v>
      </c>
      <c r="W251" s="1" t="str">
        <f t="shared" si="39"/>
        <v>Nagpur</v>
      </c>
      <c r="X251" s="1" t="str">
        <f t="shared" si="40"/>
        <v>Yes</v>
      </c>
      <c r="Y251" s="1"/>
    </row>
    <row r="252" spans="1:25" ht="14.25" customHeight="1">
      <c r="A252" s="1"/>
      <c r="B252" s="1">
        <v>234</v>
      </c>
      <c r="C252" s="1" t="s">
        <v>283</v>
      </c>
      <c r="D252" s="1" t="s">
        <v>129</v>
      </c>
      <c r="E252" s="1" t="s">
        <v>151</v>
      </c>
      <c r="F252" s="1" t="s">
        <v>131</v>
      </c>
      <c r="G252" s="1" t="s">
        <v>308</v>
      </c>
      <c r="H252" s="1" t="s">
        <v>24</v>
      </c>
      <c r="I252" s="1" t="s">
        <v>151</v>
      </c>
      <c r="J252" s="1" t="s">
        <v>158</v>
      </c>
      <c r="K252" s="1" t="s">
        <v>59</v>
      </c>
      <c r="L252" s="1"/>
      <c r="M252" s="1"/>
      <c r="N252" s="1" t="str">
        <f t="shared" si="33"/>
        <v>No</v>
      </c>
      <c r="O252" s="1">
        <f t="shared" si="34"/>
        <v>15</v>
      </c>
      <c r="P252" s="1">
        <f t="shared" si="35"/>
        <v>22</v>
      </c>
      <c r="Q252" s="1">
        <f t="shared" si="41"/>
        <v>2</v>
      </c>
      <c r="R252" s="1">
        <f t="shared" si="41"/>
        <v>0</v>
      </c>
      <c r="S252" s="31">
        <f t="shared" si="41"/>
        <v>68.180000000000007</v>
      </c>
      <c r="T252" s="1" t="str">
        <f t="shared" si="36"/>
        <v>caught</v>
      </c>
      <c r="U252" s="1" t="str">
        <f t="shared" si="37"/>
        <v>2</v>
      </c>
      <c r="V252" s="1" t="str">
        <f t="shared" si="38"/>
        <v xml:space="preserve"> Australia</v>
      </c>
      <c r="W252" s="1" t="str">
        <f t="shared" si="39"/>
        <v>Ahmedabad</v>
      </c>
      <c r="X252" s="1" t="str">
        <f t="shared" si="40"/>
        <v>Yes</v>
      </c>
      <c r="Y252" s="1"/>
    </row>
    <row r="253" spans="1:25" ht="14.25" customHeight="1">
      <c r="A253" s="1"/>
      <c r="B253" s="1">
        <v>235</v>
      </c>
      <c r="C253" s="1" t="s">
        <v>139</v>
      </c>
      <c r="D253" s="1" t="s">
        <v>138</v>
      </c>
      <c r="E253" s="1" t="s">
        <v>161</v>
      </c>
      <c r="F253" s="1" t="s">
        <v>131</v>
      </c>
      <c r="G253" s="1" t="s">
        <v>1317</v>
      </c>
      <c r="H253" s="1" t="s">
        <v>19</v>
      </c>
      <c r="I253" s="1" t="s">
        <v>130</v>
      </c>
      <c r="J253" s="1" t="s">
        <v>156</v>
      </c>
      <c r="K253" s="1" t="s">
        <v>46</v>
      </c>
      <c r="L253" s="1"/>
      <c r="M253" s="1"/>
      <c r="N253" s="1" t="str">
        <f t="shared" si="33"/>
        <v>No</v>
      </c>
      <c r="O253" s="1">
        <f t="shared" si="34"/>
        <v>38</v>
      </c>
      <c r="P253" s="1">
        <f t="shared" si="35"/>
        <v>25</v>
      </c>
      <c r="Q253" s="1">
        <f t="shared" si="41"/>
        <v>9</v>
      </c>
      <c r="R253" s="1">
        <f t="shared" si="41"/>
        <v>0</v>
      </c>
      <c r="S253" s="31">
        <f t="shared" si="41"/>
        <v>152</v>
      </c>
      <c r="T253" s="1" t="str">
        <f t="shared" si="36"/>
        <v>lbw</v>
      </c>
      <c r="U253" s="1" t="str">
        <f t="shared" si="37"/>
        <v>1</v>
      </c>
      <c r="V253" s="1" t="str">
        <f t="shared" si="38"/>
        <v xml:space="preserve"> Pakistan</v>
      </c>
      <c r="W253" s="1" t="str">
        <f t="shared" si="39"/>
        <v>Mohali</v>
      </c>
      <c r="X253" s="1" t="str">
        <f t="shared" si="40"/>
        <v>Yes</v>
      </c>
      <c r="Y253" s="1"/>
    </row>
    <row r="254" spans="1:25" ht="14.25" customHeight="1">
      <c r="A254" s="1"/>
      <c r="B254" s="1">
        <v>236</v>
      </c>
      <c r="C254" s="1" t="s">
        <v>131</v>
      </c>
      <c r="D254" s="1" t="s">
        <v>151</v>
      </c>
      <c r="E254" s="1" t="s">
        <v>131</v>
      </c>
      <c r="F254" s="1" t="s">
        <v>131</v>
      </c>
      <c r="G254" s="1" t="s">
        <v>210</v>
      </c>
      <c r="H254" s="1" t="s">
        <v>19</v>
      </c>
      <c r="I254" s="1" t="s">
        <v>151</v>
      </c>
      <c r="J254" s="1" t="s">
        <v>133</v>
      </c>
      <c r="K254" s="1" t="s">
        <v>75</v>
      </c>
      <c r="L254" s="1"/>
      <c r="M254" s="1"/>
      <c r="N254" s="1" t="str">
        <f t="shared" si="33"/>
        <v>No</v>
      </c>
      <c r="O254" s="1">
        <f t="shared" si="34"/>
        <v>0</v>
      </c>
      <c r="P254" s="1">
        <f t="shared" si="35"/>
        <v>2</v>
      </c>
      <c r="Q254" s="1">
        <f t="shared" si="41"/>
        <v>0</v>
      </c>
      <c r="R254" s="1">
        <f t="shared" si="41"/>
        <v>0</v>
      </c>
      <c r="S254" s="31">
        <f t="shared" si="41"/>
        <v>0</v>
      </c>
      <c r="T254" s="1" t="str">
        <f t="shared" si="36"/>
        <v>lbw</v>
      </c>
      <c r="U254" s="1" t="str">
        <f t="shared" si="37"/>
        <v>2</v>
      </c>
      <c r="V254" s="1" t="str">
        <f t="shared" si="38"/>
        <v xml:space="preserve"> Sri Lanka</v>
      </c>
      <c r="W254" s="1" t="str">
        <f t="shared" si="39"/>
        <v>Wankhede</v>
      </c>
      <c r="X254" s="1" t="str">
        <f t="shared" si="40"/>
        <v>Yes</v>
      </c>
      <c r="Y254" s="1"/>
    </row>
    <row r="255" spans="1:25" ht="14.25" customHeight="1">
      <c r="A255" s="1"/>
      <c r="B255" s="1">
        <v>237</v>
      </c>
      <c r="C255" s="1" t="s">
        <v>238</v>
      </c>
      <c r="D255" s="1" t="s">
        <v>200</v>
      </c>
      <c r="E255" s="1" t="s">
        <v>148</v>
      </c>
      <c r="F255" s="1" t="s">
        <v>131</v>
      </c>
      <c r="G255" s="1" t="s">
        <v>1318</v>
      </c>
      <c r="H255" s="1" t="s">
        <v>29</v>
      </c>
      <c r="I255" s="1" t="s">
        <v>151</v>
      </c>
      <c r="J255" s="1" t="s">
        <v>163</v>
      </c>
      <c r="K255" s="1" t="s">
        <v>86</v>
      </c>
      <c r="L255" s="1"/>
      <c r="M255" s="1"/>
      <c r="N255" s="1" t="str">
        <f t="shared" si="33"/>
        <v>No</v>
      </c>
      <c r="O255" s="1">
        <f t="shared" si="34"/>
        <v>20</v>
      </c>
      <c r="P255" s="1">
        <f t="shared" si="35"/>
        <v>29</v>
      </c>
      <c r="Q255" s="1">
        <f t="shared" si="41"/>
        <v>3</v>
      </c>
      <c r="R255" s="1">
        <f t="shared" si="41"/>
        <v>0</v>
      </c>
      <c r="S255" s="31">
        <f t="shared" si="41"/>
        <v>68.959999999999994</v>
      </c>
      <c r="T255" s="1" t="str">
        <f t="shared" si="36"/>
        <v>bowled</v>
      </c>
      <c r="U255" s="1" t="str">
        <f t="shared" si="37"/>
        <v>2</v>
      </c>
      <c r="V255" s="1" t="str">
        <f t="shared" si="38"/>
        <v xml:space="preserve"> West Indies</v>
      </c>
      <c r="W255" s="1" t="str">
        <f t="shared" si="39"/>
        <v>Cuttack</v>
      </c>
      <c r="X255" s="1" t="str">
        <f t="shared" si="40"/>
        <v>Yes</v>
      </c>
      <c r="Y255" s="1"/>
    </row>
    <row r="256" spans="1:25" ht="14.25" customHeight="1">
      <c r="A256" s="1"/>
      <c r="B256" s="1">
        <v>238</v>
      </c>
      <c r="C256" s="1" t="s">
        <v>313</v>
      </c>
      <c r="D256" s="1" t="s">
        <v>248</v>
      </c>
      <c r="E256" s="1" t="s">
        <v>148</v>
      </c>
      <c r="F256" s="1" t="s">
        <v>131</v>
      </c>
      <c r="G256" s="1" t="s">
        <v>1319</v>
      </c>
      <c r="H256" s="1" t="s">
        <v>24</v>
      </c>
      <c r="I256" s="1" t="s">
        <v>151</v>
      </c>
      <c r="J256" s="1" t="s">
        <v>163</v>
      </c>
      <c r="K256" s="1" t="s">
        <v>65</v>
      </c>
      <c r="L256" s="1"/>
      <c r="M256" s="1"/>
      <c r="N256" s="1" t="str">
        <f t="shared" si="33"/>
        <v>No</v>
      </c>
      <c r="O256" s="1">
        <f t="shared" si="34"/>
        <v>26</v>
      </c>
      <c r="P256" s="1">
        <f t="shared" si="35"/>
        <v>35</v>
      </c>
      <c r="Q256" s="1">
        <f t="shared" si="41"/>
        <v>3</v>
      </c>
      <c r="R256" s="1">
        <f t="shared" si="41"/>
        <v>0</v>
      </c>
      <c r="S256" s="31">
        <f t="shared" si="41"/>
        <v>74.28</v>
      </c>
      <c r="T256" s="1" t="str">
        <f t="shared" si="36"/>
        <v>caught</v>
      </c>
      <c r="U256" s="1" t="str">
        <f t="shared" si="37"/>
        <v>2</v>
      </c>
      <c r="V256" s="1" t="str">
        <f t="shared" si="38"/>
        <v xml:space="preserve"> West Indies</v>
      </c>
      <c r="W256" s="1" t="str">
        <f t="shared" si="39"/>
        <v>Visakhapatnam</v>
      </c>
      <c r="X256" s="1" t="str">
        <f t="shared" si="40"/>
        <v>Yes</v>
      </c>
      <c r="Y256" s="1"/>
    </row>
    <row r="257" spans="1:25" ht="14.25" customHeight="1">
      <c r="A257" s="1"/>
      <c r="B257" s="1">
        <v>239</v>
      </c>
      <c r="C257" s="1" t="s">
        <v>131</v>
      </c>
      <c r="D257" s="1" t="s">
        <v>130</v>
      </c>
      <c r="E257" s="1" t="s">
        <v>131</v>
      </c>
      <c r="F257" s="1" t="s">
        <v>131</v>
      </c>
      <c r="G257" s="1" t="s">
        <v>210</v>
      </c>
      <c r="H257" s="1" t="s">
        <v>24</v>
      </c>
      <c r="I257" s="1" t="s">
        <v>151</v>
      </c>
      <c r="J257" s="1" t="s">
        <v>163</v>
      </c>
      <c r="K257" s="1" t="s">
        <v>59</v>
      </c>
      <c r="L257" s="1"/>
      <c r="M257" s="1"/>
      <c r="N257" s="1" t="str">
        <f t="shared" si="33"/>
        <v>No</v>
      </c>
      <c r="O257" s="1">
        <f t="shared" si="34"/>
        <v>0</v>
      </c>
      <c r="P257" s="1">
        <f t="shared" si="35"/>
        <v>1</v>
      </c>
      <c r="Q257" s="1">
        <f t="shared" si="41"/>
        <v>0</v>
      </c>
      <c r="R257" s="1">
        <f t="shared" si="41"/>
        <v>0</v>
      </c>
      <c r="S257" s="31">
        <f t="shared" si="41"/>
        <v>0</v>
      </c>
      <c r="T257" s="1" t="str">
        <f t="shared" si="36"/>
        <v>caught</v>
      </c>
      <c r="U257" s="1" t="str">
        <f t="shared" si="37"/>
        <v>2</v>
      </c>
      <c r="V257" s="1" t="str">
        <f t="shared" si="38"/>
        <v xml:space="preserve"> West Indies</v>
      </c>
      <c r="W257" s="1" t="str">
        <f t="shared" si="39"/>
        <v>Ahmedabad</v>
      </c>
      <c r="X257" s="1" t="str">
        <f t="shared" si="40"/>
        <v>Yes</v>
      </c>
      <c r="Y257" s="1"/>
    </row>
    <row r="258" spans="1:25" ht="14.25" customHeight="1">
      <c r="A258" s="1"/>
      <c r="B258" s="1">
        <v>240</v>
      </c>
      <c r="C258" s="1" t="s">
        <v>1320</v>
      </c>
      <c r="D258" s="1" t="s">
        <v>1211</v>
      </c>
      <c r="E258" s="1" t="s">
        <v>138</v>
      </c>
      <c r="F258" s="1" t="s">
        <v>144</v>
      </c>
      <c r="G258" s="1" t="s">
        <v>1321</v>
      </c>
      <c r="H258" s="1" t="s">
        <v>24</v>
      </c>
      <c r="I258" s="1" t="s">
        <v>130</v>
      </c>
      <c r="J258" s="1" t="s">
        <v>163</v>
      </c>
      <c r="K258" s="1" t="s">
        <v>87</v>
      </c>
      <c r="L258" s="1"/>
      <c r="M258" s="1"/>
      <c r="N258" s="1" t="str">
        <f t="shared" si="33"/>
        <v>No</v>
      </c>
      <c r="O258" s="1">
        <f t="shared" si="34"/>
        <v>219</v>
      </c>
      <c r="P258" s="1">
        <f t="shared" si="35"/>
        <v>149</v>
      </c>
      <c r="Q258" s="1">
        <f t="shared" si="41"/>
        <v>25</v>
      </c>
      <c r="R258" s="1">
        <f t="shared" si="41"/>
        <v>7</v>
      </c>
      <c r="S258" s="31">
        <f t="shared" si="41"/>
        <v>146.97</v>
      </c>
      <c r="T258" s="1" t="str">
        <f t="shared" si="36"/>
        <v>caught</v>
      </c>
      <c r="U258" s="1" t="str">
        <f t="shared" si="37"/>
        <v>1</v>
      </c>
      <c r="V258" s="1" t="str">
        <f t="shared" si="38"/>
        <v xml:space="preserve"> West Indies</v>
      </c>
      <c r="W258" s="1" t="str">
        <f t="shared" si="39"/>
        <v>Indore</v>
      </c>
      <c r="X258" s="1" t="str">
        <f t="shared" si="40"/>
        <v>Yes</v>
      </c>
      <c r="Y258" s="1"/>
    </row>
    <row r="259" spans="1:25" ht="14.25" customHeight="1">
      <c r="A259" s="1"/>
      <c r="B259" s="1">
        <v>241</v>
      </c>
      <c r="C259" s="1" t="s">
        <v>167</v>
      </c>
      <c r="D259" s="1" t="s">
        <v>189</v>
      </c>
      <c r="E259" s="1" t="s">
        <v>151</v>
      </c>
      <c r="F259" s="1" t="s">
        <v>131</v>
      </c>
      <c r="G259" s="1" t="s">
        <v>633</v>
      </c>
      <c r="H259" s="1" t="s">
        <v>24</v>
      </c>
      <c r="I259" s="1" t="s">
        <v>151</v>
      </c>
      <c r="J259" s="1" t="s">
        <v>133</v>
      </c>
      <c r="K259" s="1" t="s">
        <v>89</v>
      </c>
      <c r="L259" s="1"/>
      <c r="M259" s="1"/>
      <c r="N259" s="1" t="str">
        <f t="shared" si="33"/>
        <v>No</v>
      </c>
      <c r="O259" s="1">
        <f t="shared" si="34"/>
        <v>10</v>
      </c>
      <c r="P259" s="1">
        <f t="shared" si="35"/>
        <v>8</v>
      </c>
      <c r="Q259" s="1">
        <f t="shared" si="41"/>
        <v>2</v>
      </c>
      <c r="R259" s="1">
        <f t="shared" si="41"/>
        <v>0</v>
      </c>
      <c r="S259" s="31">
        <f t="shared" si="41"/>
        <v>125</v>
      </c>
      <c r="T259" s="1" t="str">
        <f t="shared" si="36"/>
        <v>caught</v>
      </c>
      <c r="U259" s="1" t="str">
        <f t="shared" si="37"/>
        <v>2</v>
      </c>
      <c r="V259" s="1" t="str">
        <f t="shared" si="38"/>
        <v xml:space="preserve"> Sri Lanka</v>
      </c>
      <c r="W259" s="1" t="str">
        <f t="shared" si="39"/>
        <v>W.A.C.A</v>
      </c>
      <c r="X259" s="1" t="str">
        <f t="shared" si="40"/>
        <v>Yes</v>
      </c>
      <c r="Y259" s="1"/>
    </row>
    <row r="260" spans="1:25" ht="14.25" customHeight="1">
      <c r="A260" s="1"/>
      <c r="B260" s="1">
        <v>242</v>
      </c>
      <c r="C260" s="1" t="s">
        <v>238</v>
      </c>
      <c r="D260" s="1" t="s">
        <v>246</v>
      </c>
      <c r="E260" s="1" t="s">
        <v>148</v>
      </c>
      <c r="F260" s="1" t="s">
        <v>131</v>
      </c>
      <c r="G260" s="1" t="s">
        <v>1322</v>
      </c>
      <c r="H260" s="1" t="s">
        <v>24</v>
      </c>
      <c r="I260" s="1" t="s">
        <v>151</v>
      </c>
      <c r="J260" s="1" t="s">
        <v>158</v>
      </c>
      <c r="K260" s="1" t="s">
        <v>90</v>
      </c>
      <c r="L260" s="1"/>
      <c r="M260" s="1"/>
      <c r="N260" s="1" t="str">
        <f t="shared" si="33"/>
        <v>No</v>
      </c>
      <c r="O260" s="1">
        <f t="shared" si="34"/>
        <v>20</v>
      </c>
      <c r="P260" s="1">
        <f t="shared" si="35"/>
        <v>21</v>
      </c>
      <c r="Q260" s="1">
        <f t="shared" si="41"/>
        <v>3</v>
      </c>
      <c r="R260" s="1">
        <f t="shared" si="41"/>
        <v>0</v>
      </c>
      <c r="S260" s="31">
        <f t="shared" si="41"/>
        <v>95.23</v>
      </c>
      <c r="T260" s="1" t="str">
        <f t="shared" si="36"/>
        <v>caught</v>
      </c>
      <c r="U260" s="1" t="str">
        <f t="shared" si="37"/>
        <v>2</v>
      </c>
      <c r="V260" s="1" t="str">
        <f t="shared" si="38"/>
        <v xml:space="preserve"> Australia</v>
      </c>
      <c r="W260" s="1" t="str">
        <f t="shared" si="39"/>
        <v>Adelaide</v>
      </c>
      <c r="X260" s="1" t="str">
        <f t="shared" si="40"/>
        <v>Yes</v>
      </c>
      <c r="Y260" s="1"/>
    </row>
    <row r="261" spans="1:25" ht="14.25" customHeight="1">
      <c r="A261" s="1"/>
      <c r="B261" s="1">
        <v>243</v>
      </c>
      <c r="C261" s="1" t="s">
        <v>131</v>
      </c>
      <c r="D261" s="1" t="s">
        <v>151</v>
      </c>
      <c r="E261" s="1" t="s">
        <v>131</v>
      </c>
      <c r="F261" s="1" t="s">
        <v>131</v>
      </c>
      <c r="G261" s="1" t="s">
        <v>210</v>
      </c>
      <c r="H261" s="1" t="s">
        <v>24</v>
      </c>
      <c r="I261" s="1" t="s">
        <v>151</v>
      </c>
      <c r="J261" s="1" t="s">
        <v>133</v>
      </c>
      <c r="K261" s="1" t="s">
        <v>91</v>
      </c>
      <c r="L261" s="1"/>
      <c r="M261" s="1"/>
      <c r="N261" s="1" t="str">
        <f t="shared" si="33"/>
        <v>No</v>
      </c>
      <c r="O261" s="1">
        <f t="shared" si="34"/>
        <v>0</v>
      </c>
      <c r="P261" s="1">
        <f t="shared" si="35"/>
        <v>2</v>
      </c>
      <c r="Q261" s="1">
        <f t="shared" si="41"/>
        <v>0</v>
      </c>
      <c r="R261" s="1">
        <f t="shared" si="41"/>
        <v>0</v>
      </c>
      <c r="S261" s="31">
        <f t="shared" si="41"/>
        <v>0</v>
      </c>
      <c r="T261" s="1" t="str">
        <f t="shared" si="36"/>
        <v>caught</v>
      </c>
      <c r="U261" s="1" t="str">
        <f t="shared" si="37"/>
        <v>2</v>
      </c>
      <c r="V261" s="1" t="str">
        <f t="shared" si="38"/>
        <v xml:space="preserve"> Sri Lanka</v>
      </c>
      <c r="W261" s="1" t="str">
        <f t="shared" si="39"/>
        <v>Brisbane</v>
      </c>
      <c r="X261" s="1" t="str">
        <f t="shared" si="40"/>
        <v>Yes</v>
      </c>
      <c r="Y261" s="1"/>
    </row>
    <row r="262" spans="1:25" ht="14.25" customHeight="1">
      <c r="A262" s="1"/>
      <c r="B262" s="1">
        <v>244</v>
      </c>
      <c r="C262" s="1" t="s">
        <v>202</v>
      </c>
      <c r="D262" s="1" t="s">
        <v>176</v>
      </c>
      <c r="E262" s="1" t="s">
        <v>130</v>
      </c>
      <c r="F262" s="1" t="s">
        <v>131</v>
      </c>
      <c r="G262" s="1" t="s">
        <v>357</v>
      </c>
      <c r="H262" s="1" t="s">
        <v>24</v>
      </c>
      <c r="I262" s="1" t="s">
        <v>151</v>
      </c>
      <c r="J262" s="1" t="s">
        <v>158</v>
      </c>
      <c r="K262" s="1" t="s">
        <v>92</v>
      </c>
      <c r="L262" s="1"/>
      <c r="M262" s="1"/>
      <c r="N262" s="1" t="str">
        <f t="shared" si="33"/>
        <v>No</v>
      </c>
      <c r="O262" s="1">
        <f t="shared" si="34"/>
        <v>5</v>
      </c>
      <c r="P262" s="1">
        <f t="shared" si="35"/>
        <v>11</v>
      </c>
      <c r="Q262" s="1">
        <f t="shared" si="41"/>
        <v>1</v>
      </c>
      <c r="R262" s="1">
        <f t="shared" si="41"/>
        <v>0</v>
      </c>
      <c r="S262" s="31">
        <f t="shared" si="41"/>
        <v>45.45</v>
      </c>
      <c r="T262" s="1" t="str">
        <f t="shared" si="36"/>
        <v>caught</v>
      </c>
      <c r="U262" s="1" t="str">
        <f t="shared" si="37"/>
        <v>2</v>
      </c>
      <c r="V262" s="1" t="str">
        <f t="shared" si="38"/>
        <v xml:space="preserve"> Australia</v>
      </c>
      <c r="W262" s="1" t="str">
        <f t="shared" si="39"/>
        <v>Sydney</v>
      </c>
      <c r="X262" s="1" t="str">
        <f t="shared" si="40"/>
        <v>Yes</v>
      </c>
      <c r="Y262" s="1"/>
    </row>
    <row r="263" spans="1:25" ht="14.25" customHeight="1">
      <c r="A263" s="1"/>
      <c r="B263" s="1">
        <v>245</v>
      </c>
      <c r="C263" s="1" t="s">
        <v>164</v>
      </c>
      <c r="D263" s="1" t="s">
        <v>153</v>
      </c>
      <c r="E263" s="1" t="s">
        <v>202</v>
      </c>
      <c r="F263" s="1" t="s">
        <v>130</v>
      </c>
      <c r="G263" s="1" t="s">
        <v>1323</v>
      </c>
      <c r="H263" s="1" t="s">
        <v>24</v>
      </c>
      <c r="I263" s="1" t="s">
        <v>151</v>
      </c>
      <c r="J263" s="1" t="s">
        <v>133</v>
      </c>
      <c r="K263" s="1" t="s">
        <v>93</v>
      </c>
      <c r="L263" s="1"/>
      <c r="M263" s="1"/>
      <c r="N263" s="1" t="str">
        <f t="shared" si="33"/>
        <v>No</v>
      </c>
      <c r="O263" s="1">
        <f t="shared" si="34"/>
        <v>30</v>
      </c>
      <c r="P263" s="1">
        <f t="shared" si="35"/>
        <v>16</v>
      </c>
      <c r="Q263" s="1">
        <f t="shared" si="41"/>
        <v>5</v>
      </c>
      <c r="R263" s="1">
        <f t="shared" si="41"/>
        <v>1</v>
      </c>
      <c r="S263" s="31">
        <f t="shared" si="41"/>
        <v>187.5</v>
      </c>
      <c r="T263" s="1" t="str">
        <f t="shared" si="36"/>
        <v>caught</v>
      </c>
      <c r="U263" s="1" t="str">
        <f t="shared" si="37"/>
        <v>2</v>
      </c>
      <c r="V263" s="1" t="str">
        <f t="shared" si="38"/>
        <v xml:space="preserve"> Sri Lanka</v>
      </c>
      <c r="W263" s="1" t="str">
        <f t="shared" si="39"/>
        <v>Hobart</v>
      </c>
      <c r="X263" s="1" t="str">
        <f t="shared" si="40"/>
        <v>Yes</v>
      </c>
      <c r="Y263" s="1"/>
    </row>
    <row r="264" spans="1:25" ht="14.25" customHeight="1">
      <c r="A264" s="1"/>
      <c r="B264" s="1">
        <v>246</v>
      </c>
      <c r="C264" s="1" t="s">
        <v>430</v>
      </c>
      <c r="D264" s="1" t="s">
        <v>395</v>
      </c>
      <c r="E264" s="1" t="s">
        <v>167</v>
      </c>
      <c r="F264" s="1" t="s">
        <v>131</v>
      </c>
      <c r="G264" s="1" t="s">
        <v>1324</v>
      </c>
      <c r="H264" s="1" t="s">
        <v>26</v>
      </c>
      <c r="I264" s="1" t="s">
        <v>130</v>
      </c>
      <c r="J264" s="1" t="s">
        <v>133</v>
      </c>
      <c r="K264" s="1" t="s">
        <v>94</v>
      </c>
      <c r="L264" s="1"/>
      <c r="M264" s="1"/>
      <c r="N264" s="1" t="str">
        <f t="shared" si="33"/>
        <v>No</v>
      </c>
      <c r="O264" s="1">
        <f t="shared" si="34"/>
        <v>96</v>
      </c>
      <c r="P264" s="1">
        <f t="shared" si="35"/>
        <v>97</v>
      </c>
      <c r="Q264" s="1">
        <f t="shared" si="41"/>
        <v>10</v>
      </c>
      <c r="R264" s="1">
        <f t="shared" si="41"/>
        <v>0</v>
      </c>
      <c r="S264" s="31">
        <f t="shared" si="41"/>
        <v>98.96</v>
      </c>
      <c r="T264" s="1" t="str">
        <f t="shared" si="36"/>
        <v>run out</v>
      </c>
      <c r="U264" s="1" t="str">
        <f t="shared" si="37"/>
        <v>1</v>
      </c>
      <c r="V264" s="1" t="str">
        <f t="shared" si="38"/>
        <v xml:space="preserve"> Sri Lanka</v>
      </c>
      <c r="W264" s="1" t="str">
        <f t="shared" si="39"/>
        <v>Hambantota</v>
      </c>
      <c r="X264" s="1" t="str">
        <f t="shared" si="40"/>
        <v>Yes</v>
      </c>
      <c r="Y264" s="1"/>
    </row>
    <row r="265" spans="1:25" ht="14.25" customHeight="1">
      <c r="A265" s="1"/>
      <c r="B265" s="1">
        <v>247</v>
      </c>
      <c r="C265" s="1" t="s">
        <v>283</v>
      </c>
      <c r="D265" s="1" t="s">
        <v>283</v>
      </c>
      <c r="E265" s="1" t="s">
        <v>151</v>
      </c>
      <c r="F265" s="1" t="s">
        <v>131</v>
      </c>
      <c r="G265" s="1" t="s">
        <v>152</v>
      </c>
      <c r="H265" s="1" t="s">
        <v>24</v>
      </c>
      <c r="I265" s="1" t="s">
        <v>130</v>
      </c>
      <c r="J265" s="1" t="s">
        <v>133</v>
      </c>
      <c r="K265" s="1" t="s">
        <v>94</v>
      </c>
      <c r="L265" s="1"/>
      <c r="M265" s="1"/>
      <c r="N265" s="1" t="str">
        <f t="shared" si="33"/>
        <v>No</v>
      </c>
      <c r="O265" s="1">
        <f t="shared" si="34"/>
        <v>15</v>
      </c>
      <c r="P265" s="1">
        <f t="shared" si="35"/>
        <v>15</v>
      </c>
      <c r="Q265" s="1">
        <f t="shared" si="41"/>
        <v>2</v>
      </c>
      <c r="R265" s="1">
        <f t="shared" si="41"/>
        <v>0</v>
      </c>
      <c r="S265" s="31">
        <f t="shared" si="41"/>
        <v>100</v>
      </c>
      <c r="T265" s="1" t="str">
        <f t="shared" si="36"/>
        <v>caught</v>
      </c>
      <c r="U265" s="1" t="str">
        <f t="shared" si="37"/>
        <v>1</v>
      </c>
      <c r="V265" s="1" t="str">
        <f t="shared" si="38"/>
        <v xml:space="preserve"> Sri Lanka</v>
      </c>
      <c r="W265" s="1" t="str">
        <f t="shared" si="39"/>
        <v>Hambantota</v>
      </c>
      <c r="X265" s="1" t="str">
        <f t="shared" si="40"/>
        <v>Yes</v>
      </c>
      <c r="Y265" s="1"/>
    </row>
    <row r="266" spans="1:25" ht="14.25" customHeight="1">
      <c r="A266" s="1"/>
      <c r="B266" s="1">
        <v>248</v>
      </c>
      <c r="C266" s="1" t="s">
        <v>148</v>
      </c>
      <c r="D266" s="1" t="s">
        <v>136</v>
      </c>
      <c r="E266" s="1" t="s">
        <v>131</v>
      </c>
      <c r="F266" s="1" t="s">
        <v>131</v>
      </c>
      <c r="G266" s="1" t="s">
        <v>204</v>
      </c>
      <c r="H266" s="1" t="s">
        <v>24</v>
      </c>
      <c r="I266" s="1" t="s">
        <v>151</v>
      </c>
      <c r="J266" s="1" t="s">
        <v>133</v>
      </c>
      <c r="K266" s="1" t="s">
        <v>27</v>
      </c>
      <c r="L266" s="1"/>
      <c r="M266" s="1"/>
      <c r="N266" s="1" t="str">
        <f t="shared" si="33"/>
        <v>No</v>
      </c>
      <c r="O266" s="1">
        <f t="shared" si="34"/>
        <v>3</v>
      </c>
      <c r="P266" s="1">
        <f t="shared" si="35"/>
        <v>6</v>
      </c>
      <c r="Q266" s="1">
        <f t="shared" si="41"/>
        <v>0</v>
      </c>
      <c r="R266" s="1">
        <f t="shared" si="41"/>
        <v>0</v>
      </c>
      <c r="S266" s="31">
        <f t="shared" si="41"/>
        <v>50</v>
      </c>
      <c r="T266" s="1" t="str">
        <f t="shared" si="36"/>
        <v>caught</v>
      </c>
      <c r="U266" s="1" t="str">
        <f t="shared" si="37"/>
        <v>2</v>
      </c>
      <c r="V266" s="1" t="str">
        <f t="shared" si="38"/>
        <v xml:space="preserve"> Sri Lanka</v>
      </c>
      <c r="W266" s="1" t="str">
        <f t="shared" si="39"/>
        <v>Colombo (RPS)</v>
      </c>
      <c r="X266" s="1" t="str">
        <f t="shared" si="40"/>
        <v>Yes</v>
      </c>
      <c r="Y266" s="1"/>
    </row>
    <row r="267" spans="1:25" ht="14.25" customHeight="1">
      <c r="A267" s="1"/>
      <c r="B267" s="1">
        <v>249</v>
      </c>
      <c r="C267" s="1" t="s">
        <v>208</v>
      </c>
      <c r="D267" s="1" t="s">
        <v>200</v>
      </c>
      <c r="E267" s="1" t="s">
        <v>136</v>
      </c>
      <c r="F267" s="1" t="s">
        <v>131</v>
      </c>
      <c r="G267" s="1" t="s">
        <v>661</v>
      </c>
      <c r="H267" s="1" t="s">
        <v>24</v>
      </c>
      <c r="I267" s="1" t="s">
        <v>151</v>
      </c>
      <c r="J267" s="1" t="s">
        <v>133</v>
      </c>
      <c r="K267" s="1" t="s">
        <v>27</v>
      </c>
      <c r="L267" s="1"/>
      <c r="M267" s="1"/>
      <c r="N267" s="1" t="str">
        <f t="shared" si="33"/>
        <v>No</v>
      </c>
      <c r="O267" s="1">
        <f t="shared" si="34"/>
        <v>34</v>
      </c>
      <c r="P267" s="1">
        <f t="shared" si="35"/>
        <v>29</v>
      </c>
      <c r="Q267" s="1">
        <f t="shared" si="41"/>
        <v>6</v>
      </c>
      <c r="R267" s="1">
        <f t="shared" si="41"/>
        <v>0</v>
      </c>
      <c r="S267" s="31">
        <f t="shared" si="41"/>
        <v>117.24</v>
      </c>
      <c r="T267" s="1" t="str">
        <f t="shared" si="36"/>
        <v>caught</v>
      </c>
      <c r="U267" s="1" t="str">
        <f t="shared" si="37"/>
        <v>2</v>
      </c>
      <c r="V267" s="1" t="str">
        <f t="shared" si="38"/>
        <v xml:space="preserve"> Sri Lanka</v>
      </c>
      <c r="W267" s="1" t="str">
        <f t="shared" si="39"/>
        <v>Colombo (RPS)</v>
      </c>
      <c r="X267" s="1" t="str">
        <f t="shared" si="40"/>
        <v>Yes</v>
      </c>
      <c r="Y267" s="1"/>
    </row>
    <row r="268" spans="1:25" ht="14.25" customHeight="1">
      <c r="A268" s="1"/>
      <c r="B268" s="1">
        <v>250</v>
      </c>
      <c r="C268" s="1" t="s">
        <v>140</v>
      </c>
      <c r="D268" s="1" t="s">
        <v>176</v>
      </c>
      <c r="E268" s="1" t="s">
        <v>130</v>
      </c>
      <c r="F268" s="1" t="s">
        <v>131</v>
      </c>
      <c r="G268" s="1" t="s">
        <v>814</v>
      </c>
      <c r="H268" s="1" t="s">
        <v>29</v>
      </c>
      <c r="I268" s="1" t="s">
        <v>130</v>
      </c>
      <c r="J268" s="1" t="s">
        <v>156</v>
      </c>
      <c r="K268" s="1" t="s">
        <v>68</v>
      </c>
      <c r="L268" s="1"/>
      <c r="M268" s="1"/>
      <c r="N268" s="1" t="str">
        <f t="shared" si="33"/>
        <v>No</v>
      </c>
      <c r="O268" s="1">
        <f t="shared" si="34"/>
        <v>4</v>
      </c>
      <c r="P268" s="1">
        <f t="shared" si="35"/>
        <v>11</v>
      </c>
      <c r="Q268" s="1">
        <f t="shared" si="41"/>
        <v>1</v>
      </c>
      <c r="R268" s="1">
        <f t="shared" si="41"/>
        <v>0</v>
      </c>
      <c r="S268" s="31">
        <f t="shared" si="41"/>
        <v>36.36</v>
      </c>
      <c r="T268" s="1" t="str">
        <f t="shared" si="36"/>
        <v>bowled</v>
      </c>
      <c r="U268" s="1" t="str">
        <f t="shared" si="37"/>
        <v>1</v>
      </c>
      <c r="V268" s="1" t="str">
        <f t="shared" si="38"/>
        <v xml:space="preserve"> Pakistan</v>
      </c>
      <c r="W268" s="1" t="str">
        <f t="shared" si="39"/>
        <v>Chennai</v>
      </c>
      <c r="X268" s="1" t="str">
        <f t="shared" si="40"/>
        <v>Yes</v>
      </c>
      <c r="Y268" s="1"/>
    </row>
    <row r="269" spans="1:25" ht="14.25" customHeight="1">
      <c r="A269" s="1"/>
      <c r="B269" s="1">
        <v>251</v>
      </c>
      <c r="C269" s="1" t="s">
        <v>146</v>
      </c>
      <c r="D269" s="1" t="s">
        <v>321</v>
      </c>
      <c r="E269" s="1" t="s">
        <v>148</v>
      </c>
      <c r="F269" s="1" t="s">
        <v>131</v>
      </c>
      <c r="G269" s="1" t="s">
        <v>1103</v>
      </c>
      <c r="H269" s="1" t="s">
        <v>19</v>
      </c>
      <c r="I269" s="1" t="s">
        <v>151</v>
      </c>
      <c r="J269" s="1" t="s">
        <v>156</v>
      </c>
      <c r="K269" s="1" t="s">
        <v>51</v>
      </c>
      <c r="L269" s="1"/>
      <c r="M269" s="1"/>
      <c r="N269" s="1" t="str">
        <f t="shared" si="33"/>
        <v>No</v>
      </c>
      <c r="O269" s="1">
        <f t="shared" si="34"/>
        <v>31</v>
      </c>
      <c r="P269" s="1">
        <f t="shared" si="35"/>
        <v>43</v>
      </c>
      <c r="Q269" s="1">
        <f t="shared" si="41"/>
        <v>3</v>
      </c>
      <c r="R269" s="1">
        <f t="shared" si="41"/>
        <v>0</v>
      </c>
      <c r="S269" s="31">
        <f t="shared" si="41"/>
        <v>72.09</v>
      </c>
      <c r="T269" s="1" t="str">
        <f t="shared" si="36"/>
        <v>lbw</v>
      </c>
      <c r="U269" s="1" t="str">
        <f t="shared" si="37"/>
        <v>2</v>
      </c>
      <c r="V269" s="1" t="str">
        <f t="shared" si="38"/>
        <v xml:space="preserve"> Pakistan</v>
      </c>
      <c r="W269" s="1" t="str">
        <f t="shared" si="39"/>
        <v>Eden Gardens</v>
      </c>
      <c r="X269" s="1" t="str">
        <f t="shared" si="40"/>
        <v>Yes</v>
      </c>
      <c r="Y269" s="1"/>
    </row>
    <row r="270" spans="1:25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31"/>
      <c r="T270" s="1"/>
      <c r="U270" s="1"/>
      <c r="V270" s="1"/>
      <c r="W270" s="1"/>
      <c r="X270" s="1"/>
      <c r="Y270" s="1"/>
    </row>
    <row r="271" spans="1:25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31"/>
      <c r="T271" s="1"/>
      <c r="U271" s="1"/>
      <c r="V271" s="1"/>
      <c r="W271" s="1"/>
      <c r="X271" s="1"/>
      <c r="Y271" s="1"/>
    </row>
    <row r="272" spans="1:25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31"/>
      <c r="T272" s="1"/>
      <c r="U272" s="1"/>
      <c r="V272" s="1"/>
      <c r="W272" s="1"/>
      <c r="X272" s="1"/>
      <c r="Y272" s="1"/>
    </row>
    <row r="273" spans="1:25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31"/>
      <c r="T273" s="1"/>
      <c r="U273" s="1"/>
      <c r="V273" s="1"/>
      <c r="W273" s="1"/>
      <c r="X273" s="1"/>
      <c r="Y273" s="1"/>
    </row>
    <row r="274" spans="1:25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31"/>
      <c r="T274" s="1"/>
      <c r="U274" s="1"/>
      <c r="V274" s="1"/>
      <c r="W274" s="1"/>
      <c r="X274" s="1"/>
      <c r="Y274" s="1"/>
    </row>
    <row r="275" spans="1:2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31"/>
      <c r="T275" s="1"/>
      <c r="U275" s="1"/>
      <c r="V275" s="1"/>
      <c r="W275" s="1"/>
      <c r="X275" s="1"/>
      <c r="Y275" s="1"/>
    </row>
    <row r="276" spans="1:25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31"/>
      <c r="T276" s="1"/>
      <c r="U276" s="1"/>
      <c r="V276" s="1"/>
      <c r="W276" s="1"/>
      <c r="X276" s="1"/>
      <c r="Y276" s="1"/>
    </row>
    <row r="277" spans="1:25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31"/>
      <c r="T277" s="1"/>
      <c r="U277" s="1"/>
      <c r="V277" s="1"/>
      <c r="W277" s="1"/>
      <c r="X277" s="1"/>
      <c r="Y277" s="1"/>
    </row>
    <row r="278" spans="1:25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31"/>
      <c r="T278" s="1"/>
      <c r="U278" s="1"/>
      <c r="V278" s="1"/>
      <c r="W278" s="1"/>
      <c r="X278" s="1"/>
      <c r="Y278" s="1"/>
    </row>
    <row r="279" spans="1:25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31"/>
      <c r="T279" s="1"/>
      <c r="U279" s="1"/>
      <c r="V279" s="1"/>
      <c r="W279" s="1"/>
      <c r="X279" s="1"/>
      <c r="Y279" s="1"/>
    </row>
    <row r="280" spans="1:25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31"/>
      <c r="T280" s="1"/>
      <c r="U280" s="1"/>
      <c r="V280" s="1"/>
      <c r="W280" s="1"/>
      <c r="X280" s="1"/>
      <c r="Y280" s="1"/>
    </row>
    <row r="281" spans="1:25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31"/>
      <c r="T281" s="1"/>
      <c r="U281" s="1"/>
      <c r="V281" s="1"/>
      <c r="W281" s="1"/>
      <c r="X281" s="1"/>
      <c r="Y281" s="1"/>
    </row>
    <row r="282" spans="1:25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31"/>
      <c r="T282" s="1"/>
      <c r="U282" s="1"/>
      <c r="V282" s="1"/>
      <c r="W282" s="1"/>
      <c r="X282" s="1"/>
      <c r="Y282" s="1"/>
    </row>
    <row r="283" spans="1:25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31"/>
      <c r="T283" s="1"/>
      <c r="U283" s="1"/>
      <c r="V283" s="1"/>
      <c r="W283" s="1"/>
      <c r="X283" s="1"/>
      <c r="Y283" s="1"/>
    </row>
    <row r="284" spans="1:25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31"/>
      <c r="T284" s="1"/>
      <c r="U284" s="1"/>
      <c r="V284" s="1"/>
      <c r="W284" s="1"/>
      <c r="X284" s="1"/>
      <c r="Y284" s="1"/>
    </row>
    <row r="285" spans="1:2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31"/>
      <c r="T285" s="1"/>
      <c r="U285" s="1"/>
      <c r="V285" s="1"/>
      <c r="W285" s="1"/>
      <c r="X285" s="1"/>
      <c r="Y285" s="1"/>
    </row>
    <row r="286" spans="1:25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31"/>
      <c r="T286" s="1"/>
      <c r="U286" s="1"/>
      <c r="V286" s="1"/>
      <c r="W286" s="1"/>
      <c r="X286" s="1"/>
      <c r="Y286" s="1"/>
    </row>
    <row r="287" spans="1:25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31"/>
      <c r="T287" s="1"/>
      <c r="U287" s="1"/>
      <c r="V287" s="1"/>
      <c r="W287" s="1"/>
      <c r="X287" s="1"/>
      <c r="Y287" s="1"/>
    </row>
    <row r="288" spans="1:25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31"/>
      <c r="T288" s="1"/>
      <c r="U288" s="1"/>
      <c r="V288" s="1"/>
      <c r="W288" s="1"/>
      <c r="X288" s="1"/>
      <c r="Y288" s="1"/>
    </row>
    <row r="289" spans="1:25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31"/>
      <c r="T289" s="1"/>
      <c r="U289" s="1"/>
      <c r="V289" s="1"/>
      <c r="W289" s="1"/>
      <c r="X289" s="1"/>
      <c r="Y289" s="1"/>
    </row>
    <row r="290" spans="1:25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31"/>
      <c r="T290" s="1"/>
      <c r="U290" s="1"/>
      <c r="V290" s="1"/>
      <c r="W290" s="1"/>
      <c r="X290" s="1"/>
      <c r="Y290" s="1"/>
    </row>
    <row r="291" spans="1:25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31"/>
      <c r="T291" s="1"/>
      <c r="U291" s="1"/>
      <c r="V291" s="1"/>
      <c r="W291" s="1"/>
      <c r="X291" s="1"/>
      <c r="Y291" s="1"/>
    </row>
    <row r="292" spans="1:25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31"/>
      <c r="T292" s="1"/>
      <c r="U292" s="1"/>
      <c r="V292" s="1"/>
      <c r="W292" s="1"/>
      <c r="X292" s="1"/>
      <c r="Y292" s="1"/>
    </row>
    <row r="293" spans="1:25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31"/>
      <c r="T293" s="1"/>
      <c r="U293" s="1"/>
      <c r="V293" s="1"/>
      <c r="W293" s="1"/>
      <c r="X293" s="1"/>
      <c r="Y293" s="1"/>
    </row>
    <row r="294" spans="1:25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31"/>
      <c r="T294" s="1"/>
      <c r="U294" s="1"/>
      <c r="V294" s="1"/>
      <c r="W294" s="1"/>
      <c r="X294" s="1"/>
      <c r="Y294" s="1"/>
    </row>
    <row r="295" spans="1:2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31"/>
      <c r="T295" s="1"/>
      <c r="U295" s="1"/>
      <c r="V295" s="1"/>
      <c r="W295" s="1"/>
      <c r="X295" s="1"/>
      <c r="Y295" s="1"/>
    </row>
    <row r="296" spans="1:25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31"/>
      <c r="T296" s="1"/>
      <c r="U296" s="1"/>
      <c r="V296" s="1"/>
      <c r="W296" s="1"/>
      <c r="X296" s="1"/>
      <c r="Y296" s="1"/>
    </row>
    <row r="297" spans="1:25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31"/>
      <c r="T297" s="1"/>
      <c r="U297" s="1"/>
      <c r="V297" s="1"/>
      <c r="W297" s="1"/>
      <c r="X297" s="1"/>
      <c r="Y297" s="1"/>
    </row>
    <row r="298" spans="1:25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31"/>
      <c r="T298" s="1"/>
      <c r="U298" s="1"/>
      <c r="V298" s="1"/>
      <c r="W298" s="1"/>
      <c r="X298" s="1"/>
      <c r="Y298" s="1"/>
    </row>
    <row r="299" spans="1:25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31"/>
      <c r="T299" s="1"/>
      <c r="U299" s="1"/>
      <c r="V299" s="1"/>
      <c r="W299" s="1"/>
      <c r="X299" s="1"/>
      <c r="Y299" s="1"/>
    </row>
    <row r="300" spans="1:25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31"/>
      <c r="T300" s="1"/>
      <c r="U300" s="1"/>
      <c r="V300" s="1"/>
      <c r="W300" s="1"/>
      <c r="X300" s="1"/>
      <c r="Y300" s="1"/>
    </row>
    <row r="301" spans="1:25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31"/>
      <c r="T301" s="1"/>
      <c r="U301" s="1"/>
      <c r="V301" s="1"/>
      <c r="W301" s="1"/>
      <c r="X301" s="1"/>
      <c r="Y301" s="1"/>
    </row>
    <row r="302" spans="1:25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31"/>
      <c r="T302" s="1"/>
      <c r="U302" s="1"/>
      <c r="V302" s="1"/>
      <c r="W302" s="1"/>
      <c r="X302" s="1"/>
      <c r="Y302" s="1"/>
    </row>
    <row r="303" spans="1:25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31"/>
      <c r="T303" s="1"/>
      <c r="U303" s="1"/>
      <c r="V303" s="1"/>
      <c r="W303" s="1"/>
      <c r="X303" s="1"/>
      <c r="Y303" s="1"/>
    </row>
    <row r="304" spans="1:25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31"/>
      <c r="T304" s="1"/>
      <c r="U304" s="1"/>
      <c r="V304" s="1"/>
      <c r="W304" s="1"/>
      <c r="X304" s="1"/>
      <c r="Y304" s="1"/>
    </row>
    <row r="305" spans="1:2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31"/>
      <c r="T305" s="1"/>
      <c r="U305" s="1"/>
      <c r="V305" s="1"/>
      <c r="W305" s="1"/>
      <c r="X305" s="1"/>
      <c r="Y305" s="1"/>
    </row>
    <row r="306" spans="1:25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31"/>
      <c r="T306" s="1"/>
      <c r="U306" s="1"/>
      <c r="V306" s="1"/>
      <c r="W306" s="1"/>
      <c r="X306" s="1"/>
      <c r="Y306" s="1"/>
    </row>
    <row r="307" spans="1:25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31"/>
      <c r="T307" s="1"/>
      <c r="U307" s="1"/>
      <c r="V307" s="1"/>
      <c r="W307" s="1"/>
      <c r="X307" s="1"/>
      <c r="Y307" s="1"/>
    </row>
    <row r="308" spans="1:25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31"/>
      <c r="T308" s="1"/>
      <c r="U308" s="1"/>
      <c r="V308" s="1"/>
      <c r="W308" s="1"/>
      <c r="X308" s="1"/>
      <c r="Y308" s="1"/>
    </row>
    <row r="309" spans="1:25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31"/>
      <c r="T309" s="1"/>
      <c r="U309" s="1"/>
      <c r="V309" s="1"/>
      <c r="W309" s="1"/>
      <c r="X309" s="1"/>
      <c r="Y309" s="1"/>
    </row>
    <row r="310" spans="1:25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31"/>
      <c r="T310" s="1"/>
      <c r="U310" s="1"/>
      <c r="V310" s="1"/>
      <c r="W310" s="1"/>
      <c r="X310" s="1"/>
      <c r="Y310" s="1"/>
    </row>
    <row r="311" spans="1:25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31"/>
      <c r="T311" s="1"/>
      <c r="U311" s="1"/>
      <c r="V311" s="1"/>
      <c r="W311" s="1"/>
      <c r="X311" s="1"/>
      <c r="Y311" s="1"/>
    </row>
    <row r="312" spans="1:25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31"/>
      <c r="T312" s="1"/>
      <c r="U312" s="1"/>
      <c r="V312" s="1"/>
      <c r="W312" s="1"/>
      <c r="X312" s="1"/>
      <c r="Y312" s="1"/>
    </row>
    <row r="313" spans="1:25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31"/>
      <c r="T313" s="1"/>
      <c r="U313" s="1"/>
      <c r="V313" s="1"/>
      <c r="W313" s="1"/>
      <c r="X313" s="1"/>
      <c r="Y313" s="1"/>
    </row>
    <row r="314" spans="1:25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31"/>
      <c r="T314" s="1"/>
      <c r="U314" s="1"/>
      <c r="V314" s="1"/>
      <c r="W314" s="1"/>
      <c r="X314" s="1"/>
      <c r="Y314" s="1"/>
    </row>
    <row r="315" spans="1:2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31"/>
      <c r="T315" s="1"/>
      <c r="U315" s="1"/>
      <c r="V315" s="1"/>
      <c r="W315" s="1"/>
      <c r="X315" s="1"/>
      <c r="Y315" s="1"/>
    </row>
    <row r="316" spans="1:25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31"/>
      <c r="T316" s="1"/>
      <c r="U316" s="1"/>
      <c r="V316" s="1"/>
      <c r="W316" s="1"/>
      <c r="X316" s="1"/>
      <c r="Y316" s="1"/>
    </row>
    <row r="317" spans="1:25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31"/>
      <c r="T317" s="1"/>
      <c r="U317" s="1"/>
      <c r="V317" s="1"/>
      <c r="W317" s="1"/>
      <c r="X317" s="1"/>
      <c r="Y317" s="1"/>
    </row>
    <row r="318" spans="1:25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31"/>
      <c r="T318" s="1"/>
      <c r="U318" s="1"/>
      <c r="V318" s="1"/>
      <c r="W318" s="1"/>
      <c r="X318" s="1"/>
      <c r="Y318" s="1"/>
    </row>
    <row r="319" spans="1:25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31"/>
      <c r="T319" s="1"/>
      <c r="U319" s="1"/>
      <c r="V319" s="1"/>
      <c r="W319" s="1"/>
      <c r="X319" s="1"/>
      <c r="Y319" s="1"/>
    </row>
    <row r="320" spans="1:25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31"/>
      <c r="T320" s="1"/>
      <c r="U320" s="1"/>
      <c r="V320" s="1"/>
      <c r="W320" s="1"/>
      <c r="X320" s="1"/>
      <c r="Y320" s="1"/>
    </row>
    <row r="321" spans="1:25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31"/>
      <c r="T321" s="1"/>
      <c r="U321" s="1"/>
      <c r="V321" s="1"/>
      <c r="W321" s="1"/>
      <c r="X321" s="1"/>
      <c r="Y321" s="1"/>
    </row>
    <row r="322" spans="1:25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31"/>
      <c r="T322" s="1"/>
      <c r="U322" s="1"/>
      <c r="V322" s="1"/>
      <c r="W322" s="1"/>
      <c r="X322" s="1"/>
      <c r="Y322" s="1"/>
    </row>
    <row r="323" spans="1:25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31"/>
      <c r="T323" s="1"/>
      <c r="U323" s="1"/>
      <c r="V323" s="1"/>
      <c r="W323" s="1"/>
      <c r="X323" s="1"/>
      <c r="Y323" s="1"/>
    </row>
    <row r="324" spans="1:25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31"/>
      <c r="T324" s="1"/>
      <c r="U324" s="1"/>
      <c r="V324" s="1"/>
      <c r="W324" s="1"/>
      <c r="X324" s="1"/>
      <c r="Y324" s="1"/>
    </row>
    <row r="325" spans="1: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31"/>
      <c r="T325" s="1"/>
      <c r="U325" s="1"/>
      <c r="V325" s="1"/>
      <c r="W325" s="1"/>
      <c r="X325" s="1"/>
      <c r="Y325" s="1"/>
    </row>
    <row r="326" spans="1:25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31"/>
      <c r="T326" s="1"/>
      <c r="U326" s="1"/>
      <c r="V326" s="1"/>
      <c r="W326" s="1"/>
      <c r="X326" s="1"/>
      <c r="Y326" s="1"/>
    </row>
    <row r="327" spans="1:25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31"/>
      <c r="T327" s="1"/>
      <c r="U327" s="1"/>
      <c r="V327" s="1"/>
      <c r="W327" s="1"/>
      <c r="X327" s="1"/>
      <c r="Y327" s="1"/>
    </row>
    <row r="328" spans="1:25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31"/>
      <c r="T328" s="1"/>
      <c r="U328" s="1"/>
      <c r="V328" s="1"/>
      <c r="W328" s="1"/>
      <c r="X328" s="1"/>
      <c r="Y328" s="1"/>
    </row>
    <row r="329" spans="1:25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31"/>
      <c r="T329" s="1"/>
      <c r="U329" s="1"/>
      <c r="V329" s="1"/>
      <c r="W329" s="1"/>
      <c r="X329" s="1"/>
      <c r="Y329" s="1"/>
    </row>
    <row r="330" spans="1:25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31"/>
      <c r="T330" s="1"/>
      <c r="U330" s="1"/>
      <c r="V330" s="1"/>
      <c r="W330" s="1"/>
      <c r="X330" s="1"/>
      <c r="Y330" s="1"/>
    </row>
    <row r="331" spans="1:25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31"/>
      <c r="T331" s="1"/>
      <c r="U331" s="1"/>
      <c r="V331" s="1"/>
      <c r="W331" s="1"/>
      <c r="X331" s="1"/>
      <c r="Y331" s="1"/>
    </row>
    <row r="332" spans="1:25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31"/>
      <c r="T332" s="1"/>
      <c r="U332" s="1"/>
      <c r="V332" s="1"/>
      <c r="W332" s="1"/>
      <c r="X332" s="1"/>
      <c r="Y332" s="1"/>
    </row>
    <row r="333" spans="1:25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31"/>
      <c r="T333" s="1"/>
      <c r="U333" s="1"/>
      <c r="V333" s="1"/>
      <c r="W333" s="1"/>
      <c r="X333" s="1"/>
      <c r="Y333" s="1"/>
    </row>
    <row r="334" spans="1:25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31"/>
      <c r="T334" s="1"/>
      <c r="U334" s="1"/>
      <c r="V334" s="1"/>
      <c r="W334" s="1"/>
      <c r="X334" s="1"/>
      <c r="Y334" s="1"/>
    </row>
    <row r="335" spans="1:2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31"/>
      <c r="T335" s="1"/>
      <c r="U335" s="1"/>
      <c r="V335" s="1"/>
      <c r="W335" s="1"/>
      <c r="X335" s="1"/>
      <c r="Y335" s="1"/>
    </row>
    <row r="336" spans="1:25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31"/>
      <c r="T336" s="1"/>
      <c r="U336" s="1"/>
      <c r="V336" s="1"/>
      <c r="W336" s="1"/>
      <c r="X336" s="1"/>
      <c r="Y336" s="1"/>
    </row>
    <row r="337" spans="1:25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31"/>
      <c r="T337" s="1"/>
      <c r="U337" s="1"/>
      <c r="V337" s="1"/>
      <c r="W337" s="1"/>
      <c r="X337" s="1"/>
      <c r="Y337" s="1"/>
    </row>
    <row r="338" spans="1:25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31"/>
      <c r="T338" s="1"/>
      <c r="U338" s="1"/>
      <c r="V338" s="1"/>
      <c r="W338" s="1"/>
      <c r="X338" s="1"/>
      <c r="Y338" s="1"/>
    </row>
    <row r="339" spans="1:25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31"/>
      <c r="T339" s="1"/>
      <c r="U339" s="1"/>
      <c r="V339" s="1"/>
      <c r="W339" s="1"/>
      <c r="X339" s="1"/>
      <c r="Y339" s="1"/>
    </row>
    <row r="340" spans="1:25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31"/>
      <c r="T340" s="1"/>
      <c r="U340" s="1"/>
      <c r="V340" s="1"/>
      <c r="W340" s="1"/>
      <c r="X340" s="1"/>
      <c r="Y340" s="1"/>
    </row>
    <row r="341" spans="1:25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31"/>
      <c r="T341" s="1"/>
      <c r="U341" s="1"/>
      <c r="V341" s="1"/>
      <c r="W341" s="1"/>
      <c r="X341" s="1"/>
      <c r="Y341" s="1"/>
    </row>
    <row r="342" spans="1:25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31"/>
      <c r="T342" s="1"/>
      <c r="U342" s="1"/>
      <c r="V342" s="1"/>
      <c r="W342" s="1"/>
      <c r="X342" s="1"/>
      <c r="Y342" s="1"/>
    </row>
    <row r="343" spans="1:25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31"/>
      <c r="T343" s="1"/>
      <c r="U343" s="1"/>
      <c r="V343" s="1"/>
      <c r="W343" s="1"/>
      <c r="X343" s="1"/>
      <c r="Y343" s="1"/>
    </row>
    <row r="344" spans="1:25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31"/>
      <c r="T344" s="1"/>
      <c r="U344" s="1"/>
      <c r="V344" s="1"/>
      <c r="W344" s="1"/>
      <c r="X344" s="1"/>
      <c r="Y344" s="1"/>
    </row>
    <row r="345" spans="1:2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31"/>
      <c r="T345" s="1"/>
      <c r="U345" s="1"/>
      <c r="V345" s="1"/>
      <c r="W345" s="1"/>
      <c r="X345" s="1"/>
      <c r="Y345" s="1"/>
    </row>
    <row r="346" spans="1:25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31"/>
      <c r="T346" s="1"/>
      <c r="U346" s="1"/>
      <c r="V346" s="1"/>
      <c r="W346" s="1"/>
      <c r="X346" s="1"/>
      <c r="Y346" s="1"/>
    </row>
    <row r="347" spans="1:25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31"/>
      <c r="T347" s="1"/>
      <c r="U347" s="1"/>
      <c r="V347" s="1"/>
      <c r="W347" s="1"/>
      <c r="X347" s="1"/>
      <c r="Y347" s="1"/>
    </row>
    <row r="348" spans="1:25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31"/>
      <c r="T348" s="1"/>
      <c r="U348" s="1"/>
      <c r="V348" s="1"/>
      <c r="W348" s="1"/>
      <c r="X348" s="1"/>
      <c r="Y348" s="1"/>
    </row>
    <row r="349" spans="1:25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31"/>
      <c r="T349" s="1"/>
      <c r="U349" s="1"/>
      <c r="V349" s="1"/>
      <c r="W349" s="1"/>
      <c r="X349" s="1"/>
      <c r="Y349" s="1"/>
    </row>
    <row r="350" spans="1:25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31"/>
      <c r="T350" s="1"/>
      <c r="U350" s="1"/>
      <c r="V350" s="1"/>
      <c r="W350" s="1"/>
      <c r="X350" s="1"/>
      <c r="Y350" s="1"/>
    </row>
    <row r="351" spans="1:25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31"/>
      <c r="T351" s="1"/>
      <c r="U351" s="1"/>
      <c r="V351" s="1"/>
      <c r="W351" s="1"/>
      <c r="X351" s="1"/>
      <c r="Y351" s="1"/>
    </row>
    <row r="352" spans="1:25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31"/>
      <c r="T352" s="1"/>
      <c r="U352" s="1"/>
      <c r="V352" s="1"/>
      <c r="W352" s="1"/>
      <c r="X352" s="1"/>
      <c r="Y352" s="1"/>
    </row>
    <row r="353" spans="1:25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31"/>
      <c r="T353" s="1"/>
      <c r="U353" s="1"/>
      <c r="V353" s="1"/>
      <c r="W353" s="1"/>
      <c r="X353" s="1"/>
      <c r="Y353" s="1"/>
    </row>
    <row r="354" spans="1:25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31"/>
      <c r="T354" s="1"/>
      <c r="U354" s="1"/>
      <c r="V354" s="1"/>
      <c r="W354" s="1"/>
      <c r="X354" s="1"/>
      <c r="Y354" s="1"/>
    </row>
    <row r="355" spans="1:2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31"/>
      <c r="T355" s="1"/>
      <c r="U355" s="1"/>
      <c r="V355" s="1"/>
      <c r="W355" s="1"/>
      <c r="X355" s="1"/>
      <c r="Y355" s="1"/>
    </row>
    <row r="356" spans="1:25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31"/>
      <c r="T356" s="1"/>
      <c r="U356" s="1"/>
      <c r="V356" s="1"/>
      <c r="W356" s="1"/>
      <c r="X356" s="1"/>
      <c r="Y356" s="1"/>
    </row>
    <row r="357" spans="1:25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31"/>
      <c r="T357" s="1"/>
      <c r="U357" s="1"/>
      <c r="V357" s="1"/>
      <c r="W357" s="1"/>
      <c r="X357" s="1"/>
      <c r="Y357" s="1"/>
    </row>
    <row r="358" spans="1:25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31"/>
      <c r="T358" s="1"/>
      <c r="U358" s="1"/>
      <c r="V358" s="1"/>
      <c r="W358" s="1"/>
      <c r="X358" s="1"/>
      <c r="Y358" s="1"/>
    </row>
    <row r="359" spans="1:25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31"/>
      <c r="T359" s="1"/>
      <c r="U359" s="1"/>
      <c r="V359" s="1"/>
      <c r="W359" s="1"/>
      <c r="X359" s="1"/>
      <c r="Y359" s="1"/>
    </row>
    <row r="360" spans="1:25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31"/>
      <c r="T360" s="1"/>
      <c r="U360" s="1"/>
      <c r="V360" s="1"/>
      <c r="W360" s="1"/>
      <c r="X360" s="1"/>
      <c r="Y360" s="1"/>
    </row>
    <row r="361" spans="1:25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31"/>
      <c r="T361" s="1"/>
      <c r="U361" s="1"/>
      <c r="V361" s="1"/>
      <c r="W361" s="1"/>
      <c r="X361" s="1"/>
      <c r="Y361" s="1"/>
    </row>
    <row r="362" spans="1:25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31"/>
      <c r="T362" s="1"/>
      <c r="U362" s="1"/>
      <c r="V362" s="1"/>
      <c r="W362" s="1"/>
      <c r="X362" s="1"/>
      <c r="Y362" s="1"/>
    </row>
    <row r="363" spans="1:25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31"/>
      <c r="T363" s="1"/>
      <c r="U363" s="1"/>
      <c r="V363" s="1"/>
      <c r="W363" s="1"/>
      <c r="X363" s="1"/>
      <c r="Y363" s="1"/>
    </row>
    <row r="364" spans="1:25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31"/>
      <c r="T364" s="1"/>
      <c r="U364" s="1"/>
      <c r="V364" s="1"/>
      <c r="W364" s="1"/>
      <c r="X364" s="1"/>
      <c r="Y364" s="1"/>
    </row>
    <row r="365" spans="1:2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31"/>
      <c r="T365" s="1"/>
      <c r="U365" s="1"/>
      <c r="V365" s="1"/>
      <c r="W365" s="1"/>
      <c r="X365" s="1"/>
      <c r="Y365" s="1"/>
    </row>
    <row r="366" spans="1:25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31"/>
      <c r="T366" s="1"/>
      <c r="U366" s="1"/>
      <c r="V366" s="1"/>
      <c r="W366" s="1"/>
      <c r="X366" s="1"/>
      <c r="Y366" s="1"/>
    </row>
    <row r="367" spans="1:25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31"/>
      <c r="T367" s="1"/>
      <c r="U367" s="1"/>
      <c r="V367" s="1"/>
      <c r="W367" s="1"/>
      <c r="X367" s="1"/>
      <c r="Y367" s="1"/>
    </row>
    <row r="368" spans="1:25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31"/>
      <c r="T368" s="1"/>
      <c r="U368" s="1"/>
      <c r="V368" s="1"/>
      <c r="W368" s="1"/>
      <c r="X368" s="1"/>
      <c r="Y368" s="1"/>
    </row>
    <row r="369" spans="1:25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31"/>
      <c r="T369" s="1"/>
      <c r="U369" s="1"/>
      <c r="V369" s="1"/>
      <c r="W369" s="1"/>
      <c r="X369" s="1"/>
      <c r="Y369" s="1"/>
    </row>
    <row r="370" spans="1:25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31"/>
      <c r="T370" s="1"/>
      <c r="U370" s="1"/>
      <c r="V370" s="1"/>
      <c r="W370" s="1"/>
      <c r="X370" s="1"/>
      <c r="Y370" s="1"/>
    </row>
    <row r="371" spans="1:25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31"/>
      <c r="T371" s="1"/>
      <c r="U371" s="1"/>
      <c r="V371" s="1"/>
      <c r="W371" s="1"/>
      <c r="X371" s="1"/>
      <c r="Y371" s="1"/>
    </row>
    <row r="372" spans="1:25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31"/>
      <c r="T372" s="1"/>
      <c r="U372" s="1"/>
      <c r="V372" s="1"/>
      <c r="W372" s="1"/>
      <c r="X372" s="1"/>
      <c r="Y372" s="1"/>
    </row>
    <row r="373" spans="1:25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31"/>
      <c r="T373" s="1"/>
      <c r="U373" s="1"/>
      <c r="V373" s="1"/>
      <c r="W373" s="1"/>
      <c r="X373" s="1"/>
      <c r="Y373" s="1"/>
    </row>
    <row r="374" spans="1:25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31"/>
      <c r="T374" s="1"/>
      <c r="U374" s="1"/>
      <c r="V374" s="1"/>
      <c r="W374" s="1"/>
      <c r="X374" s="1"/>
      <c r="Y374" s="1"/>
    </row>
    <row r="375" spans="1:2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31"/>
      <c r="T375" s="1"/>
      <c r="U375" s="1"/>
      <c r="V375" s="1"/>
      <c r="W375" s="1"/>
      <c r="X375" s="1"/>
      <c r="Y375" s="1"/>
    </row>
    <row r="376" spans="1:25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31"/>
      <c r="T376" s="1"/>
      <c r="U376" s="1"/>
      <c r="V376" s="1"/>
      <c r="W376" s="1"/>
      <c r="X376" s="1"/>
      <c r="Y376" s="1"/>
    </row>
    <row r="377" spans="1:25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31"/>
      <c r="T377" s="1"/>
      <c r="U377" s="1"/>
      <c r="V377" s="1"/>
      <c r="W377" s="1"/>
      <c r="X377" s="1"/>
      <c r="Y377" s="1"/>
    </row>
    <row r="378" spans="1:25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31"/>
      <c r="T378" s="1"/>
      <c r="U378" s="1"/>
      <c r="V378" s="1"/>
      <c r="W378" s="1"/>
      <c r="X378" s="1"/>
      <c r="Y378" s="1"/>
    </row>
    <row r="379" spans="1:25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31"/>
      <c r="T379" s="1"/>
      <c r="U379" s="1"/>
      <c r="V379" s="1"/>
      <c r="W379" s="1"/>
      <c r="X379" s="1"/>
      <c r="Y379" s="1"/>
    </row>
    <row r="380" spans="1:25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31"/>
      <c r="T380" s="1"/>
      <c r="U380" s="1"/>
      <c r="V380" s="1"/>
      <c r="W380" s="1"/>
      <c r="X380" s="1"/>
      <c r="Y380" s="1"/>
    </row>
    <row r="381" spans="1:25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31"/>
      <c r="T381" s="1"/>
      <c r="U381" s="1"/>
      <c r="V381" s="1"/>
      <c r="W381" s="1"/>
      <c r="X381" s="1"/>
      <c r="Y381" s="1"/>
    </row>
    <row r="382" spans="1:25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31"/>
      <c r="T382" s="1"/>
      <c r="U382" s="1"/>
      <c r="V382" s="1"/>
      <c r="W382" s="1"/>
      <c r="X382" s="1"/>
      <c r="Y382" s="1"/>
    </row>
    <row r="383" spans="1:25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31"/>
      <c r="T383" s="1"/>
      <c r="U383" s="1"/>
      <c r="V383" s="1"/>
      <c r="W383" s="1"/>
      <c r="X383" s="1"/>
      <c r="Y383" s="1"/>
    </row>
    <row r="384" spans="1:25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31"/>
      <c r="T384" s="1"/>
      <c r="U384" s="1"/>
      <c r="V384" s="1"/>
      <c r="W384" s="1"/>
      <c r="X384" s="1"/>
      <c r="Y384" s="1"/>
    </row>
    <row r="385" spans="1:2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31"/>
      <c r="T385" s="1"/>
      <c r="U385" s="1"/>
      <c r="V385" s="1"/>
      <c r="W385" s="1"/>
      <c r="X385" s="1"/>
      <c r="Y385" s="1"/>
    </row>
    <row r="386" spans="1:25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31"/>
      <c r="T386" s="1"/>
      <c r="U386" s="1"/>
      <c r="V386" s="1"/>
      <c r="W386" s="1"/>
      <c r="X386" s="1"/>
      <c r="Y386" s="1"/>
    </row>
    <row r="387" spans="1:25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31"/>
      <c r="T387" s="1"/>
      <c r="U387" s="1"/>
      <c r="V387" s="1"/>
      <c r="W387" s="1"/>
      <c r="X387" s="1"/>
      <c r="Y387" s="1"/>
    </row>
    <row r="388" spans="1:25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31"/>
      <c r="T388" s="1"/>
      <c r="U388" s="1"/>
      <c r="V388" s="1"/>
      <c r="W388" s="1"/>
      <c r="X388" s="1"/>
      <c r="Y388" s="1"/>
    </row>
    <row r="389" spans="1:25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31"/>
      <c r="T389" s="1"/>
      <c r="U389" s="1"/>
      <c r="V389" s="1"/>
      <c r="W389" s="1"/>
      <c r="X389" s="1"/>
      <c r="Y389" s="1"/>
    </row>
    <row r="390" spans="1:25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31"/>
      <c r="T390" s="1"/>
      <c r="U390" s="1"/>
      <c r="V390" s="1"/>
      <c r="W390" s="1"/>
      <c r="X390" s="1"/>
      <c r="Y390" s="1"/>
    </row>
    <row r="391" spans="1:25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31"/>
      <c r="T391" s="1"/>
      <c r="U391" s="1"/>
      <c r="V391" s="1"/>
      <c r="W391" s="1"/>
      <c r="X391" s="1"/>
      <c r="Y391" s="1"/>
    </row>
    <row r="392" spans="1:25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31"/>
      <c r="T392" s="1"/>
      <c r="U392" s="1"/>
      <c r="V392" s="1"/>
      <c r="W392" s="1"/>
      <c r="X392" s="1"/>
      <c r="Y392" s="1"/>
    </row>
    <row r="393" spans="1:25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31"/>
      <c r="T393" s="1"/>
      <c r="U393" s="1"/>
      <c r="V393" s="1"/>
      <c r="W393" s="1"/>
      <c r="X393" s="1"/>
      <c r="Y393" s="1"/>
    </row>
    <row r="394" spans="1:25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31"/>
      <c r="T394" s="1"/>
      <c r="U394" s="1"/>
      <c r="V394" s="1"/>
      <c r="W394" s="1"/>
      <c r="X394" s="1"/>
      <c r="Y394" s="1"/>
    </row>
    <row r="395" spans="1:2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31"/>
      <c r="T395" s="1"/>
      <c r="U395" s="1"/>
      <c r="V395" s="1"/>
      <c r="W395" s="1"/>
      <c r="X395" s="1"/>
      <c r="Y395" s="1"/>
    </row>
    <row r="396" spans="1:25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31"/>
      <c r="T396" s="1"/>
      <c r="U396" s="1"/>
      <c r="V396" s="1"/>
      <c r="W396" s="1"/>
      <c r="X396" s="1"/>
      <c r="Y396" s="1"/>
    </row>
    <row r="397" spans="1:25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31"/>
      <c r="T397" s="1"/>
      <c r="U397" s="1"/>
      <c r="V397" s="1"/>
      <c r="W397" s="1"/>
      <c r="X397" s="1"/>
      <c r="Y397" s="1"/>
    </row>
    <row r="398" spans="1:25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31"/>
      <c r="T398" s="1"/>
      <c r="U398" s="1"/>
      <c r="V398" s="1"/>
      <c r="W398" s="1"/>
      <c r="X398" s="1"/>
      <c r="Y398" s="1"/>
    </row>
    <row r="399" spans="1:25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31"/>
      <c r="T399" s="1"/>
      <c r="U399" s="1"/>
      <c r="V399" s="1"/>
      <c r="W399" s="1"/>
      <c r="X399" s="1"/>
      <c r="Y399" s="1"/>
    </row>
    <row r="400" spans="1:25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31"/>
      <c r="T400" s="1"/>
      <c r="U400" s="1"/>
      <c r="V400" s="1"/>
      <c r="W400" s="1"/>
      <c r="X400" s="1"/>
      <c r="Y400" s="1"/>
    </row>
    <row r="401" spans="1:25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31"/>
      <c r="T401" s="1"/>
      <c r="U401" s="1"/>
      <c r="V401" s="1"/>
      <c r="W401" s="1"/>
      <c r="X401" s="1"/>
      <c r="Y401" s="1"/>
    </row>
    <row r="402" spans="1:25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31"/>
      <c r="T402" s="1"/>
      <c r="U402" s="1"/>
      <c r="V402" s="1"/>
      <c r="W402" s="1"/>
      <c r="X402" s="1"/>
      <c r="Y402" s="1"/>
    </row>
    <row r="403" spans="1:25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31"/>
      <c r="T403" s="1"/>
      <c r="U403" s="1"/>
      <c r="V403" s="1"/>
      <c r="W403" s="1"/>
      <c r="X403" s="1"/>
      <c r="Y403" s="1"/>
    </row>
    <row r="404" spans="1:25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31"/>
      <c r="T404" s="1"/>
      <c r="U404" s="1"/>
      <c r="V404" s="1"/>
      <c r="W404" s="1"/>
      <c r="X404" s="1"/>
      <c r="Y404" s="1"/>
    </row>
    <row r="405" spans="1:2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31"/>
      <c r="T405" s="1"/>
      <c r="U405" s="1"/>
      <c r="V405" s="1"/>
      <c r="W405" s="1"/>
      <c r="X405" s="1"/>
      <c r="Y405" s="1"/>
    </row>
    <row r="406" spans="1:25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31"/>
      <c r="T406" s="1"/>
      <c r="U406" s="1"/>
      <c r="V406" s="1"/>
      <c r="W406" s="1"/>
      <c r="X406" s="1"/>
      <c r="Y406" s="1"/>
    </row>
    <row r="407" spans="1:25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31"/>
      <c r="T407" s="1"/>
      <c r="U407" s="1"/>
      <c r="V407" s="1"/>
      <c r="W407" s="1"/>
      <c r="X407" s="1"/>
      <c r="Y407" s="1"/>
    </row>
    <row r="408" spans="1:25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31"/>
      <c r="T408" s="1"/>
      <c r="U408" s="1"/>
      <c r="V408" s="1"/>
      <c r="W408" s="1"/>
      <c r="X408" s="1"/>
      <c r="Y408" s="1"/>
    </row>
    <row r="409" spans="1:25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31"/>
      <c r="T409" s="1"/>
      <c r="U409" s="1"/>
      <c r="V409" s="1"/>
      <c r="W409" s="1"/>
      <c r="X409" s="1"/>
      <c r="Y409" s="1"/>
    </row>
    <row r="410" spans="1:25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31"/>
      <c r="T410" s="1"/>
      <c r="U410" s="1"/>
      <c r="V410" s="1"/>
      <c r="W410" s="1"/>
      <c r="X410" s="1"/>
      <c r="Y410" s="1"/>
    </row>
    <row r="411" spans="1:25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31"/>
      <c r="T411" s="1"/>
      <c r="U411" s="1"/>
      <c r="V411" s="1"/>
      <c r="W411" s="1"/>
      <c r="X411" s="1"/>
      <c r="Y411" s="1"/>
    </row>
    <row r="412" spans="1:25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31"/>
      <c r="T412" s="1"/>
      <c r="U412" s="1"/>
      <c r="V412" s="1"/>
      <c r="W412" s="1"/>
      <c r="X412" s="1"/>
      <c r="Y412" s="1"/>
    </row>
    <row r="413" spans="1:25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31"/>
      <c r="T413" s="1"/>
      <c r="U413" s="1"/>
      <c r="V413" s="1"/>
      <c r="W413" s="1"/>
      <c r="X413" s="1"/>
      <c r="Y413" s="1"/>
    </row>
    <row r="414" spans="1:25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31"/>
      <c r="T414" s="1"/>
      <c r="U414" s="1"/>
      <c r="V414" s="1"/>
      <c r="W414" s="1"/>
      <c r="X414" s="1"/>
      <c r="Y414" s="1"/>
    </row>
    <row r="415" spans="1:2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31"/>
      <c r="T415" s="1"/>
      <c r="U415" s="1"/>
      <c r="V415" s="1"/>
      <c r="W415" s="1"/>
      <c r="X415" s="1"/>
      <c r="Y415" s="1"/>
    </row>
    <row r="416" spans="1:25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31"/>
      <c r="T416" s="1"/>
      <c r="U416" s="1"/>
      <c r="V416" s="1"/>
      <c r="W416" s="1"/>
      <c r="X416" s="1"/>
      <c r="Y416" s="1"/>
    </row>
    <row r="417" spans="1:25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31"/>
      <c r="T417" s="1"/>
      <c r="U417" s="1"/>
      <c r="V417" s="1"/>
      <c r="W417" s="1"/>
      <c r="X417" s="1"/>
      <c r="Y417" s="1"/>
    </row>
    <row r="418" spans="1:25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31"/>
      <c r="T418" s="1"/>
      <c r="U418" s="1"/>
      <c r="V418" s="1"/>
      <c r="W418" s="1"/>
      <c r="X418" s="1"/>
      <c r="Y418" s="1"/>
    </row>
    <row r="419" spans="1:25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31"/>
      <c r="T419" s="1"/>
      <c r="U419" s="1"/>
      <c r="V419" s="1"/>
      <c r="W419" s="1"/>
      <c r="X419" s="1"/>
      <c r="Y419" s="1"/>
    </row>
    <row r="420" spans="1:25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31"/>
      <c r="T420" s="1"/>
      <c r="U420" s="1"/>
      <c r="V420" s="1"/>
      <c r="W420" s="1"/>
      <c r="X420" s="1"/>
      <c r="Y420" s="1"/>
    </row>
    <row r="421" spans="1:25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31"/>
      <c r="T421" s="1"/>
      <c r="U421" s="1"/>
      <c r="V421" s="1"/>
      <c r="W421" s="1"/>
      <c r="X421" s="1"/>
      <c r="Y421" s="1"/>
    </row>
    <row r="422" spans="1:25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31"/>
      <c r="T422" s="1"/>
      <c r="U422" s="1"/>
      <c r="V422" s="1"/>
      <c r="W422" s="1"/>
      <c r="X422" s="1"/>
      <c r="Y422" s="1"/>
    </row>
    <row r="423" spans="1:25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31"/>
      <c r="T423" s="1"/>
      <c r="U423" s="1"/>
      <c r="V423" s="1"/>
      <c r="W423" s="1"/>
      <c r="X423" s="1"/>
      <c r="Y423" s="1"/>
    </row>
    <row r="424" spans="1:25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31"/>
      <c r="T424" s="1"/>
      <c r="U424" s="1"/>
      <c r="V424" s="1"/>
      <c r="W424" s="1"/>
      <c r="X424" s="1"/>
      <c r="Y424" s="1"/>
    </row>
    <row r="425" spans="1: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31"/>
      <c r="T425" s="1"/>
      <c r="U425" s="1"/>
      <c r="V425" s="1"/>
      <c r="W425" s="1"/>
      <c r="X425" s="1"/>
      <c r="Y425" s="1"/>
    </row>
    <row r="426" spans="1:25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31"/>
      <c r="T426" s="1"/>
      <c r="U426" s="1"/>
      <c r="V426" s="1"/>
      <c r="W426" s="1"/>
      <c r="X426" s="1"/>
      <c r="Y426" s="1"/>
    </row>
    <row r="427" spans="1:25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31"/>
      <c r="T427" s="1"/>
      <c r="U427" s="1"/>
      <c r="V427" s="1"/>
      <c r="W427" s="1"/>
      <c r="X427" s="1"/>
      <c r="Y427" s="1"/>
    </row>
    <row r="428" spans="1:25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31"/>
      <c r="T428" s="1"/>
      <c r="U428" s="1"/>
      <c r="V428" s="1"/>
      <c r="W428" s="1"/>
      <c r="X428" s="1"/>
      <c r="Y428" s="1"/>
    </row>
    <row r="429" spans="1:25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31"/>
      <c r="T429" s="1"/>
      <c r="U429" s="1"/>
      <c r="V429" s="1"/>
      <c r="W429" s="1"/>
      <c r="X429" s="1"/>
      <c r="Y429" s="1"/>
    </row>
    <row r="430" spans="1:25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31"/>
      <c r="T430" s="1"/>
      <c r="U430" s="1"/>
      <c r="V430" s="1"/>
      <c r="W430" s="1"/>
      <c r="X430" s="1"/>
      <c r="Y430" s="1"/>
    </row>
    <row r="431" spans="1:25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31"/>
      <c r="T431" s="1"/>
      <c r="U431" s="1"/>
      <c r="V431" s="1"/>
      <c r="W431" s="1"/>
      <c r="X431" s="1"/>
      <c r="Y431" s="1"/>
    </row>
    <row r="432" spans="1:25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31"/>
      <c r="T432" s="1"/>
      <c r="U432" s="1"/>
      <c r="V432" s="1"/>
      <c r="W432" s="1"/>
      <c r="X432" s="1"/>
      <c r="Y432" s="1"/>
    </row>
    <row r="433" spans="1:25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31"/>
      <c r="T433" s="1"/>
      <c r="U433" s="1"/>
      <c r="V433" s="1"/>
      <c r="W433" s="1"/>
      <c r="X433" s="1"/>
      <c r="Y433" s="1"/>
    </row>
    <row r="434" spans="1:25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31"/>
      <c r="T434" s="1"/>
      <c r="U434" s="1"/>
      <c r="V434" s="1"/>
      <c r="W434" s="1"/>
      <c r="X434" s="1"/>
      <c r="Y434" s="1"/>
    </row>
    <row r="435" spans="1:2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31"/>
      <c r="T435" s="1"/>
      <c r="U435" s="1"/>
      <c r="V435" s="1"/>
      <c r="W435" s="1"/>
      <c r="X435" s="1"/>
      <c r="Y435" s="1"/>
    </row>
    <row r="436" spans="1:25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31"/>
      <c r="T436" s="1"/>
      <c r="U436" s="1"/>
      <c r="V436" s="1"/>
      <c r="W436" s="1"/>
      <c r="X436" s="1"/>
      <c r="Y436" s="1"/>
    </row>
    <row r="437" spans="1:25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31"/>
      <c r="T437" s="1"/>
      <c r="U437" s="1"/>
      <c r="V437" s="1"/>
      <c r="W437" s="1"/>
      <c r="X437" s="1"/>
      <c r="Y437" s="1"/>
    </row>
    <row r="438" spans="1:25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31"/>
      <c r="T438" s="1"/>
      <c r="U438" s="1"/>
      <c r="V438" s="1"/>
      <c r="W438" s="1"/>
      <c r="X438" s="1"/>
      <c r="Y438" s="1"/>
    </row>
    <row r="439" spans="1:25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31"/>
      <c r="T439" s="1"/>
      <c r="U439" s="1"/>
      <c r="V439" s="1"/>
      <c r="W439" s="1"/>
      <c r="X439" s="1"/>
      <c r="Y439" s="1"/>
    </row>
    <row r="440" spans="1:25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31"/>
      <c r="T440" s="1"/>
      <c r="U440" s="1"/>
      <c r="V440" s="1"/>
      <c r="W440" s="1"/>
      <c r="X440" s="1"/>
      <c r="Y440" s="1"/>
    </row>
    <row r="441" spans="1:25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31"/>
      <c r="T441" s="1"/>
      <c r="U441" s="1"/>
      <c r="V441" s="1"/>
      <c r="W441" s="1"/>
      <c r="X441" s="1"/>
      <c r="Y441" s="1"/>
    </row>
    <row r="442" spans="1:25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31"/>
      <c r="T442" s="1"/>
      <c r="U442" s="1"/>
      <c r="V442" s="1"/>
      <c r="W442" s="1"/>
      <c r="X442" s="1"/>
      <c r="Y442" s="1"/>
    </row>
    <row r="443" spans="1:25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31"/>
      <c r="T443" s="1"/>
      <c r="U443" s="1"/>
      <c r="V443" s="1"/>
      <c r="W443" s="1"/>
      <c r="X443" s="1"/>
      <c r="Y443" s="1"/>
    </row>
    <row r="444" spans="1:25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31"/>
      <c r="T444" s="1"/>
      <c r="U444" s="1"/>
      <c r="V444" s="1"/>
      <c r="W444" s="1"/>
      <c r="X444" s="1"/>
      <c r="Y444" s="1"/>
    </row>
    <row r="445" spans="1:2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31"/>
      <c r="T445" s="1"/>
      <c r="U445" s="1"/>
      <c r="V445" s="1"/>
      <c r="W445" s="1"/>
      <c r="X445" s="1"/>
      <c r="Y445" s="1"/>
    </row>
    <row r="446" spans="1:25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31"/>
      <c r="T446" s="1"/>
      <c r="U446" s="1"/>
      <c r="V446" s="1"/>
      <c r="W446" s="1"/>
      <c r="X446" s="1"/>
      <c r="Y446" s="1"/>
    </row>
    <row r="447" spans="1:25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31"/>
      <c r="T447" s="1"/>
      <c r="U447" s="1"/>
      <c r="V447" s="1"/>
      <c r="W447" s="1"/>
      <c r="X447" s="1"/>
      <c r="Y447" s="1"/>
    </row>
    <row r="448" spans="1:25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31"/>
      <c r="T448" s="1"/>
      <c r="U448" s="1"/>
      <c r="V448" s="1"/>
      <c r="W448" s="1"/>
      <c r="X448" s="1"/>
      <c r="Y448" s="1"/>
    </row>
    <row r="449" spans="1:25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31"/>
      <c r="T449" s="1"/>
      <c r="U449" s="1"/>
      <c r="V449" s="1"/>
      <c r="W449" s="1"/>
      <c r="X449" s="1"/>
      <c r="Y449" s="1"/>
    </row>
    <row r="450" spans="1:25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31"/>
      <c r="T450" s="1"/>
      <c r="U450" s="1"/>
      <c r="V450" s="1"/>
      <c r="W450" s="1"/>
      <c r="X450" s="1"/>
      <c r="Y450" s="1"/>
    </row>
    <row r="451" spans="1:25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31"/>
      <c r="T451" s="1"/>
      <c r="U451" s="1"/>
      <c r="V451" s="1"/>
      <c r="W451" s="1"/>
      <c r="X451" s="1"/>
      <c r="Y451" s="1"/>
    </row>
    <row r="452" spans="1:25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31"/>
      <c r="T452" s="1"/>
      <c r="U452" s="1"/>
      <c r="V452" s="1"/>
      <c r="W452" s="1"/>
      <c r="X452" s="1"/>
      <c r="Y452" s="1"/>
    </row>
    <row r="453" spans="1:25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31"/>
      <c r="T453" s="1"/>
      <c r="U453" s="1"/>
      <c r="V453" s="1"/>
      <c r="W453" s="1"/>
      <c r="X453" s="1"/>
      <c r="Y453" s="1"/>
    </row>
    <row r="454" spans="1:25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31"/>
      <c r="T454" s="1"/>
      <c r="U454" s="1"/>
      <c r="V454" s="1"/>
      <c r="W454" s="1"/>
      <c r="X454" s="1"/>
      <c r="Y454" s="1"/>
    </row>
    <row r="455" spans="1:2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31"/>
      <c r="T455" s="1"/>
      <c r="U455" s="1"/>
      <c r="V455" s="1"/>
      <c r="W455" s="1"/>
      <c r="X455" s="1"/>
      <c r="Y455" s="1"/>
    </row>
    <row r="456" spans="1:25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31"/>
      <c r="T456" s="1"/>
      <c r="U456" s="1"/>
      <c r="V456" s="1"/>
      <c r="W456" s="1"/>
      <c r="X456" s="1"/>
      <c r="Y456" s="1"/>
    </row>
    <row r="457" spans="1:25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31"/>
      <c r="T457" s="1"/>
      <c r="U457" s="1"/>
      <c r="V457" s="1"/>
      <c r="W457" s="1"/>
      <c r="X457" s="1"/>
      <c r="Y457" s="1"/>
    </row>
    <row r="458" spans="1:25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31"/>
      <c r="T458" s="1"/>
      <c r="U458" s="1"/>
      <c r="V458" s="1"/>
      <c r="W458" s="1"/>
      <c r="X458" s="1"/>
      <c r="Y458" s="1"/>
    </row>
    <row r="459" spans="1:25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31"/>
      <c r="T459" s="1"/>
      <c r="U459" s="1"/>
      <c r="V459" s="1"/>
      <c r="W459" s="1"/>
      <c r="X459" s="1"/>
      <c r="Y459" s="1"/>
    </row>
    <row r="460" spans="1:25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31"/>
      <c r="T460" s="1"/>
      <c r="U460" s="1"/>
      <c r="V460" s="1"/>
      <c r="W460" s="1"/>
      <c r="X460" s="1"/>
      <c r="Y460" s="1"/>
    </row>
    <row r="461" spans="1:25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31"/>
      <c r="T461" s="1"/>
      <c r="U461" s="1"/>
      <c r="V461" s="1"/>
      <c r="W461" s="1"/>
      <c r="X461" s="1"/>
      <c r="Y461" s="1"/>
    </row>
    <row r="462" spans="1:25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31"/>
      <c r="T462" s="1"/>
      <c r="U462" s="1"/>
      <c r="V462" s="1"/>
      <c r="W462" s="1"/>
      <c r="X462" s="1"/>
      <c r="Y462" s="1"/>
    </row>
    <row r="463" spans="1:25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31"/>
      <c r="T463" s="1"/>
      <c r="U463" s="1"/>
      <c r="V463" s="1"/>
      <c r="W463" s="1"/>
      <c r="X463" s="1"/>
      <c r="Y463" s="1"/>
    </row>
    <row r="464" spans="1:25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31"/>
      <c r="T464" s="1"/>
      <c r="U464" s="1"/>
      <c r="V464" s="1"/>
      <c r="W464" s="1"/>
      <c r="X464" s="1"/>
      <c r="Y464" s="1"/>
    </row>
    <row r="465" spans="1:2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31"/>
      <c r="T465" s="1"/>
      <c r="U465" s="1"/>
      <c r="V465" s="1"/>
      <c r="W465" s="1"/>
      <c r="X465" s="1"/>
      <c r="Y465" s="1"/>
    </row>
    <row r="466" spans="1:25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31"/>
      <c r="T466" s="1"/>
      <c r="U466" s="1"/>
      <c r="V466" s="1"/>
      <c r="W466" s="1"/>
      <c r="X466" s="1"/>
      <c r="Y466" s="1"/>
    </row>
    <row r="467" spans="1:25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31"/>
      <c r="T467" s="1"/>
      <c r="U467" s="1"/>
      <c r="V467" s="1"/>
      <c r="W467" s="1"/>
      <c r="X467" s="1"/>
      <c r="Y467" s="1"/>
    </row>
    <row r="468" spans="1:25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31"/>
      <c r="T468" s="1"/>
      <c r="U468" s="1"/>
      <c r="V468" s="1"/>
      <c r="W468" s="1"/>
      <c r="X468" s="1"/>
      <c r="Y468" s="1"/>
    </row>
    <row r="469" spans="1:25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31"/>
      <c r="T469" s="1"/>
      <c r="U469" s="1"/>
      <c r="V469" s="1"/>
      <c r="W469" s="1"/>
      <c r="X469" s="1"/>
      <c r="Y469" s="1"/>
    </row>
    <row r="470" spans="1:25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31"/>
      <c r="T470" s="1"/>
      <c r="U470" s="1"/>
      <c r="V470" s="1"/>
      <c r="W470" s="1"/>
      <c r="X470" s="1"/>
      <c r="Y470" s="1"/>
    </row>
    <row r="471" spans="1:25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31"/>
      <c r="T471" s="1"/>
      <c r="U471" s="1"/>
      <c r="V471" s="1"/>
      <c r="W471" s="1"/>
      <c r="X471" s="1"/>
      <c r="Y471" s="1"/>
    </row>
    <row r="472" spans="1:25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31"/>
      <c r="T472" s="1"/>
      <c r="U472" s="1"/>
      <c r="V472" s="1"/>
      <c r="W472" s="1"/>
      <c r="X472" s="1"/>
      <c r="Y472" s="1"/>
    </row>
    <row r="473" spans="1:25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31"/>
      <c r="T473" s="1"/>
      <c r="U473" s="1"/>
      <c r="V473" s="1"/>
      <c r="W473" s="1"/>
      <c r="X473" s="1"/>
      <c r="Y473" s="1"/>
    </row>
    <row r="474" spans="1:25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31"/>
      <c r="T474" s="1"/>
      <c r="U474" s="1"/>
      <c r="V474" s="1"/>
      <c r="W474" s="1"/>
      <c r="X474" s="1"/>
      <c r="Y474" s="1"/>
    </row>
    <row r="475" spans="1:2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31"/>
      <c r="T475" s="1"/>
      <c r="U475" s="1"/>
      <c r="V475" s="1"/>
      <c r="W475" s="1"/>
      <c r="X475" s="1"/>
      <c r="Y475" s="1"/>
    </row>
    <row r="476" spans="1:25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31"/>
      <c r="T476" s="1"/>
      <c r="U476" s="1"/>
      <c r="V476" s="1"/>
      <c r="W476" s="1"/>
      <c r="X476" s="1"/>
      <c r="Y476" s="1"/>
    </row>
    <row r="477" spans="1:25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31"/>
      <c r="T477" s="1"/>
      <c r="U477" s="1"/>
      <c r="V477" s="1"/>
      <c r="W477" s="1"/>
      <c r="X477" s="1"/>
      <c r="Y477" s="1"/>
    </row>
    <row r="478" spans="1:25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31"/>
      <c r="T478" s="1"/>
      <c r="U478" s="1"/>
      <c r="V478" s="1"/>
      <c r="W478" s="1"/>
      <c r="X478" s="1"/>
      <c r="Y478" s="1"/>
    </row>
    <row r="479" spans="1:25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31"/>
      <c r="T479" s="1"/>
      <c r="U479" s="1"/>
      <c r="V479" s="1"/>
      <c r="W479" s="1"/>
      <c r="X479" s="1"/>
      <c r="Y479" s="1"/>
    </row>
    <row r="480" spans="1:25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31"/>
      <c r="T480" s="1"/>
      <c r="U480" s="1"/>
      <c r="V480" s="1"/>
      <c r="W480" s="1"/>
      <c r="X480" s="1"/>
      <c r="Y480" s="1"/>
    </row>
    <row r="481" spans="1:25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31"/>
      <c r="T481" s="1"/>
      <c r="U481" s="1"/>
      <c r="V481" s="1"/>
      <c r="W481" s="1"/>
      <c r="X481" s="1"/>
      <c r="Y481" s="1"/>
    </row>
    <row r="482" spans="1:25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31"/>
      <c r="T482" s="1"/>
      <c r="U482" s="1"/>
      <c r="V482" s="1"/>
      <c r="W482" s="1"/>
      <c r="X482" s="1"/>
      <c r="Y482" s="1"/>
    </row>
    <row r="483" spans="1:25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31"/>
      <c r="T483" s="1"/>
      <c r="U483" s="1"/>
      <c r="V483" s="1"/>
      <c r="W483" s="1"/>
      <c r="X483" s="1"/>
      <c r="Y483" s="1"/>
    </row>
    <row r="484" spans="1:25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31"/>
      <c r="T484" s="1"/>
      <c r="U484" s="1"/>
      <c r="V484" s="1"/>
      <c r="W484" s="1"/>
      <c r="X484" s="1"/>
      <c r="Y484" s="1"/>
    </row>
    <row r="485" spans="1:2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31"/>
      <c r="T485" s="1"/>
      <c r="U485" s="1"/>
      <c r="V485" s="1"/>
      <c r="W485" s="1"/>
      <c r="X485" s="1"/>
      <c r="Y485" s="1"/>
    </row>
    <row r="486" spans="1:25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31"/>
      <c r="T486" s="1"/>
      <c r="U486" s="1"/>
      <c r="V486" s="1"/>
      <c r="W486" s="1"/>
      <c r="X486" s="1"/>
      <c r="Y486" s="1"/>
    </row>
    <row r="487" spans="1:25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31"/>
      <c r="T487" s="1"/>
      <c r="U487" s="1"/>
      <c r="V487" s="1"/>
      <c r="W487" s="1"/>
      <c r="X487" s="1"/>
      <c r="Y487" s="1"/>
    </row>
    <row r="488" spans="1:25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31"/>
      <c r="T488" s="1"/>
      <c r="U488" s="1"/>
      <c r="V488" s="1"/>
      <c r="W488" s="1"/>
      <c r="X488" s="1"/>
      <c r="Y488" s="1"/>
    </row>
    <row r="489" spans="1:25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31"/>
      <c r="T489" s="1"/>
      <c r="U489" s="1"/>
      <c r="V489" s="1"/>
      <c r="W489" s="1"/>
      <c r="X489" s="1"/>
      <c r="Y489" s="1"/>
    </row>
    <row r="490" spans="1:25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31"/>
      <c r="T490" s="1"/>
      <c r="U490" s="1"/>
      <c r="V490" s="1"/>
      <c r="W490" s="1"/>
      <c r="X490" s="1"/>
      <c r="Y490" s="1"/>
    </row>
    <row r="491" spans="1:25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31"/>
      <c r="T491" s="1"/>
      <c r="U491" s="1"/>
      <c r="V491" s="1"/>
      <c r="W491" s="1"/>
      <c r="X491" s="1"/>
      <c r="Y491" s="1"/>
    </row>
    <row r="492" spans="1:25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31"/>
      <c r="T492" s="1"/>
      <c r="U492" s="1"/>
      <c r="V492" s="1"/>
      <c r="W492" s="1"/>
      <c r="X492" s="1"/>
      <c r="Y492" s="1"/>
    </row>
    <row r="493" spans="1:25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31"/>
      <c r="T493" s="1"/>
      <c r="U493" s="1"/>
      <c r="V493" s="1"/>
      <c r="W493" s="1"/>
      <c r="X493" s="1"/>
      <c r="Y493" s="1"/>
    </row>
    <row r="494" spans="1:25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31"/>
      <c r="T494" s="1"/>
      <c r="U494" s="1"/>
      <c r="V494" s="1"/>
      <c r="W494" s="1"/>
      <c r="X494" s="1"/>
      <c r="Y494" s="1"/>
    </row>
    <row r="495" spans="1:2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31"/>
      <c r="T495" s="1"/>
      <c r="U495" s="1"/>
      <c r="V495" s="1"/>
      <c r="W495" s="1"/>
      <c r="X495" s="1"/>
      <c r="Y495" s="1"/>
    </row>
    <row r="496" spans="1:25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31"/>
      <c r="T496" s="1"/>
      <c r="U496" s="1"/>
      <c r="V496" s="1"/>
      <c r="W496" s="1"/>
      <c r="X496" s="1"/>
      <c r="Y496" s="1"/>
    </row>
    <row r="497" spans="1:25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31"/>
      <c r="T497" s="1"/>
      <c r="U497" s="1"/>
      <c r="V497" s="1"/>
      <c r="W497" s="1"/>
      <c r="X497" s="1"/>
      <c r="Y497" s="1"/>
    </row>
    <row r="498" spans="1:25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31"/>
      <c r="T498" s="1"/>
      <c r="U498" s="1"/>
      <c r="V498" s="1"/>
      <c r="W498" s="1"/>
      <c r="X498" s="1"/>
      <c r="Y498" s="1"/>
    </row>
    <row r="499" spans="1:25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31"/>
      <c r="T499" s="1"/>
      <c r="U499" s="1"/>
      <c r="V499" s="1"/>
      <c r="W499" s="1"/>
      <c r="X499" s="1"/>
      <c r="Y499" s="1"/>
    </row>
    <row r="500" spans="1:25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31"/>
      <c r="T500" s="1"/>
      <c r="U500" s="1"/>
      <c r="V500" s="1"/>
      <c r="W500" s="1"/>
      <c r="X500" s="1"/>
      <c r="Y500" s="1"/>
    </row>
    <row r="501" spans="1:25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31"/>
      <c r="T501" s="1"/>
      <c r="U501" s="1"/>
      <c r="V501" s="1"/>
      <c r="W501" s="1"/>
      <c r="X501" s="1"/>
      <c r="Y501" s="1"/>
    </row>
    <row r="502" spans="1:25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31"/>
      <c r="T502" s="1"/>
      <c r="U502" s="1"/>
      <c r="V502" s="1"/>
      <c r="W502" s="1"/>
      <c r="X502" s="1"/>
      <c r="Y502" s="1"/>
    </row>
    <row r="503" spans="1:25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31"/>
      <c r="T503" s="1"/>
      <c r="U503" s="1"/>
      <c r="V503" s="1"/>
      <c r="W503" s="1"/>
      <c r="X503" s="1"/>
      <c r="Y503" s="1"/>
    </row>
    <row r="504" spans="1:25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31"/>
      <c r="T504" s="1"/>
      <c r="U504" s="1"/>
      <c r="V504" s="1"/>
      <c r="W504" s="1"/>
      <c r="X504" s="1"/>
      <c r="Y504" s="1"/>
    </row>
    <row r="505" spans="1:2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31"/>
      <c r="T505" s="1"/>
      <c r="U505" s="1"/>
      <c r="V505" s="1"/>
      <c r="W505" s="1"/>
      <c r="X505" s="1"/>
      <c r="Y505" s="1"/>
    </row>
    <row r="506" spans="1:25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31"/>
      <c r="T506" s="1"/>
      <c r="U506" s="1"/>
      <c r="V506" s="1"/>
      <c r="W506" s="1"/>
      <c r="X506" s="1"/>
      <c r="Y506" s="1"/>
    </row>
    <row r="507" spans="1:25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31"/>
      <c r="T507" s="1"/>
      <c r="U507" s="1"/>
      <c r="V507" s="1"/>
      <c r="W507" s="1"/>
      <c r="X507" s="1"/>
      <c r="Y507" s="1"/>
    </row>
    <row r="508" spans="1:25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31"/>
      <c r="T508" s="1"/>
      <c r="U508" s="1"/>
      <c r="V508" s="1"/>
      <c r="W508" s="1"/>
      <c r="X508" s="1"/>
      <c r="Y508" s="1"/>
    </row>
    <row r="509" spans="1:25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31"/>
      <c r="T509" s="1"/>
      <c r="U509" s="1"/>
      <c r="V509" s="1"/>
      <c r="W509" s="1"/>
      <c r="X509" s="1"/>
      <c r="Y509" s="1"/>
    </row>
    <row r="510" spans="1:25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31"/>
      <c r="T510" s="1"/>
      <c r="U510" s="1"/>
      <c r="V510" s="1"/>
      <c r="W510" s="1"/>
      <c r="X510" s="1"/>
      <c r="Y510" s="1"/>
    </row>
    <row r="511" spans="1:25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31"/>
      <c r="T511" s="1"/>
      <c r="U511" s="1"/>
      <c r="V511" s="1"/>
      <c r="W511" s="1"/>
      <c r="X511" s="1"/>
      <c r="Y511" s="1"/>
    </row>
    <row r="512" spans="1:25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31"/>
      <c r="T512" s="1"/>
      <c r="U512" s="1"/>
      <c r="V512" s="1"/>
      <c r="W512" s="1"/>
      <c r="X512" s="1"/>
      <c r="Y512" s="1"/>
    </row>
    <row r="513" spans="1:25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31"/>
      <c r="T513" s="1"/>
      <c r="U513" s="1"/>
      <c r="V513" s="1"/>
      <c r="W513" s="1"/>
      <c r="X513" s="1"/>
      <c r="Y513" s="1"/>
    </row>
    <row r="514" spans="1:25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31"/>
      <c r="T514" s="1"/>
      <c r="U514" s="1"/>
      <c r="V514" s="1"/>
      <c r="W514" s="1"/>
      <c r="X514" s="1"/>
      <c r="Y514" s="1"/>
    </row>
    <row r="515" spans="1:2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31"/>
      <c r="T515" s="1"/>
      <c r="U515" s="1"/>
      <c r="V515" s="1"/>
      <c r="W515" s="1"/>
      <c r="X515" s="1"/>
      <c r="Y515" s="1"/>
    </row>
    <row r="516" spans="1:25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31"/>
      <c r="T516" s="1"/>
      <c r="U516" s="1"/>
      <c r="V516" s="1"/>
      <c r="W516" s="1"/>
      <c r="X516" s="1"/>
      <c r="Y516" s="1"/>
    </row>
    <row r="517" spans="1:25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31"/>
      <c r="T517" s="1"/>
      <c r="U517" s="1"/>
      <c r="V517" s="1"/>
      <c r="W517" s="1"/>
      <c r="X517" s="1"/>
      <c r="Y517" s="1"/>
    </row>
    <row r="518" spans="1:25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31"/>
      <c r="T518" s="1"/>
      <c r="U518" s="1"/>
      <c r="V518" s="1"/>
      <c r="W518" s="1"/>
      <c r="X518" s="1"/>
      <c r="Y518" s="1"/>
    </row>
    <row r="519" spans="1:25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31"/>
      <c r="T519" s="1"/>
      <c r="U519" s="1"/>
      <c r="V519" s="1"/>
      <c r="W519" s="1"/>
      <c r="X519" s="1"/>
      <c r="Y519" s="1"/>
    </row>
    <row r="520" spans="1:25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31"/>
      <c r="T520" s="1"/>
      <c r="U520" s="1"/>
      <c r="V520" s="1"/>
      <c r="W520" s="1"/>
      <c r="X520" s="1"/>
      <c r="Y520" s="1"/>
    </row>
    <row r="521" spans="1:25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31"/>
      <c r="T521" s="1"/>
      <c r="U521" s="1"/>
      <c r="V521" s="1"/>
      <c r="W521" s="1"/>
      <c r="X521" s="1"/>
      <c r="Y521" s="1"/>
    </row>
    <row r="522" spans="1:25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31"/>
      <c r="T522" s="1"/>
      <c r="U522" s="1"/>
      <c r="V522" s="1"/>
      <c r="W522" s="1"/>
      <c r="X522" s="1"/>
      <c r="Y522" s="1"/>
    </row>
    <row r="523" spans="1:25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31"/>
      <c r="T523" s="1"/>
      <c r="U523" s="1"/>
      <c r="V523" s="1"/>
      <c r="W523" s="1"/>
      <c r="X523" s="1"/>
      <c r="Y523" s="1"/>
    </row>
    <row r="524" spans="1:25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31"/>
      <c r="T524" s="1"/>
      <c r="U524" s="1"/>
      <c r="V524" s="1"/>
      <c r="W524" s="1"/>
      <c r="X524" s="1"/>
      <c r="Y524" s="1"/>
    </row>
    <row r="525" spans="1: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31"/>
      <c r="T525" s="1"/>
      <c r="U525" s="1"/>
      <c r="V525" s="1"/>
      <c r="W525" s="1"/>
      <c r="X525" s="1"/>
      <c r="Y525" s="1"/>
    </row>
    <row r="526" spans="1:25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31"/>
      <c r="T526" s="1"/>
      <c r="U526" s="1"/>
      <c r="V526" s="1"/>
      <c r="W526" s="1"/>
      <c r="X526" s="1"/>
      <c r="Y526" s="1"/>
    </row>
    <row r="527" spans="1:25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31"/>
      <c r="T527" s="1"/>
      <c r="U527" s="1"/>
      <c r="V527" s="1"/>
      <c r="W527" s="1"/>
      <c r="X527" s="1"/>
      <c r="Y527" s="1"/>
    </row>
    <row r="528" spans="1:25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31"/>
      <c r="T528" s="1"/>
      <c r="U528" s="1"/>
      <c r="V528" s="1"/>
      <c r="W528" s="1"/>
      <c r="X528" s="1"/>
      <c r="Y528" s="1"/>
    </row>
    <row r="529" spans="1:25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31"/>
      <c r="T529" s="1"/>
      <c r="U529" s="1"/>
      <c r="V529" s="1"/>
      <c r="W529" s="1"/>
      <c r="X529" s="1"/>
      <c r="Y529" s="1"/>
    </row>
    <row r="530" spans="1:25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31"/>
      <c r="T530" s="1"/>
      <c r="U530" s="1"/>
      <c r="V530" s="1"/>
      <c r="W530" s="1"/>
      <c r="X530" s="1"/>
      <c r="Y530" s="1"/>
    </row>
    <row r="531" spans="1:25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31"/>
      <c r="T531" s="1"/>
      <c r="U531" s="1"/>
      <c r="V531" s="1"/>
      <c r="W531" s="1"/>
      <c r="X531" s="1"/>
      <c r="Y531" s="1"/>
    </row>
    <row r="532" spans="1:25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31"/>
      <c r="T532" s="1"/>
      <c r="U532" s="1"/>
      <c r="V532" s="1"/>
      <c r="W532" s="1"/>
      <c r="X532" s="1"/>
      <c r="Y532" s="1"/>
    </row>
    <row r="533" spans="1:25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31"/>
      <c r="T533" s="1"/>
      <c r="U533" s="1"/>
      <c r="V533" s="1"/>
      <c r="W533" s="1"/>
      <c r="X533" s="1"/>
      <c r="Y533" s="1"/>
    </row>
    <row r="534" spans="1:25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31"/>
      <c r="T534" s="1"/>
      <c r="U534" s="1"/>
      <c r="V534" s="1"/>
      <c r="W534" s="1"/>
      <c r="X534" s="1"/>
      <c r="Y534" s="1"/>
    </row>
    <row r="535" spans="1:2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31"/>
      <c r="T535" s="1"/>
      <c r="U535" s="1"/>
      <c r="V535" s="1"/>
      <c r="W535" s="1"/>
      <c r="X535" s="1"/>
      <c r="Y535" s="1"/>
    </row>
    <row r="536" spans="1:25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31"/>
      <c r="T536" s="1"/>
      <c r="U536" s="1"/>
      <c r="V536" s="1"/>
      <c r="W536" s="1"/>
      <c r="X536" s="1"/>
      <c r="Y536" s="1"/>
    </row>
    <row r="537" spans="1:25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31"/>
      <c r="T537" s="1"/>
      <c r="U537" s="1"/>
      <c r="V537" s="1"/>
      <c r="W537" s="1"/>
      <c r="X537" s="1"/>
      <c r="Y537" s="1"/>
    </row>
    <row r="538" spans="1:25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31"/>
      <c r="T538" s="1"/>
      <c r="U538" s="1"/>
      <c r="V538" s="1"/>
      <c r="W538" s="1"/>
      <c r="X538" s="1"/>
      <c r="Y538" s="1"/>
    </row>
    <row r="539" spans="1:25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31"/>
      <c r="T539" s="1"/>
      <c r="U539" s="1"/>
      <c r="V539" s="1"/>
      <c r="W539" s="1"/>
      <c r="X539" s="1"/>
      <c r="Y539" s="1"/>
    </row>
    <row r="540" spans="1:25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31"/>
      <c r="T540" s="1"/>
      <c r="U540" s="1"/>
      <c r="V540" s="1"/>
      <c r="W540" s="1"/>
      <c r="X540" s="1"/>
      <c r="Y540" s="1"/>
    </row>
    <row r="541" spans="1:25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31"/>
      <c r="T541" s="1"/>
      <c r="U541" s="1"/>
      <c r="V541" s="1"/>
      <c r="W541" s="1"/>
      <c r="X541" s="1"/>
      <c r="Y541" s="1"/>
    </row>
    <row r="542" spans="1:25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31"/>
      <c r="T542" s="1"/>
      <c r="U542" s="1"/>
      <c r="V542" s="1"/>
      <c r="W542" s="1"/>
      <c r="X542" s="1"/>
      <c r="Y542" s="1"/>
    </row>
    <row r="543" spans="1:25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31"/>
      <c r="T543" s="1"/>
      <c r="U543" s="1"/>
      <c r="V543" s="1"/>
      <c r="W543" s="1"/>
      <c r="X543" s="1"/>
      <c r="Y543" s="1"/>
    </row>
    <row r="544" spans="1:25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31"/>
      <c r="T544" s="1"/>
      <c r="U544" s="1"/>
      <c r="V544" s="1"/>
      <c r="W544" s="1"/>
      <c r="X544" s="1"/>
      <c r="Y544" s="1"/>
    </row>
    <row r="545" spans="1:2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31"/>
      <c r="T545" s="1"/>
      <c r="U545" s="1"/>
      <c r="V545" s="1"/>
      <c r="W545" s="1"/>
      <c r="X545" s="1"/>
      <c r="Y545" s="1"/>
    </row>
    <row r="546" spans="1:25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31"/>
      <c r="T546" s="1"/>
      <c r="U546" s="1"/>
      <c r="V546" s="1"/>
      <c r="W546" s="1"/>
      <c r="X546" s="1"/>
      <c r="Y546" s="1"/>
    </row>
    <row r="547" spans="1:25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31"/>
      <c r="T547" s="1"/>
      <c r="U547" s="1"/>
      <c r="V547" s="1"/>
      <c r="W547" s="1"/>
      <c r="X547" s="1"/>
      <c r="Y547" s="1"/>
    </row>
    <row r="548" spans="1:25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31"/>
      <c r="T548" s="1"/>
      <c r="U548" s="1"/>
      <c r="V548" s="1"/>
      <c r="W548" s="1"/>
      <c r="X548" s="1"/>
      <c r="Y548" s="1"/>
    </row>
    <row r="549" spans="1:25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31"/>
      <c r="T549" s="1"/>
      <c r="U549" s="1"/>
      <c r="V549" s="1"/>
      <c r="W549" s="1"/>
      <c r="X549" s="1"/>
      <c r="Y549" s="1"/>
    </row>
    <row r="550" spans="1:25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31"/>
      <c r="T550" s="1"/>
      <c r="U550" s="1"/>
      <c r="V550" s="1"/>
      <c r="W550" s="1"/>
      <c r="X550" s="1"/>
      <c r="Y550" s="1"/>
    </row>
    <row r="551" spans="1:25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31"/>
      <c r="T551" s="1"/>
      <c r="U551" s="1"/>
      <c r="V551" s="1"/>
      <c r="W551" s="1"/>
      <c r="X551" s="1"/>
      <c r="Y551" s="1"/>
    </row>
    <row r="552" spans="1:25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31"/>
      <c r="T552" s="1"/>
      <c r="U552" s="1"/>
      <c r="V552" s="1"/>
      <c r="W552" s="1"/>
      <c r="X552" s="1"/>
      <c r="Y552" s="1"/>
    </row>
    <row r="553" spans="1:25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31"/>
      <c r="T553" s="1"/>
      <c r="U553" s="1"/>
      <c r="V553" s="1"/>
      <c r="W553" s="1"/>
      <c r="X553" s="1"/>
      <c r="Y553" s="1"/>
    </row>
    <row r="554" spans="1:25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31"/>
      <c r="T554" s="1"/>
      <c r="U554" s="1"/>
      <c r="V554" s="1"/>
      <c r="W554" s="1"/>
      <c r="X554" s="1"/>
      <c r="Y554" s="1"/>
    </row>
    <row r="555" spans="1:2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31"/>
      <c r="T555" s="1"/>
      <c r="U555" s="1"/>
      <c r="V555" s="1"/>
      <c r="W555" s="1"/>
      <c r="X555" s="1"/>
      <c r="Y555" s="1"/>
    </row>
    <row r="556" spans="1:25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31"/>
      <c r="T556" s="1"/>
      <c r="U556" s="1"/>
      <c r="V556" s="1"/>
      <c r="W556" s="1"/>
      <c r="X556" s="1"/>
      <c r="Y556" s="1"/>
    </row>
    <row r="557" spans="1:25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31"/>
      <c r="T557" s="1"/>
      <c r="U557" s="1"/>
      <c r="V557" s="1"/>
      <c r="W557" s="1"/>
      <c r="X557" s="1"/>
      <c r="Y557" s="1"/>
    </row>
    <row r="558" spans="1:25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31"/>
      <c r="T558" s="1"/>
      <c r="U558" s="1"/>
      <c r="V558" s="1"/>
      <c r="W558" s="1"/>
      <c r="X558" s="1"/>
      <c r="Y558" s="1"/>
    </row>
    <row r="559" spans="1:25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31"/>
      <c r="T559" s="1"/>
      <c r="U559" s="1"/>
      <c r="V559" s="1"/>
      <c r="W559" s="1"/>
      <c r="X559" s="1"/>
      <c r="Y559" s="1"/>
    </row>
    <row r="560" spans="1:25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31"/>
      <c r="T560" s="1"/>
      <c r="U560" s="1"/>
      <c r="V560" s="1"/>
      <c r="W560" s="1"/>
      <c r="X560" s="1"/>
      <c r="Y560" s="1"/>
    </row>
    <row r="561" spans="1:25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31"/>
      <c r="T561" s="1"/>
      <c r="U561" s="1"/>
      <c r="V561" s="1"/>
      <c r="W561" s="1"/>
      <c r="X561" s="1"/>
      <c r="Y561" s="1"/>
    </row>
    <row r="562" spans="1:25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31"/>
      <c r="T562" s="1"/>
      <c r="U562" s="1"/>
      <c r="V562" s="1"/>
      <c r="W562" s="1"/>
      <c r="X562" s="1"/>
      <c r="Y562" s="1"/>
    </row>
    <row r="563" spans="1:25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31"/>
      <c r="T563" s="1"/>
      <c r="U563" s="1"/>
      <c r="V563" s="1"/>
      <c r="W563" s="1"/>
      <c r="X563" s="1"/>
      <c r="Y563" s="1"/>
    </row>
    <row r="564" spans="1:25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31"/>
      <c r="T564" s="1"/>
      <c r="U564" s="1"/>
      <c r="V564" s="1"/>
      <c r="W564" s="1"/>
      <c r="X564" s="1"/>
      <c r="Y564" s="1"/>
    </row>
    <row r="565" spans="1:2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31"/>
      <c r="T565" s="1"/>
      <c r="U565" s="1"/>
      <c r="V565" s="1"/>
      <c r="W565" s="1"/>
      <c r="X565" s="1"/>
      <c r="Y565" s="1"/>
    </row>
    <row r="566" spans="1:25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31"/>
      <c r="T566" s="1"/>
      <c r="U566" s="1"/>
      <c r="V566" s="1"/>
      <c r="W566" s="1"/>
      <c r="X566" s="1"/>
      <c r="Y566" s="1"/>
    </row>
    <row r="567" spans="1:25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31"/>
      <c r="T567" s="1"/>
      <c r="U567" s="1"/>
      <c r="V567" s="1"/>
      <c r="W567" s="1"/>
      <c r="X567" s="1"/>
      <c r="Y567" s="1"/>
    </row>
    <row r="568" spans="1:25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31"/>
      <c r="T568" s="1"/>
      <c r="U568" s="1"/>
      <c r="V568" s="1"/>
      <c r="W568" s="1"/>
      <c r="X568" s="1"/>
      <c r="Y568" s="1"/>
    </row>
    <row r="569" spans="1:25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31"/>
      <c r="T569" s="1"/>
      <c r="U569" s="1"/>
      <c r="V569" s="1"/>
      <c r="W569" s="1"/>
      <c r="X569" s="1"/>
      <c r="Y569" s="1"/>
    </row>
    <row r="570" spans="1:25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31"/>
      <c r="T570" s="1"/>
      <c r="U570" s="1"/>
      <c r="V570" s="1"/>
      <c r="W570" s="1"/>
      <c r="X570" s="1"/>
      <c r="Y570" s="1"/>
    </row>
    <row r="571" spans="1:25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31"/>
      <c r="T571" s="1"/>
      <c r="U571" s="1"/>
      <c r="V571" s="1"/>
      <c r="W571" s="1"/>
      <c r="X571" s="1"/>
      <c r="Y571" s="1"/>
    </row>
    <row r="572" spans="1:25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31"/>
      <c r="T572" s="1"/>
      <c r="U572" s="1"/>
      <c r="V572" s="1"/>
      <c r="W572" s="1"/>
      <c r="X572" s="1"/>
      <c r="Y572" s="1"/>
    </row>
    <row r="573" spans="1:25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31"/>
      <c r="T573" s="1"/>
      <c r="U573" s="1"/>
      <c r="V573" s="1"/>
      <c r="W573" s="1"/>
      <c r="X573" s="1"/>
      <c r="Y573" s="1"/>
    </row>
    <row r="574" spans="1:25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31"/>
      <c r="T574" s="1"/>
      <c r="U574" s="1"/>
      <c r="V574" s="1"/>
      <c r="W574" s="1"/>
      <c r="X574" s="1"/>
      <c r="Y574" s="1"/>
    </row>
    <row r="575" spans="1:2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31"/>
      <c r="T575" s="1"/>
      <c r="U575" s="1"/>
      <c r="V575" s="1"/>
      <c r="W575" s="1"/>
      <c r="X575" s="1"/>
      <c r="Y575" s="1"/>
    </row>
    <row r="576" spans="1:25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31"/>
      <c r="T576" s="1"/>
      <c r="U576" s="1"/>
      <c r="V576" s="1"/>
      <c r="W576" s="1"/>
      <c r="X576" s="1"/>
      <c r="Y576" s="1"/>
    </row>
    <row r="577" spans="1:25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31"/>
      <c r="T577" s="1"/>
      <c r="U577" s="1"/>
      <c r="V577" s="1"/>
      <c r="W577" s="1"/>
      <c r="X577" s="1"/>
      <c r="Y577" s="1"/>
    </row>
    <row r="578" spans="1:25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31"/>
      <c r="T578" s="1"/>
      <c r="U578" s="1"/>
      <c r="V578" s="1"/>
      <c r="W578" s="1"/>
      <c r="X578" s="1"/>
      <c r="Y578" s="1"/>
    </row>
    <row r="579" spans="1:25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31"/>
      <c r="T579" s="1"/>
      <c r="U579" s="1"/>
      <c r="V579" s="1"/>
      <c r="W579" s="1"/>
      <c r="X579" s="1"/>
      <c r="Y579" s="1"/>
    </row>
    <row r="580" spans="1:25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31"/>
      <c r="T580" s="1"/>
      <c r="U580" s="1"/>
      <c r="V580" s="1"/>
      <c r="W580" s="1"/>
      <c r="X580" s="1"/>
      <c r="Y580" s="1"/>
    </row>
    <row r="581" spans="1:25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31"/>
      <c r="T581" s="1"/>
      <c r="U581" s="1"/>
      <c r="V581" s="1"/>
      <c r="W581" s="1"/>
      <c r="X581" s="1"/>
      <c r="Y581" s="1"/>
    </row>
    <row r="582" spans="1:25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31"/>
      <c r="T582" s="1"/>
      <c r="U582" s="1"/>
      <c r="V582" s="1"/>
      <c r="W582" s="1"/>
      <c r="X582" s="1"/>
      <c r="Y582" s="1"/>
    </row>
    <row r="583" spans="1:25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31"/>
      <c r="T583" s="1"/>
      <c r="U583" s="1"/>
      <c r="V583" s="1"/>
      <c r="W583" s="1"/>
      <c r="X583" s="1"/>
      <c r="Y583" s="1"/>
    </row>
    <row r="584" spans="1:25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31"/>
      <c r="T584" s="1"/>
      <c r="U584" s="1"/>
      <c r="V584" s="1"/>
      <c r="W584" s="1"/>
      <c r="X584" s="1"/>
      <c r="Y584" s="1"/>
    </row>
    <row r="585" spans="1:2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31"/>
      <c r="T585" s="1"/>
      <c r="U585" s="1"/>
      <c r="V585" s="1"/>
      <c r="W585" s="1"/>
      <c r="X585" s="1"/>
      <c r="Y585" s="1"/>
    </row>
    <row r="586" spans="1:25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31"/>
      <c r="T586" s="1"/>
      <c r="U586" s="1"/>
      <c r="V586" s="1"/>
      <c r="W586" s="1"/>
      <c r="X586" s="1"/>
      <c r="Y586" s="1"/>
    </row>
    <row r="587" spans="1:25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31"/>
      <c r="T587" s="1"/>
      <c r="U587" s="1"/>
      <c r="V587" s="1"/>
      <c r="W587" s="1"/>
      <c r="X587" s="1"/>
      <c r="Y587" s="1"/>
    </row>
    <row r="588" spans="1:25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31"/>
      <c r="T588" s="1"/>
      <c r="U588" s="1"/>
      <c r="V588" s="1"/>
      <c r="W588" s="1"/>
      <c r="X588" s="1"/>
      <c r="Y588" s="1"/>
    </row>
    <row r="589" spans="1:25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31"/>
      <c r="T589" s="1"/>
      <c r="U589" s="1"/>
      <c r="V589" s="1"/>
      <c r="W589" s="1"/>
      <c r="X589" s="1"/>
      <c r="Y589" s="1"/>
    </row>
    <row r="590" spans="1:25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31"/>
      <c r="T590" s="1"/>
      <c r="U590" s="1"/>
      <c r="V590" s="1"/>
      <c r="W590" s="1"/>
      <c r="X590" s="1"/>
      <c r="Y590" s="1"/>
    </row>
    <row r="591" spans="1:25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31"/>
      <c r="T591" s="1"/>
      <c r="U591" s="1"/>
      <c r="V591" s="1"/>
      <c r="W591" s="1"/>
      <c r="X591" s="1"/>
      <c r="Y591" s="1"/>
    </row>
    <row r="592" spans="1:25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31"/>
      <c r="T592" s="1"/>
      <c r="U592" s="1"/>
      <c r="V592" s="1"/>
      <c r="W592" s="1"/>
      <c r="X592" s="1"/>
      <c r="Y592" s="1"/>
    </row>
    <row r="593" spans="1:25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31"/>
      <c r="T593" s="1"/>
      <c r="U593" s="1"/>
      <c r="V593" s="1"/>
      <c r="W593" s="1"/>
      <c r="X593" s="1"/>
      <c r="Y593" s="1"/>
    </row>
    <row r="594" spans="1:25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31"/>
      <c r="T594" s="1"/>
      <c r="U594" s="1"/>
      <c r="V594" s="1"/>
      <c r="W594" s="1"/>
      <c r="X594" s="1"/>
      <c r="Y594" s="1"/>
    </row>
    <row r="595" spans="1:2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31"/>
      <c r="T595" s="1"/>
      <c r="U595" s="1"/>
      <c r="V595" s="1"/>
      <c r="W595" s="1"/>
      <c r="X595" s="1"/>
      <c r="Y595" s="1"/>
    </row>
    <row r="596" spans="1:25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31"/>
      <c r="T596" s="1"/>
      <c r="U596" s="1"/>
      <c r="V596" s="1"/>
      <c r="W596" s="1"/>
      <c r="X596" s="1"/>
      <c r="Y596" s="1"/>
    </row>
    <row r="597" spans="1:25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31"/>
      <c r="T597" s="1"/>
      <c r="U597" s="1"/>
      <c r="V597" s="1"/>
      <c r="W597" s="1"/>
      <c r="X597" s="1"/>
      <c r="Y597" s="1"/>
    </row>
    <row r="598" spans="1:25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31"/>
      <c r="T598" s="1"/>
      <c r="U598" s="1"/>
      <c r="V598" s="1"/>
      <c r="W598" s="1"/>
      <c r="X598" s="1"/>
      <c r="Y598" s="1"/>
    </row>
    <row r="599" spans="1:25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31"/>
      <c r="T599" s="1"/>
      <c r="U599" s="1"/>
      <c r="V599" s="1"/>
      <c r="W599" s="1"/>
      <c r="X599" s="1"/>
      <c r="Y599" s="1"/>
    </row>
    <row r="600" spans="1:25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31"/>
      <c r="T600" s="1"/>
      <c r="U600" s="1"/>
      <c r="V600" s="1"/>
      <c r="W600" s="1"/>
      <c r="X600" s="1"/>
      <c r="Y600" s="1"/>
    </row>
    <row r="601" spans="1:25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31"/>
      <c r="T601" s="1"/>
      <c r="U601" s="1"/>
      <c r="V601" s="1"/>
      <c r="W601" s="1"/>
      <c r="X601" s="1"/>
      <c r="Y601" s="1"/>
    </row>
    <row r="602" spans="1:25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31"/>
      <c r="T602" s="1"/>
      <c r="U602" s="1"/>
      <c r="V602" s="1"/>
      <c r="W602" s="1"/>
      <c r="X602" s="1"/>
      <c r="Y602" s="1"/>
    </row>
    <row r="603" spans="1:25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31"/>
      <c r="T603" s="1"/>
      <c r="U603" s="1"/>
      <c r="V603" s="1"/>
      <c r="W603" s="1"/>
      <c r="X603" s="1"/>
      <c r="Y603" s="1"/>
    </row>
    <row r="604" spans="1:25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31"/>
      <c r="T604" s="1"/>
      <c r="U604" s="1"/>
      <c r="V604" s="1"/>
      <c r="W604" s="1"/>
      <c r="X604" s="1"/>
      <c r="Y604" s="1"/>
    </row>
    <row r="605" spans="1:2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31"/>
      <c r="T605" s="1"/>
      <c r="U605" s="1"/>
      <c r="V605" s="1"/>
      <c r="W605" s="1"/>
      <c r="X605" s="1"/>
      <c r="Y605" s="1"/>
    </row>
    <row r="606" spans="1:25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31"/>
      <c r="T606" s="1"/>
      <c r="U606" s="1"/>
      <c r="V606" s="1"/>
      <c r="W606" s="1"/>
      <c r="X606" s="1"/>
      <c r="Y606" s="1"/>
    </row>
    <row r="607" spans="1:25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31"/>
      <c r="T607" s="1"/>
      <c r="U607" s="1"/>
      <c r="V607" s="1"/>
      <c r="W607" s="1"/>
      <c r="X607" s="1"/>
      <c r="Y607" s="1"/>
    </row>
    <row r="608" spans="1:25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31"/>
      <c r="T608" s="1"/>
      <c r="U608" s="1"/>
      <c r="V608" s="1"/>
      <c r="W608" s="1"/>
      <c r="X608" s="1"/>
      <c r="Y608" s="1"/>
    </row>
    <row r="609" spans="1:25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31"/>
      <c r="T609" s="1"/>
      <c r="U609" s="1"/>
      <c r="V609" s="1"/>
      <c r="W609" s="1"/>
      <c r="X609" s="1"/>
      <c r="Y609" s="1"/>
    </row>
    <row r="610" spans="1:25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31"/>
      <c r="T610" s="1"/>
      <c r="U610" s="1"/>
      <c r="V610" s="1"/>
      <c r="W610" s="1"/>
      <c r="X610" s="1"/>
      <c r="Y610" s="1"/>
    </row>
    <row r="611" spans="1:25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31"/>
      <c r="T611" s="1"/>
      <c r="U611" s="1"/>
      <c r="V611" s="1"/>
      <c r="W611" s="1"/>
      <c r="X611" s="1"/>
      <c r="Y611" s="1"/>
    </row>
    <row r="612" spans="1:25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31"/>
      <c r="T612" s="1"/>
      <c r="U612" s="1"/>
      <c r="V612" s="1"/>
      <c r="W612" s="1"/>
      <c r="X612" s="1"/>
      <c r="Y612" s="1"/>
    </row>
    <row r="613" spans="1:25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31"/>
      <c r="T613" s="1"/>
      <c r="U613" s="1"/>
      <c r="V613" s="1"/>
      <c r="W613" s="1"/>
      <c r="X613" s="1"/>
      <c r="Y613" s="1"/>
    </row>
    <row r="614" spans="1:25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31"/>
      <c r="T614" s="1"/>
      <c r="U614" s="1"/>
      <c r="V614" s="1"/>
      <c r="W614" s="1"/>
      <c r="X614" s="1"/>
      <c r="Y614" s="1"/>
    </row>
    <row r="615" spans="1:2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31"/>
      <c r="T615" s="1"/>
      <c r="U615" s="1"/>
      <c r="V615" s="1"/>
      <c r="W615" s="1"/>
      <c r="X615" s="1"/>
      <c r="Y615" s="1"/>
    </row>
    <row r="616" spans="1:25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31"/>
      <c r="T616" s="1"/>
      <c r="U616" s="1"/>
      <c r="V616" s="1"/>
      <c r="W616" s="1"/>
      <c r="X616" s="1"/>
      <c r="Y616" s="1"/>
    </row>
    <row r="617" spans="1:25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31"/>
      <c r="T617" s="1"/>
      <c r="U617" s="1"/>
      <c r="V617" s="1"/>
      <c r="W617" s="1"/>
      <c r="X617" s="1"/>
      <c r="Y617" s="1"/>
    </row>
    <row r="618" spans="1:25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31"/>
      <c r="T618" s="1"/>
      <c r="U618" s="1"/>
      <c r="V618" s="1"/>
      <c r="W618" s="1"/>
      <c r="X618" s="1"/>
      <c r="Y618" s="1"/>
    </row>
    <row r="619" spans="1:25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31"/>
      <c r="T619" s="1"/>
      <c r="U619" s="1"/>
      <c r="V619" s="1"/>
      <c r="W619" s="1"/>
      <c r="X619" s="1"/>
      <c r="Y619" s="1"/>
    </row>
    <row r="620" spans="1:25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31"/>
      <c r="T620" s="1"/>
      <c r="U620" s="1"/>
      <c r="V620" s="1"/>
      <c r="W620" s="1"/>
      <c r="X620" s="1"/>
      <c r="Y620" s="1"/>
    </row>
    <row r="621" spans="1:25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31"/>
      <c r="T621" s="1"/>
      <c r="U621" s="1"/>
      <c r="V621" s="1"/>
      <c r="W621" s="1"/>
      <c r="X621" s="1"/>
      <c r="Y621" s="1"/>
    </row>
    <row r="622" spans="1:25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31"/>
      <c r="T622" s="1"/>
      <c r="U622" s="1"/>
      <c r="V622" s="1"/>
      <c r="W622" s="1"/>
      <c r="X622" s="1"/>
      <c r="Y622" s="1"/>
    </row>
    <row r="623" spans="1:25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31"/>
      <c r="T623" s="1"/>
      <c r="U623" s="1"/>
      <c r="V623" s="1"/>
      <c r="W623" s="1"/>
      <c r="X623" s="1"/>
      <c r="Y623" s="1"/>
    </row>
    <row r="624" spans="1:25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31"/>
      <c r="T624" s="1"/>
      <c r="U624" s="1"/>
      <c r="V624" s="1"/>
      <c r="W624" s="1"/>
      <c r="X624" s="1"/>
      <c r="Y624" s="1"/>
    </row>
    <row r="625" spans="1: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31"/>
      <c r="T625" s="1"/>
      <c r="U625" s="1"/>
      <c r="V625" s="1"/>
      <c r="W625" s="1"/>
      <c r="X625" s="1"/>
      <c r="Y625" s="1"/>
    </row>
    <row r="626" spans="1:25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31"/>
      <c r="T626" s="1"/>
      <c r="U626" s="1"/>
      <c r="V626" s="1"/>
      <c r="W626" s="1"/>
      <c r="X626" s="1"/>
      <c r="Y626" s="1"/>
    </row>
    <row r="627" spans="1:25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31"/>
      <c r="T627" s="1"/>
      <c r="U627" s="1"/>
      <c r="V627" s="1"/>
      <c r="W627" s="1"/>
      <c r="X627" s="1"/>
      <c r="Y627" s="1"/>
    </row>
    <row r="628" spans="1:25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31"/>
      <c r="T628" s="1"/>
      <c r="U628" s="1"/>
      <c r="V628" s="1"/>
      <c r="W628" s="1"/>
      <c r="X628" s="1"/>
      <c r="Y628" s="1"/>
    </row>
    <row r="629" spans="1:25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31"/>
      <c r="T629" s="1"/>
      <c r="U629" s="1"/>
      <c r="V629" s="1"/>
      <c r="W629" s="1"/>
      <c r="X629" s="1"/>
      <c r="Y629" s="1"/>
    </row>
    <row r="630" spans="1:25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31"/>
      <c r="T630" s="1"/>
      <c r="U630" s="1"/>
      <c r="V630" s="1"/>
      <c r="W630" s="1"/>
      <c r="X630" s="1"/>
      <c r="Y630" s="1"/>
    </row>
    <row r="631" spans="1:25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31"/>
      <c r="T631" s="1"/>
      <c r="U631" s="1"/>
      <c r="V631" s="1"/>
      <c r="W631" s="1"/>
      <c r="X631" s="1"/>
      <c r="Y631" s="1"/>
    </row>
    <row r="632" spans="1:25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31"/>
      <c r="T632" s="1"/>
      <c r="U632" s="1"/>
      <c r="V632" s="1"/>
      <c r="W632" s="1"/>
      <c r="X632" s="1"/>
      <c r="Y632" s="1"/>
    </row>
    <row r="633" spans="1:25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31"/>
      <c r="T633" s="1"/>
      <c r="U633" s="1"/>
      <c r="V633" s="1"/>
      <c r="W633" s="1"/>
      <c r="X633" s="1"/>
      <c r="Y633" s="1"/>
    </row>
    <row r="634" spans="1:25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31"/>
      <c r="T634" s="1"/>
      <c r="U634" s="1"/>
      <c r="V634" s="1"/>
      <c r="W634" s="1"/>
      <c r="X634" s="1"/>
      <c r="Y634" s="1"/>
    </row>
    <row r="635" spans="1:2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31"/>
      <c r="T635" s="1"/>
      <c r="U635" s="1"/>
      <c r="V635" s="1"/>
      <c r="W635" s="1"/>
      <c r="X635" s="1"/>
      <c r="Y635" s="1"/>
    </row>
    <row r="636" spans="1:25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31"/>
      <c r="T636" s="1"/>
      <c r="U636" s="1"/>
      <c r="V636" s="1"/>
      <c r="W636" s="1"/>
      <c r="X636" s="1"/>
      <c r="Y636" s="1"/>
    </row>
    <row r="637" spans="1:25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31"/>
      <c r="T637" s="1"/>
      <c r="U637" s="1"/>
      <c r="V637" s="1"/>
      <c r="W637" s="1"/>
      <c r="X637" s="1"/>
      <c r="Y637" s="1"/>
    </row>
    <row r="638" spans="1:25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31"/>
      <c r="T638" s="1"/>
      <c r="U638" s="1"/>
      <c r="V638" s="1"/>
      <c r="W638" s="1"/>
      <c r="X638" s="1"/>
      <c r="Y638" s="1"/>
    </row>
    <row r="639" spans="1:25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31"/>
      <c r="T639" s="1"/>
      <c r="U639" s="1"/>
      <c r="V639" s="1"/>
      <c r="W639" s="1"/>
      <c r="X639" s="1"/>
      <c r="Y639" s="1"/>
    </row>
    <row r="640" spans="1:25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31"/>
      <c r="T640" s="1"/>
      <c r="U640" s="1"/>
      <c r="V640" s="1"/>
      <c r="W640" s="1"/>
      <c r="X640" s="1"/>
      <c r="Y640" s="1"/>
    </row>
    <row r="641" spans="1:25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31"/>
      <c r="T641" s="1"/>
      <c r="U641" s="1"/>
      <c r="V641" s="1"/>
      <c r="W641" s="1"/>
      <c r="X641" s="1"/>
      <c r="Y641" s="1"/>
    </row>
    <row r="642" spans="1:25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31"/>
      <c r="T642" s="1"/>
      <c r="U642" s="1"/>
      <c r="V642" s="1"/>
      <c r="W642" s="1"/>
      <c r="X642" s="1"/>
      <c r="Y642" s="1"/>
    </row>
    <row r="643" spans="1:25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31"/>
      <c r="T643" s="1"/>
      <c r="U643" s="1"/>
      <c r="V643" s="1"/>
      <c r="W643" s="1"/>
      <c r="X643" s="1"/>
      <c r="Y643" s="1"/>
    </row>
    <row r="644" spans="1:25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31"/>
      <c r="T644" s="1"/>
      <c r="U644" s="1"/>
      <c r="V644" s="1"/>
      <c r="W644" s="1"/>
      <c r="X644" s="1"/>
      <c r="Y644" s="1"/>
    </row>
    <row r="645" spans="1:2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31"/>
      <c r="T645" s="1"/>
      <c r="U645" s="1"/>
      <c r="V645" s="1"/>
      <c r="W645" s="1"/>
      <c r="X645" s="1"/>
      <c r="Y645" s="1"/>
    </row>
    <row r="646" spans="1:25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31"/>
      <c r="T646" s="1"/>
      <c r="U646" s="1"/>
      <c r="V646" s="1"/>
      <c r="W646" s="1"/>
      <c r="X646" s="1"/>
      <c r="Y646" s="1"/>
    </row>
    <row r="647" spans="1:25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31"/>
      <c r="T647" s="1"/>
      <c r="U647" s="1"/>
      <c r="V647" s="1"/>
      <c r="W647" s="1"/>
      <c r="X647" s="1"/>
      <c r="Y647" s="1"/>
    </row>
    <row r="648" spans="1:25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31"/>
      <c r="T648" s="1"/>
      <c r="U648" s="1"/>
      <c r="V648" s="1"/>
      <c r="W648" s="1"/>
      <c r="X648" s="1"/>
      <c r="Y648" s="1"/>
    </row>
    <row r="649" spans="1:25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31"/>
      <c r="T649" s="1"/>
      <c r="U649" s="1"/>
      <c r="V649" s="1"/>
      <c r="W649" s="1"/>
      <c r="X649" s="1"/>
      <c r="Y649" s="1"/>
    </row>
    <row r="650" spans="1:25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31"/>
      <c r="T650" s="1"/>
      <c r="U650" s="1"/>
      <c r="V650" s="1"/>
      <c r="W650" s="1"/>
      <c r="X650" s="1"/>
      <c r="Y650" s="1"/>
    </row>
    <row r="651" spans="1:25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31"/>
      <c r="T651" s="1"/>
      <c r="U651" s="1"/>
      <c r="V651" s="1"/>
      <c r="W651" s="1"/>
      <c r="X651" s="1"/>
      <c r="Y651" s="1"/>
    </row>
    <row r="652" spans="1:25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31"/>
      <c r="T652" s="1"/>
      <c r="U652" s="1"/>
      <c r="V652" s="1"/>
      <c r="W652" s="1"/>
      <c r="X652" s="1"/>
      <c r="Y652" s="1"/>
    </row>
    <row r="653" spans="1:25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31"/>
      <c r="T653" s="1"/>
      <c r="U653" s="1"/>
      <c r="V653" s="1"/>
      <c r="W653" s="1"/>
      <c r="X653" s="1"/>
      <c r="Y653" s="1"/>
    </row>
    <row r="654" spans="1:25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31"/>
      <c r="T654" s="1"/>
      <c r="U654" s="1"/>
      <c r="V654" s="1"/>
      <c r="W654" s="1"/>
      <c r="X654" s="1"/>
      <c r="Y654" s="1"/>
    </row>
    <row r="655" spans="1:2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31"/>
      <c r="T655" s="1"/>
      <c r="U655" s="1"/>
      <c r="V655" s="1"/>
      <c r="W655" s="1"/>
      <c r="X655" s="1"/>
      <c r="Y655" s="1"/>
    </row>
    <row r="656" spans="1:25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31"/>
      <c r="T656" s="1"/>
      <c r="U656" s="1"/>
      <c r="V656" s="1"/>
      <c r="W656" s="1"/>
      <c r="X656" s="1"/>
      <c r="Y656" s="1"/>
    </row>
    <row r="657" spans="1:25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31"/>
      <c r="T657" s="1"/>
      <c r="U657" s="1"/>
      <c r="V657" s="1"/>
      <c r="W657" s="1"/>
      <c r="X657" s="1"/>
      <c r="Y657" s="1"/>
    </row>
    <row r="658" spans="1:25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31"/>
      <c r="T658" s="1"/>
      <c r="U658" s="1"/>
      <c r="V658" s="1"/>
      <c r="W658" s="1"/>
      <c r="X658" s="1"/>
      <c r="Y658" s="1"/>
    </row>
    <row r="659" spans="1:25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31"/>
      <c r="T659" s="1"/>
      <c r="U659" s="1"/>
      <c r="V659" s="1"/>
      <c r="W659" s="1"/>
      <c r="X659" s="1"/>
      <c r="Y659" s="1"/>
    </row>
    <row r="660" spans="1:25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31"/>
      <c r="T660" s="1"/>
      <c r="U660" s="1"/>
      <c r="V660" s="1"/>
      <c r="W660" s="1"/>
      <c r="X660" s="1"/>
      <c r="Y660" s="1"/>
    </row>
    <row r="661" spans="1:25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31"/>
      <c r="T661" s="1"/>
      <c r="U661" s="1"/>
      <c r="V661" s="1"/>
      <c r="W661" s="1"/>
      <c r="X661" s="1"/>
      <c r="Y661" s="1"/>
    </row>
    <row r="662" spans="1:25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31"/>
      <c r="T662" s="1"/>
      <c r="U662" s="1"/>
      <c r="V662" s="1"/>
      <c r="W662" s="1"/>
      <c r="X662" s="1"/>
      <c r="Y662" s="1"/>
    </row>
    <row r="663" spans="1:25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31"/>
      <c r="T663" s="1"/>
      <c r="U663" s="1"/>
      <c r="V663" s="1"/>
      <c r="W663" s="1"/>
      <c r="X663" s="1"/>
      <c r="Y663" s="1"/>
    </row>
    <row r="664" spans="1:25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31"/>
      <c r="T664" s="1"/>
      <c r="U664" s="1"/>
      <c r="V664" s="1"/>
      <c r="W664" s="1"/>
      <c r="X664" s="1"/>
      <c r="Y664" s="1"/>
    </row>
    <row r="665" spans="1:2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31"/>
      <c r="T665" s="1"/>
      <c r="U665" s="1"/>
      <c r="V665" s="1"/>
      <c r="W665" s="1"/>
      <c r="X665" s="1"/>
      <c r="Y665" s="1"/>
    </row>
    <row r="666" spans="1:25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31"/>
      <c r="T666" s="1"/>
      <c r="U666" s="1"/>
      <c r="V666" s="1"/>
      <c r="W666" s="1"/>
      <c r="X666" s="1"/>
      <c r="Y666" s="1"/>
    </row>
    <row r="667" spans="1:25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31"/>
      <c r="T667" s="1"/>
      <c r="U667" s="1"/>
      <c r="V667" s="1"/>
      <c r="W667" s="1"/>
      <c r="X667" s="1"/>
      <c r="Y667" s="1"/>
    </row>
    <row r="668" spans="1:25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31"/>
      <c r="T668" s="1"/>
      <c r="U668" s="1"/>
      <c r="V668" s="1"/>
      <c r="W668" s="1"/>
      <c r="X668" s="1"/>
      <c r="Y668" s="1"/>
    </row>
    <row r="669" spans="1:25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31"/>
      <c r="T669" s="1"/>
      <c r="U669" s="1"/>
      <c r="V669" s="1"/>
      <c r="W669" s="1"/>
      <c r="X669" s="1"/>
      <c r="Y669" s="1"/>
    </row>
    <row r="670" spans="1:25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31"/>
      <c r="T670" s="1"/>
      <c r="U670" s="1"/>
      <c r="V670" s="1"/>
      <c r="W670" s="1"/>
      <c r="X670" s="1"/>
      <c r="Y670" s="1"/>
    </row>
    <row r="671" spans="1:25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31"/>
      <c r="T671" s="1"/>
      <c r="U671" s="1"/>
      <c r="V671" s="1"/>
      <c r="W671" s="1"/>
      <c r="X671" s="1"/>
      <c r="Y671" s="1"/>
    </row>
    <row r="672" spans="1:25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31"/>
      <c r="T672" s="1"/>
      <c r="U672" s="1"/>
      <c r="V672" s="1"/>
      <c r="W672" s="1"/>
      <c r="X672" s="1"/>
      <c r="Y672" s="1"/>
    </row>
    <row r="673" spans="1:25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31"/>
      <c r="T673" s="1"/>
      <c r="U673" s="1"/>
      <c r="V673" s="1"/>
      <c r="W673" s="1"/>
      <c r="X673" s="1"/>
      <c r="Y673" s="1"/>
    </row>
    <row r="674" spans="1:25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31"/>
      <c r="T674" s="1"/>
      <c r="U674" s="1"/>
      <c r="V674" s="1"/>
      <c r="W674" s="1"/>
      <c r="X674" s="1"/>
      <c r="Y674" s="1"/>
    </row>
    <row r="675" spans="1:2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31"/>
      <c r="T675" s="1"/>
      <c r="U675" s="1"/>
      <c r="V675" s="1"/>
      <c r="W675" s="1"/>
      <c r="X675" s="1"/>
      <c r="Y675" s="1"/>
    </row>
    <row r="676" spans="1:25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31"/>
      <c r="T676" s="1"/>
      <c r="U676" s="1"/>
      <c r="V676" s="1"/>
      <c r="W676" s="1"/>
      <c r="X676" s="1"/>
      <c r="Y676" s="1"/>
    </row>
    <row r="677" spans="1:25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31"/>
      <c r="T677" s="1"/>
      <c r="U677" s="1"/>
      <c r="V677" s="1"/>
      <c r="W677" s="1"/>
      <c r="X677" s="1"/>
      <c r="Y677" s="1"/>
    </row>
    <row r="678" spans="1:25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31"/>
      <c r="T678" s="1"/>
      <c r="U678" s="1"/>
      <c r="V678" s="1"/>
      <c r="W678" s="1"/>
      <c r="X678" s="1"/>
      <c r="Y678" s="1"/>
    </row>
    <row r="679" spans="1:25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31"/>
      <c r="T679" s="1"/>
      <c r="U679" s="1"/>
      <c r="V679" s="1"/>
      <c r="W679" s="1"/>
      <c r="X679" s="1"/>
      <c r="Y679" s="1"/>
    </row>
    <row r="680" spans="1:25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31"/>
      <c r="T680" s="1"/>
      <c r="U680" s="1"/>
      <c r="V680" s="1"/>
      <c r="W680" s="1"/>
      <c r="X680" s="1"/>
      <c r="Y680" s="1"/>
    </row>
    <row r="681" spans="1:25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31"/>
      <c r="T681" s="1"/>
      <c r="U681" s="1"/>
      <c r="V681" s="1"/>
      <c r="W681" s="1"/>
      <c r="X681" s="1"/>
      <c r="Y681" s="1"/>
    </row>
    <row r="682" spans="1:25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31"/>
      <c r="T682" s="1"/>
      <c r="U682" s="1"/>
      <c r="V682" s="1"/>
      <c r="W682" s="1"/>
      <c r="X682" s="1"/>
      <c r="Y682" s="1"/>
    </row>
    <row r="683" spans="1:25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31"/>
      <c r="T683" s="1"/>
      <c r="U683" s="1"/>
      <c r="V683" s="1"/>
      <c r="W683" s="1"/>
      <c r="X683" s="1"/>
      <c r="Y683" s="1"/>
    </row>
    <row r="684" spans="1:25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31"/>
      <c r="T684" s="1"/>
      <c r="U684" s="1"/>
      <c r="V684" s="1"/>
      <c r="W684" s="1"/>
      <c r="X684" s="1"/>
      <c r="Y684" s="1"/>
    </row>
    <row r="685" spans="1:2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31"/>
      <c r="T685" s="1"/>
      <c r="U685" s="1"/>
      <c r="V685" s="1"/>
      <c r="W685" s="1"/>
      <c r="X685" s="1"/>
      <c r="Y685" s="1"/>
    </row>
    <row r="686" spans="1:25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31"/>
      <c r="T686" s="1"/>
      <c r="U686" s="1"/>
      <c r="V686" s="1"/>
      <c r="W686" s="1"/>
      <c r="X686" s="1"/>
      <c r="Y686" s="1"/>
    </row>
    <row r="687" spans="1:25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31"/>
      <c r="T687" s="1"/>
      <c r="U687" s="1"/>
      <c r="V687" s="1"/>
      <c r="W687" s="1"/>
      <c r="X687" s="1"/>
      <c r="Y687" s="1"/>
    </row>
    <row r="688" spans="1:25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31"/>
      <c r="T688" s="1"/>
      <c r="U688" s="1"/>
      <c r="V688" s="1"/>
      <c r="W688" s="1"/>
      <c r="X688" s="1"/>
      <c r="Y688" s="1"/>
    </row>
    <row r="689" spans="1:25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31"/>
      <c r="T689" s="1"/>
      <c r="U689" s="1"/>
      <c r="V689" s="1"/>
      <c r="W689" s="1"/>
      <c r="X689" s="1"/>
      <c r="Y689" s="1"/>
    </row>
    <row r="690" spans="1:25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31"/>
      <c r="T690" s="1"/>
      <c r="U690" s="1"/>
      <c r="V690" s="1"/>
      <c r="W690" s="1"/>
      <c r="X690" s="1"/>
      <c r="Y690" s="1"/>
    </row>
    <row r="691" spans="1:25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31"/>
      <c r="T691" s="1"/>
      <c r="U691" s="1"/>
      <c r="V691" s="1"/>
      <c r="W691" s="1"/>
      <c r="X691" s="1"/>
      <c r="Y691" s="1"/>
    </row>
    <row r="692" spans="1:25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31"/>
      <c r="T692" s="1"/>
      <c r="U692" s="1"/>
      <c r="V692" s="1"/>
      <c r="W692" s="1"/>
      <c r="X692" s="1"/>
      <c r="Y692" s="1"/>
    </row>
    <row r="693" spans="1:25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31"/>
      <c r="T693" s="1"/>
      <c r="U693" s="1"/>
      <c r="V693" s="1"/>
      <c r="W693" s="1"/>
      <c r="X693" s="1"/>
      <c r="Y693" s="1"/>
    </row>
    <row r="694" spans="1:25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31"/>
      <c r="T694" s="1"/>
      <c r="U694" s="1"/>
      <c r="V694" s="1"/>
      <c r="W694" s="1"/>
      <c r="X694" s="1"/>
      <c r="Y694" s="1"/>
    </row>
    <row r="695" spans="1:2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31"/>
      <c r="T695" s="1"/>
      <c r="U695" s="1"/>
      <c r="V695" s="1"/>
      <c r="W695" s="1"/>
      <c r="X695" s="1"/>
      <c r="Y695" s="1"/>
    </row>
    <row r="696" spans="1:25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31"/>
      <c r="T696" s="1"/>
      <c r="U696" s="1"/>
      <c r="V696" s="1"/>
      <c r="W696" s="1"/>
      <c r="X696" s="1"/>
      <c r="Y696" s="1"/>
    </row>
    <row r="697" spans="1:25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31"/>
      <c r="T697" s="1"/>
      <c r="U697" s="1"/>
      <c r="V697" s="1"/>
      <c r="W697" s="1"/>
      <c r="X697" s="1"/>
      <c r="Y697" s="1"/>
    </row>
    <row r="698" spans="1:25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31"/>
      <c r="T698" s="1"/>
      <c r="U698" s="1"/>
      <c r="V698" s="1"/>
      <c r="W698" s="1"/>
      <c r="X698" s="1"/>
      <c r="Y698" s="1"/>
    </row>
    <row r="699" spans="1:25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31"/>
      <c r="T699" s="1"/>
      <c r="U699" s="1"/>
      <c r="V699" s="1"/>
      <c r="W699" s="1"/>
      <c r="X699" s="1"/>
      <c r="Y699" s="1"/>
    </row>
    <row r="700" spans="1:25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31"/>
      <c r="T700" s="1"/>
      <c r="U700" s="1"/>
      <c r="V700" s="1"/>
      <c r="W700" s="1"/>
      <c r="X700" s="1"/>
      <c r="Y700" s="1"/>
    </row>
    <row r="701" spans="1:25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31"/>
      <c r="T701" s="1"/>
      <c r="U701" s="1"/>
      <c r="V701" s="1"/>
      <c r="W701" s="1"/>
      <c r="X701" s="1"/>
      <c r="Y701" s="1"/>
    </row>
    <row r="702" spans="1:25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31"/>
      <c r="T702" s="1"/>
      <c r="U702" s="1"/>
      <c r="V702" s="1"/>
      <c r="W702" s="1"/>
      <c r="X702" s="1"/>
      <c r="Y702" s="1"/>
    </row>
    <row r="703" spans="1:25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31"/>
      <c r="T703" s="1"/>
      <c r="U703" s="1"/>
      <c r="V703" s="1"/>
      <c r="W703" s="1"/>
      <c r="X703" s="1"/>
      <c r="Y703" s="1"/>
    </row>
    <row r="704" spans="1:25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31"/>
      <c r="T704" s="1"/>
      <c r="U704" s="1"/>
      <c r="V704" s="1"/>
      <c r="W704" s="1"/>
      <c r="X704" s="1"/>
      <c r="Y704" s="1"/>
    </row>
    <row r="705" spans="1:2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31"/>
      <c r="T705" s="1"/>
      <c r="U705" s="1"/>
      <c r="V705" s="1"/>
      <c r="W705" s="1"/>
      <c r="X705" s="1"/>
      <c r="Y705" s="1"/>
    </row>
    <row r="706" spans="1:25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31"/>
      <c r="T706" s="1"/>
      <c r="U706" s="1"/>
      <c r="V706" s="1"/>
      <c r="W706" s="1"/>
      <c r="X706" s="1"/>
      <c r="Y706" s="1"/>
    </row>
    <row r="707" spans="1:25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31"/>
      <c r="T707" s="1"/>
      <c r="U707" s="1"/>
      <c r="V707" s="1"/>
      <c r="W707" s="1"/>
      <c r="X707" s="1"/>
      <c r="Y707" s="1"/>
    </row>
    <row r="708" spans="1:25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31"/>
      <c r="T708" s="1"/>
      <c r="U708" s="1"/>
      <c r="V708" s="1"/>
      <c r="W708" s="1"/>
      <c r="X708" s="1"/>
      <c r="Y708" s="1"/>
    </row>
    <row r="709" spans="1:25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31"/>
      <c r="T709" s="1"/>
      <c r="U709" s="1"/>
      <c r="V709" s="1"/>
      <c r="W709" s="1"/>
      <c r="X709" s="1"/>
      <c r="Y709" s="1"/>
    </row>
    <row r="710" spans="1:25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31"/>
      <c r="T710" s="1"/>
      <c r="U710" s="1"/>
      <c r="V710" s="1"/>
      <c r="W710" s="1"/>
      <c r="X710" s="1"/>
      <c r="Y710" s="1"/>
    </row>
    <row r="711" spans="1:25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31"/>
      <c r="T711" s="1"/>
      <c r="U711" s="1"/>
      <c r="V711" s="1"/>
      <c r="W711" s="1"/>
      <c r="X711" s="1"/>
      <c r="Y711" s="1"/>
    </row>
    <row r="712" spans="1:25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31"/>
      <c r="T712" s="1"/>
      <c r="U712" s="1"/>
      <c r="V712" s="1"/>
      <c r="W712" s="1"/>
      <c r="X712" s="1"/>
      <c r="Y712" s="1"/>
    </row>
    <row r="713" spans="1:25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31"/>
      <c r="T713" s="1"/>
      <c r="U713" s="1"/>
      <c r="V713" s="1"/>
      <c r="W713" s="1"/>
      <c r="X713" s="1"/>
      <c r="Y713" s="1"/>
    </row>
    <row r="714" spans="1:25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31"/>
      <c r="T714" s="1"/>
      <c r="U714" s="1"/>
      <c r="V714" s="1"/>
      <c r="W714" s="1"/>
      <c r="X714" s="1"/>
      <c r="Y714" s="1"/>
    </row>
    <row r="715" spans="1:2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31"/>
      <c r="T715" s="1"/>
      <c r="U715" s="1"/>
      <c r="V715" s="1"/>
      <c r="W715" s="1"/>
      <c r="X715" s="1"/>
      <c r="Y715" s="1"/>
    </row>
    <row r="716" spans="1:25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31"/>
      <c r="T716" s="1"/>
      <c r="U716" s="1"/>
      <c r="V716" s="1"/>
      <c r="W716" s="1"/>
      <c r="X716" s="1"/>
      <c r="Y716" s="1"/>
    </row>
    <row r="717" spans="1:25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31"/>
      <c r="T717" s="1"/>
      <c r="U717" s="1"/>
      <c r="V717" s="1"/>
      <c r="W717" s="1"/>
      <c r="X717" s="1"/>
      <c r="Y717" s="1"/>
    </row>
    <row r="718" spans="1:25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31"/>
      <c r="T718" s="1"/>
      <c r="U718" s="1"/>
      <c r="V718" s="1"/>
      <c r="W718" s="1"/>
      <c r="X718" s="1"/>
      <c r="Y718" s="1"/>
    </row>
    <row r="719" spans="1:25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31"/>
      <c r="T719" s="1"/>
      <c r="U719" s="1"/>
      <c r="V719" s="1"/>
      <c r="W719" s="1"/>
      <c r="X719" s="1"/>
      <c r="Y719" s="1"/>
    </row>
    <row r="720" spans="1:25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31"/>
      <c r="T720" s="1"/>
      <c r="U720" s="1"/>
      <c r="V720" s="1"/>
      <c r="W720" s="1"/>
      <c r="X720" s="1"/>
      <c r="Y720" s="1"/>
    </row>
    <row r="721" spans="1:25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31"/>
      <c r="T721" s="1"/>
      <c r="U721" s="1"/>
      <c r="V721" s="1"/>
      <c r="W721" s="1"/>
      <c r="X721" s="1"/>
      <c r="Y721" s="1"/>
    </row>
    <row r="722" spans="1:25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31"/>
      <c r="T722" s="1"/>
      <c r="U722" s="1"/>
      <c r="V722" s="1"/>
      <c r="W722" s="1"/>
      <c r="X722" s="1"/>
      <c r="Y722" s="1"/>
    </row>
    <row r="723" spans="1:25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31"/>
      <c r="T723" s="1"/>
      <c r="U723" s="1"/>
      <c r="V723" s="1"/>
      <c r="W723" s="1"/>
      <c r="X723" s="1"/>
      <c r="Y723" s="1"/>
    </row>
    <row r="724" spans="1:25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31"/>
      <c r="T724" s="1"/>
      <c r="U724" s="1"/>
      <c r="V724" s="1"/>
      <c r="W724" s="1"/>
      <c r="X724" s="1"/>
      <c r="Y724" s="1"/>
    </row>
    <row r="725" spans="1: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31"/>
      <c r="T725" s="1"/>
      <c r="U725" s="1"/>
      <c r="V725" s="1"/>
      <c r="W725" s="1"/>
      <c r="X725" s="1"/>
      <c r="Y725" s="1"/>
    </row>
    <row r="726" spans="1:25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31"/>
      <c r="T726" s="1"/>
      <c r="U726" s="1"/>
      <c r="V726" s="1"/>
      <c r="W726" s="1"/>
      <c r="X726" s="1"/>
      <c r="Y726" s="1"/>
    </row>
    <row r="727" spans="1:25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31"/>
      <c r="T727" s="1"/>
      <c r="U727" s="1"/>
      <c r="V727" s="1"/>
      <c r="W727" s="1"/>
      <c r="X727" s="1"/>
      <c r="Y727" s="1"/>
    </row>
    <row r="728" spans="1:25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31"/>
      <c r="T728" s="1"/>
      <c r="U728" s="1"/>
      <c r="V728" s="1"/>
      <c r="W728" s="1"/>
      <c r="X728" s="1"/>
      <c r="Y728" s="1"/>
    </row>
    <row r="729" spans="1:25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31"/>
      <c r="T729" s="1"/>
      <c r="U729" s="1"/>
      <c r="V729" s="1"/>
      <c r="W729" s="1"/>
      <c r="X729" s="1"/>
      <c r="Y729" s="1"/>
    </row>
    <row r="730" spans="1:25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31"/>
      <c r="T730" s="1"/>
      <c r="U730" s="1"/>
      <c r="V730" s="1"/>
      <c r="W730" s="1"/>
      <c r="X730" s="1"/>
      <c r="Y730" s="1"/>
    </row>
    <row r="731" spans="1:25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31"/>
      <c r="T731" s="1"/>
      <c r="U731" s="1"/>
      <c r="V731" s="1"/>
      <c r="W731" s="1"/>
      <c r="X731" s="1"/>
      <c r="Y731" s="1"/>
    </row>
    <row r="732" spans="1:25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31"/>
      <c r="T732" s="1"/>
      <c r="U732" s="1"/>
      <c r="V732" s="1"/>
      <c r="W732" s="1"/>
      <c r="X732" s="1"/>
      <c r="Y732" s="1"/>
    </row>
    <row r="733" spans="1:25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31"/>
      <c r="T733" s="1"/>
      <c r="U733" s="1"/>
      <c r="V733" s="1"/>
      <c r="W733" s="1"/>
      <c r="X733" s="1"/>
      <c r="Y733" s="1"/>
    </row>
    <row r="734" spans="1:25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31"/>
      <c r="T734" s="1"/>
      <c r="U734" s="1"/>
      <c r="V734" s="1"/>
      <c r="W734" s="1"/>
      <c r="X734" s="1"/>
      <c r="Y734" s="1"/>
    </row>
    <row r="735" spans="1:2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31"/>
      <c r="T735" s="1"/>
      <c r="U735" s="1"/>
      <c r="V735" s="1"/>
      <c r="W735" s="1"/>
      <c r="X735" s="1"/>
      <c r="Y735" s="1"/>
    </row>
    <row r="736" spans="1:25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31"/>
      <c r="T736" s="1"/>
      <c r="U736" s="1"/>
      <c r="V736" s="1"/>
      <c r="W736" s="1"/>
      <c r="X736" s="1"/>
      <c r="Y736" s="1"/>
    </row>
    <row r="737" spans="1:25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31"/>
      <c r="T737" s="1"/>
      <c r="U737" s="1"/>
      <c r="V737" s="1"/>
      <c r="W737" s="1"/>
      <c r="X737" s="1"/>
      <c r="Y737" s="1"/>
    </row>
    <row r="738" spans="1:25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31"/>
      <c r="T738" s="1"/>
      <c r="U738" s="1"/>
      <c r="V738" s="1"/>
      <c r="W738" s="1"/>
      <c r="X738" s="1"/>
      <c r="Y738" s="1"/>
    </row>
    <row r="739" spans="1:25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31"/>
      <c r="T739" s="1"/>
      <c r="U739" s="1"/>
      <c r="V739" s="1"/>
      <c r="W739" s="1"/>
      <c r="X739" s="1"/>
      <c r="Y739" s="1"/>
    </row>
    <row r="740" spans="1:25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31"/>
      <c r="T740" s="1"/>
      <c r="U740" s="1"/>
      <c r="V740" s="1"/>
      <c r="W740" s="1"/>
      <c r="X740" s="1"/>
      <c r="Y740" s="1"/>
    </row>
    <row r="741" spans="1:25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31"/>
      <c r="T741" s="1"/>
      <c r="U741" s="1"/>
      <c r="V741" s="1"/>
      <c r="W741" s="1"/>
      <c r="X741" s="1"/>
      <c r="Y741" s="1"/>
    </row>
    <row r="742" spans="1:25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31"/>
      <c r="T742" s="1"/>
      <c r="U742" s="1"/>
      <c r="V742" s="1"/>
      <c r="W742" s="1"/>
      <c r="X742" s="1"/>
      <c r="Y742" s="1"/>
    </row>
    <row r="743" spans="1:25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31"/>
      <c r="T743" s="1"/>
      <c r="U743" s="1"/>
      <c r="V743" s="1"/>
      <c r="W743" s="1"/>
      <c r="X743" s="1"/>
      <c r="Y743" s="1"/>
    </row>
    <row r="744" spans="1:25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31"/>
      <c r="T744" s="1"/>
      <c r="U744" s="1"/>
      <c r="V744" s="1"/>
      <c r="W744" s="1"/>
      <c r="X744" s="1"/>
      <c r="Y744" s="1"/>
    </row>
    <row r="745" spans="1:2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31"/>
      <c r="T745" s="1"/>
      <c r="U745" s="1"/>
      <c r="V745" s="1"/>
      <c r="W745" s="1"/>
      <c r="X745" s="1"/>
      <c r="Y745" s="1"/>
    </row>
    <row r="746" spans="1:25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31"/>
      <c r="T746" s="1"/>
      <c r="U746" s="1"/>
      <c r="V746" s="1"/>
      <c r="W746" s="1"/>
      <c r="X746" s="1"/>
      <c r="Y746" s="1"/>
    </row>
    <row r="747" spans="1:25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31"/>
      <c r="T747" s="1"/>
      <c r="U747" s="1"/>
      <c r="V747" s="1"/>
      <c r="W747" s="1"/>
      <c r="X747" s="1"/>
      <c r="Y747" s="1"/>
    </row>
    <row r="748" spans="1:25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31"/>
      <c r="T748" s="1"/>
      <c r="U748" s="1"/>
      <c r="V748" s="1"/>
      <c r="W748" s="1"/>
      <c r="X748" s="1"/>
      <c r="Y748" s="1"/>
    </row>
    <row r="749" spans="1:25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31"/>
      <c r="T749" s="1"/>
      <c r="U749" s="1"/>
      <c r="V749" s="1"/>
      <c r="W749" s="1"/>
      <c r="X749" s="1"/>
      <c r="Y749" s="1"/>
    </row>
    <row r="750" spans="1:25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31"/>
      <c r="T750" s="1"/>
      <c r="U750" s="1"/>
      <c r="V750" s="1"/>
      <c r="W750" s="1"/>
      <c r="X750" s="1"/>
      <c r="Y750" s="1"/>
    </row>
    <row r="751" spans="1:25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31"/>
      <c r="T751" s="1"/>
      <c r="U751" s="1"/>
      <c r="V751" s="1"/>
      <c r="W751" s="1"/>
      <c r="X751" s="1"/>
      <c r="Y751" s="1"/>
    </row>
    <row r="752" spans="1:25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31"/>
      <c r="T752" s="1"/>
      <c r="U752" s="1"/>
      <c r="V752" s="1"/>
      <c r="W752" s="1"/>
      <c r="X752" s="1"/>
      <c r="Y752" s="1"/>
    </row>
    <row r="753" spans="1:25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31"/>
      <c r="T753" s="1"/>
      <c r="U753" s="1"/>
      <c r="V753" s="1"/>
      <c r="W753" s="1"/>
      <c r="X753" s="1"/>
      <c r="Y753" s="1"/>
    </row>
    <row r="754" spans="1:25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31"/>
      <c r="T754" s="1"/>
      <c r="U754" s="1"/>
      <c r="V754" s="1"/>
      <c r="W754" s="1"/>
      <c r="X754" s="1"/>
      <c r="Y754" s="1"/>
    </row>
    <row r="755" spans="1:2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31"/>
      <c r="T755" s="1"/>
      <c r="U755" s="1"/>
      <c r="V755" s="1"/>
      <c r="W755" s="1"/>
      <c r="X755" s="1"/>
      <c r="Y755" s="1"/>
    </row>
    <row r="756" spans="1:25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31"/>
      <c r="T756" s="1"/>
      <c r="U756" s="1"/>
      <c r="V756" s="1"/>
      <c r="W756" s="1"/>
      <c r="X756" s="1"/>
      <c r="Y756" s="1"/>
    </row>
    <row r="757" spans="1:25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31"/>
      <c r="T757" s="1"/>
      <c r="U757" s="1"/>
      <c r="V757" s="1"/>
      <c r="W757" s="1"/>
      <c r="X757" s="1"/>
      <c r="Y757" s="1"/>
    </row>
    <row r="758" spans="1:25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31"/>
      <c r="T758" s="1"/>
      <c r="U758" s="1"/>
      <c r="V758" s="1"/>
      <c r="W758" s="1"/>
      <c r="X758" s="1"/>
      <c r="Y758" s="1"/>
    </row>
    <row r="759" spans="1:25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31"/>
      <c r="T759" s="1"/>
      <c r="U759" s="1"/>
      <c r="V759" s="1"/>
      <c r="W759" s="1"/>
      <c r="X759" s="1"/>
      <c r="Y759" s="1"/>
    </row>
    <row r="760" spans="1:25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31"/>
      <c r="T760" s="1"/>
      <c r="U760" s="1"/>
      <c r="V760" s="1"/>
      <c r="W760" s="1"/>
      <c r="X760" s="1"/>
      <c r="Y760" s="1"/>
    </row>
    <row r="761" spans="1:25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31"/>
      <c r="T761" s="1"/>
      <c r="U761" s="1"/>
      <c r="V761" s="1"/>
      <c r="W761" s="1"/>
      <c r="X761" s="1"/>
      <c r="Y761" s="1"/>
    </row>
    <row r="762" spans="1:25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31"/>
      <c r="T762" s="1"/>
      <c r="U762" s="1"/>
      <c r="V762" s="1"/>
      <c r="W762" s="1"/>
      <c r="X762" s="1"/>
      <c r="Y762" s="1"/>
    </row>
    <row r="763" spans="1:25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31"/>
      <c r="T763" s="1"/>
      <c r="U763" s="1"/>
      <c r="V763" s="1"/>
      <c r="W763" s="1"/>
      <c r="X763" s="1"/>
      <c r="Y763" s="1"/>
    </row>
    <row r="764" spans="1:25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31"/>
      <c r="T764" s="1"/>
      <c r="U764" s="1"/>
      <c r="V764" s="1"/>
      <c r="W764" s="1"/>
      <c r="X764" s="1"/>
      <c r="Y764" s="1"/>
    </row>
    <row r="765" spans="1:2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31"/>
      <c r="T765" s="1"/>
      <c r="U765" s="1"/>
      <c r="V765" s="1"/>
      <c r="W765" s="1"/>
      <c r="X765" s="1"/>
      <c r="Y765" s="1"/>
    </row>
    <row r="766" spans="1:25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31"/>
      <c r="T766" s="1"/>
      <c r="U766" s="1"/>
      <c r="V766" s="1"/>
      <c r="W766" s="1"/>
      <c r="X766" s="1"/>
      <c r="Y766" s="1"/>
    </row>
    <row r="767" spans="1:25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31"/>
      <c r="T767" s="1"/>
      <c r="U767" s="1"/>
      <c r="V767" s="1"/>
      <c r="W767" s="1"/>
      <c r="X767" s="1"/>
      <c r="Y767" s="1"/>
    </row>
    <row r="768" spans="1:25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31"/>
      <c r="T768" s="1"/>
      <c r="U768" s="1"/>
      <c r="V768" s="1"/>
      <c r="W768" s="1"/>
      <c r="X768" s="1"/>
      <c r="Y768" s="1"/>
    </row>
    <row r="769" spans="1:25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31"/>
      <c r="T769" s="1"/>
      <c r="U769" s="1"/>
      <c r="V769" s="1"/>
      <c r="W769" s="1"/>
      <c r="X769" s="1"/>
      <c r="Y769" s="1"/>
    </row>
    <row r="770" spans="1:25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31"/>
      <c r="T770" s="1"/>
      <c r="U770" s="1"/>
      <c r="V770" s="1"/>
      <c r="W770" s="1"/>
      <c r="X770" s="1"/>
      <c r="Y770" s="1"/>
    </row>
    <row r="771" spans="1:25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31"/>
      <c r="T771" s="1"/>
      <c r="U771" s="1"/>
      <c r="V771" s="1"/>
      <c r="W771" s="1"/>
      <c r="X771" s="1"/>
      <c r="Y771" s="1"/>
    </row>
    <row r="772" spans="1:25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31"/>
      <c r="T772" s="1"/>
      <c r="U772" s="1"/>
      <c r="V772" s="1"/>
      <c r="W772" s="1"/>
      <c r="X772" s="1"/>
      <c r="Y772" s="1"/>
    </row>
    <row r="773" spans="1:25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31"/>
      <c r="T773" s="1"/>
      <c r="U773" s="1"/>
      <c r="V773" s="1"/>
      <c r="W773" s="1"/>
      <c r="X773" s="1"/>
      <c r="Y773" s="1"/>
    </row>
    <row r="774" spans="1:25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31"/>
      <c r="T774" s="1"/>
      <c r="U774" s="1"/>
      <c r="V774" s="1"/>
      <c r="W774" s="1"/>
      <c r="X774" s="1"/>
      <c r="Y774" s="1"/>
    </row>
    <row r="775" spans="1:2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31"/>
      <c r="T775" s="1"/>
      <c r="U775" s="1"/>
      <c r="V775" s="1"/>
      <c r="W775" s="1"/>
      <c r="X775" s="1"/>
      <c r="Y775" s="1"/>
    </row>
    <row r="776" spans="1:25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31"/>
      <c r="T776" s="1"/>
      <c r="U776" s="1"/>
      <c r="V776" s="1"/>
      <c r="W776" s="1"/>
      <c r="X776" s="1"/>
      <c r="Y776" s="1"/>
    </row>
    <row r="777" spans="1:25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31"/>
      <c r="T777" s="1"/>
      <c r="U777" s="1"/>
      <c r="V777" s="1"/>
      <c r="W777" s="1"/>
      <c r="X777" s="1"/>
      <c r="Y777" s="1"/>
    </row>
    <row r="778" spans="1:25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31"/>
      <c r="T778" s="1"/>
      <c r="U778" s="1"/>
      <c r="V778" s="1"/>
      <c r="W778" s="1"/>
      <c r="X778" s="1"/>
      <c r="Y778" s="1"/>
    </row>
    <row r="779" spans="1:25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31"/>
      <c r="T779" s="1"/>
      <c r="U779" s="1"/>
      <c r="V779" s="1"/>
      <c r="W779" s="1"/>
      <c r="X779" s="1"/>
      <c r="Y779" s="1"/>
    </row>
    <row r="780" spans="1:25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31"/>
      <c r="T780" s="1"/>
      <c r="U780" s="1"/>
      <c r="V780" s="1"/>
      <c r="W780" s="1"/>
      <c r="X780" s="1"/>
      <c r="Y780" s="1"/>
    </row>
    <row r="781" spans="1:25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31"/>
      <c r="T781" s="1"/>
      <c r="U781" s="1"/>
      <c r="V781" s="1"/>
      <c r="W781" s="1"/>
      <c r="X781" s="1"/>
      <c r="Y781" s="1"/>
    </row>
    <row r="782" spans="1:25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31"/>
      <c r="T782" s="1"/>
      <c r="U782" s="1"/>
      <c r="V782" s="1"/>
      <c r="W782" s="1"/>
      <c r="X782" s="1"/>
      <c r="Y782" s="1"/>
    </row>
    <row r="783" spans="1:25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31"/>
      <c r="T783" s="1"/>
      <c r="U783" s="1"/>
      <c r="V783" s="1"/>
      <c r="W783" s="1"/>
      <c r="X783" s="1"/>
      <c r="Y783" s="1"/>
    </row>
    <row r="784" spans="1:25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31"/>
      <c r="T784" s="1"/>
      <c r="U784" s="1"/>
      <c r="V784" s="1"/>
      <c r="W784" s="1"/>
      <c r="X784" s="1"/>
      <c r="Y784" s="1"/>
    </row>
    <row r="785" spans="1:2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31"/>
      <c r="T785" s="1"/>
      <c r="U785" s="1"/>
      <c r="V785" s="1"/>
      <c r="W785" s="1"/>
      <c r="X785" s="1"/>
      <c r="Y785" s="1"/>
    </row>
    <row r="786" spans="1:25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31"/>
      <c r="T786" s="1"/>
      <c r="U786" s="1"/>
      <c r="V786" s="1"/>
      <c r="W786" s="1"/>
      <c r="X786" s="1"/>
      <c r="Y786" s="1"/>
    </row>
    <row r="787" spans="1:25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31"/>
      <c r="T787" s="1"/>
      <c r="U787" s="1"/>
      <c r="V787" s="1"/>
      <c r="W787" s="1"/>
      <c r="X787" s="1"/>
      <c r="Y787" s="1"/>
    </row>
    <row r="788" spans="1:25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31"/>
      <c r="T788" s="1"/>
      <c r="U788" s="1"/>
      <c r="V788" s="1"/>
      <c r="W788" s="1"/>
      <c r="X788" s="1"/>
      <c r="Y788" s="1"/>
    </row>
    <row r="789" spans="1:25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31"/>
      <c r="T789" s="1"/>
      <c r="U789" s="1"/>
      <c r="V789" s="1"/>
      <c r="W789" s="1"/>
      <c r="X789" s="1"/>
      <c r="Y789" s="1"/>
    </row>
    <row r="790" spans="1:25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31"/>
      <c r="T790" s="1"/>
      <c r="U790" s="1"/>
      <c r="V790" s="1"/>
      <c r="W790" s="1"/>
      <c r="X790" s="1"/>
      <c r="Y790" s="1"/>
    </row>
    <row r="791" spans="1:25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31"/>
      <c r="T791" s="1"/>
      <c r="U791" s="1"/>
      <c r="V791" s="1"/>
      <c r="W791" s="1"/>
      <c r="X791" s="1"/>
      <c r="Y791" s="1"/>
    </row>
    <row r="792" spans="1:25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31"/>
      <c r="T792" s="1"/>
      <c r="U792" s="1"/>
      <c r="V792" s="1"/>
      <c r="W792" s="1"/>
      <c r="X792" s="1"/>
      <c r="Y792" s="1"/>
    </row>
    <row r="793" spans="1:25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31"/>
      <c r="T793" s="1"/>
      <c r="U793" s="1"/>
      <c r="V793" s="1"/>
      <c r="W793" s="1"/>
      <c r="X793" s="1"/>
      <c r="Y793" s="1"/>
    </row>
    <row r="794" spans="1:25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31"/>
      <c r="T794" s="1"/>
      <c r="U794" s="1"/>
      <c r="V794" s="1"/>
      <c r="W794" s="1"/>
      <c r="X794" s="1"/>
      <c r="Y794" s="1"/>
    </row>
    <row r="795" spans="1:2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31"/>
      <c r="T795" s="1"/>
      <c r="U795" s="1"/>
      <c r="V795" s="1"/>
      <c r="W795" s="1"/>
      <c r="X795" s="1"/>
      <c r="Y795" s="1"/>
    </row>
    <row r="796" spans="1:25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31"/>
      <c r="T796" s="1"/>
      <c r="U796" s="1"/>
      <c r="V796" s="1"/>
      <c r="W796" s="1"/>
      <c r="X796" s="1"/>
      <c r="Y796" s="1"/>
    </row>
    <row r="797" spans="1:25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31"/>
      <c r="T797" s="1"/>
      <c r="U797" s="1"/>
      <c r="V797" s="1"/>
      <c r="W797" s="1"/>
      <c r="X797" s="1"/>
      <c r="Y797" s="1"/>
    </row>
    <row r="798" spans="1:25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31"/>
      <c r="T798" s="1"/>
      <c r="U798" s="1"/>
      <c r="V798" s="1"/>
      <c r="W798" s="1"/>
      <c r="X798" s="1"/>
      <c r="Y798" s="1"/>
    </row>
    <row r="799" spans="1:25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31"/>
      <c r="T799" s="1"/>
      <c r="U799" s="1"/>
      <c r="V799" s="1"/>
      <c r="W799" s="1"/>
      <c r="X799" s="1"/>
      <c r="Y799" s="1"/>
    </row>
    <row r="800" spans="1:25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31"/>
      <c r="T800" s="1"/>
      <c r="U800" s="1"/>
      <c r="V800" s="1"/>
      <c r="W800" s="1"/>
      <c r="X800" s="1"/>
      <c r="Y800" s="1"/>
    </row>
    <row r="801" spans="1:25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31"/>
      <c r="T801" s="1"/>
      <c r="U801" s="1"/>
      <c r="V801" s="1"/>
      <c r="W801" s="1"/>
      <c r="X801" s="1"/>
      <c r="Y801" s="1"/>
    </row>
    <row r="802" spans="1:25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31"/>
      <c r="T802" s="1"/>
      <c r="U802" s="1"/>
      <c r="V802" s="1"/>
      <c r="W802" s="1"/>
      <c r="X802" s="1"/>
      <c r="Y802" s="1"/>
    </row>
    <row r="803" spans="1:25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31"/>
      <c r="T803" s="1"/>
      <c r="U803" s="1"/>
      <c r="V803" s="1"/>
      <c r="W803" s="1"/>
      <c r="X803" s="1"/>
      <c r="Y803" s="1"/>
    </row>
    <row r="804" spans="1:25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31"/>
      <c r="T804" s="1"/>
      <c r="U804" s="1"/>
      <c r="V804" s="1"/>
      <c r="W804" s="1"/>
      <c r="X804" s="1"/>
      <c r="Y804" s="1"/>
    </row>
    <row r="805" spans="1:2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31"/>
      <c r="T805" s="1"/>
      <c r="U805" s="1"/>
      <c r="V805" s="1"/>
      <c r="W805" s="1"/>
      <c r="X805" s="1"/>
      <c r="Y805" s="1"/>
    </row>
    <row r="806" spans="1:25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31"/>
      <c r="T806" s="1"/>
      <c r="U806" s="1"/>
      <c r="V806" s="1"/>
      <c r="W806" s="1"/>
      <c r="X806" s="1"/>
      <c r="Y806" s="1"/>
    </row>
    <row r="807" spans="1:25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31"/>
      <c r="T807" s="1"/>
      <c r="U807" s="1"/>
      <c r="V807" s="1"/>
      <c r="W807" s="1"/>
      <c r="X807" s="1"/>
      <c r="Y807" s="1"/>
    </row>
    <row r="808" spans="1:25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31"/>
      <c r="T808" s="1"/>
      <c r="U808" s="1"/>
      <c r="V808" s="1"/>
      <c r="W808" s="1"/>
      <c r="X808" s="1"/>
      <c r="Y808" s="1"/>
    </row>
    <row r="809" spans="1:25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31"/>
      <c r="T809" s="1"/>
      <c r="U809" s="1"/>
      <c r="V809" s="1"/>
      <c r="W809" s="1"/>
      <c r="X809" s="1"/>
      <c r="Y809" s="1"/>
    </row>
    <row r="810" spans="1:25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31"/>
      <c r="T810" s="1"/>
      <c r="U810" s="1"/>
      <c r="V810" s="1"/>
      <c r="W810" s="1"/>
      <c r="X810" s="1"/>
      <c r="Y810" s="1"/>
    </row>
    <row r="811" spans="1:25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31"/>
      <c r="T811" s="1"/>
      <c r="U811" s="1"/>
      <c r="V811" s="1"/>
      <c r="W811" s="1"/>
      <c r="X811" s="1"/>
      <c r="Y811" s="1"/>
    </row>
    <row r="812" spans="1:25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31"/>
      <c r="T812" s="1"/>
      <c r="U812" s="1"/>
      <c r="V812" s="1"/>
      <c r="W812" s="1"/>
      <c r="X812" s="1"/>
      <c r="Y812" s="1"/>
    </row>
    <row r="813" spans="1:25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31"/>
      <c r="T813" s="1"/>
      <c r="U813" s="1"/>
      <c r="V813" s="1"/>
      <c r="W813" s="1"/>
      <c r="X813" s="1"/>
      <c r="Y813" s="1"/>
    </row>
    <row r="814" spans="1:25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31"/>
      <c r="T814" s="1"/>
      <c r="U814" s="1"/>
      <c r="V814" s="1"/>
      <c r="W814" s="1"/>
      <c r="X814" s="1"/>
      <c r="Y814" s="1"/>
    </row>
    <row r="815" spans="1:2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31"/>
      <c r="T815" s="1"/>
      <c r="U815" s="1"/>
      <c r="V815" s="1"/>
      <c r="W815" s="1"/>
      <c r="X815" s="1"/>
      <c r="Y815" s="1"/>
    </row>
    <row r="816" spans="1:25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31"/>
      <c r="T816" s="1"/>
      <c r="U816" s="1"/>
      <c r="V816" s="1"/>
      <c r="W816" s="1"/>
      <c r="X816" s="1"/>
      <c r="Y816" s="1"/>
    </row>
    <row r="817" spans="1:25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31"/>
      <c r="T817" s="1"/>
      <c r="U817" s="1"/>
      <c r="V817" s="1"/>
      <c r="W817" s="1"/>
      <c r="X817" s="1"/>
      <c r="Y817" s="1"/>
    </row>
    <row r="818" spans="1:25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31"/>
      <c r="T818" s="1"/>
      <c r="U818" s="1"/>
      <c r="V818" s="1"/>
      <c r="W818" s="1"/>
      <c r="X818" s="1"/>
      <c r="Y818" s="1"/>
    </row>
    <row r="819" spans="1:25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31"/>
      <c r="T819" s="1"/>
      <c r="U819" s="1"/>
      <c r="V819" s="1"/>
      <c r="W819" s="1"/>
      <c r="X819" s="1"/>
      <c r="Y819" s="1"/>
    </row>
    <row r="820" spans="1:25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31"/>
      <c r="T820" s="1"/>
      <c r="U820" s="1"/>
      <c r="V820" s="1"/>
      <c r="W820" s="1"/>
      <c r="X820" s="1"/>
      <c r="Y820" s="1"/>
    </row>
    <row r="821" spans="1:25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31"/>
      <c r="T821" s="1"/>
      <c r="U821" s="1"/>
      <c r="V821" s="1"/>
      <c r="W821" s="1"/>
      <c r="X821" s="1"/>
      <c r="Y821" s="1"/>
    </row>
    <row r="822" spans="1:25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31"/>
      <c r="T822" s="1"/>
      <c r="U822" s="1"/>
      <c r="V822" s="1"/>
      <c r="W822" s="1"/>
      <c r="X822" s="1"/>
      <c r="Y822" s="1"/>
    </row>
    <row r="823" spans="1:25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31"/>
      <c r="T823" s="1"/>
      <c r="U823" s="1"/>
      <c r="V823" s="1"/>
      <c r="W823" s="1"/>
      <c r="X823" s="1"/>
      <c r="Y823" s="1"/>
    </row>
    <row r="824" spans="1:25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31"/>
      <c r="T824" s="1"/>
      <c r="U824" s="1"/>
      <c r="V824" s="1"/>
      <c r="W824" s="1"/>
      <c r="X824" s="1"/>
      <c r="Y824" s="1"/>
    </row>
    <row r="825" spans="1: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31"/>
      <c r="T825" s="1"/>
      <c r="U825" s="1"/>
      <c r="V825" s="1"/>
      <c r="W825" s="1"/>
      <c r="X825" s="1"/>
      <c r="Y825" s="1"/>
    </row>
    <row r="826" spans="1:25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31"/>
      <c r="T826" s="1"/>
      <c r="U826" s="1"/>
      <c r="V826" s="1"/>
      <c r="W826" s="1"/>
      <c r="X826" s="1"/>
      <c r="Y826" s="1"/>
    </row>
    <row r="827" spans="1:25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31"/>
      <c r="T827" s="1"/>
      <c r="U827" s="1"/>
      <c r="V827" s="1"/>
      <c r="W827" s="1"/>
      <c r="X827" s="1"/>
      <c r="Y827" s="1"/>
    </row>
    <row r="828" spans="1:25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31"/>
      <c r="T828" s="1"/>
      <c r="U828" s="1"/>
      <c r="V828" s="1"/>
      <c r="W828" s="1"/>
      <c r="X828" s="1"/>
      <c r="Y828" s="1"/>
    </row>
    <row r="829" spans="1:25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31"/>
      <c r="T829" s="1"/>
      <c r="U829" s="1"/>
      <c r="V829" s="1"/>
      <c r="W829" s="1"/>
      <c r="X829" s="1"/>
      <c r="Y829" s="1"/>
    </row>
    <row r="830" spans="1:25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31"/>
      <c r="T830" s="1"/>
      <c r="U830" s="1"/>
      <c r="V830" s="1"/>
      <c r="W830" s="1"/>
      <c r="X830" s="1"/>
      <c r="Y830" s="1"/>
    </row>
    <row r="831" spans="1:25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31"/>
      <c r="T831" s="1"/>
      <c r="U831" s="1"/>
      <c r="V831" s="1"/>
      <c r="W831" s="1"/>
      <c r="X831" s="1"/>
      <c r="Y831" s="1"/>
    </row>
    <row r="832" spans="1:25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31"/>
      <c r="T832" s="1"/>
      <c r="U832" s="1"/>
      <c r="V832" s="1"/>
      <c r="W832" s="1"/>
      <c r="X832" s="1"/>
      <c r="Y832" s="1"/>
    </row>
    <row r="833" spans="1:25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31"/>
      <c r="T833" s="1"/>
      <c r="U833" s="1"/>
      <c r="V833" s="1"/>
      <c r="W833" s="1"/>
      <c r="X833" s="1"/>
      <c r="Y833" s="1"/>
    </row>
    <row r="834" spans="1:25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31"/>
      <c r="T834" s="1"/>
      <c r="U834" s="1"/>
      <c r="V834" s="1"/>
      <c r="W834" s="1"/>
      <c r="X834" s="1"/>
      <c r="Y834" s="1"/>
    </row>
    <row r="835" spans="1:2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31"/>
      <c r="T835" s="1"/>
      <c r="U835" s="1"/>
      <c r="V835" s="1"/>
      <c r="W835" s="1"/>
      <c r="X835" s="1"/>
      <c r="Y835" s="1"/>
    </row>
    <row r="836" spans="1:25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31"/>
      <c r="T836" s="1"/>
      <c r="U836" s="1"/>
      <c r="V836" s="1"/>
      <c r="W836" s="1"/>
      <c r="X836" s="1"/>
      <c r="Y836" s="1"/>
    </row>
    <row r="837" spans="1:25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31"/>
      <c r="T837" s="1"/>
      <c r="U837" s="1"/>
      <c r="V837" s="1"/>
      <c r="W837" s="1"/>
      <c r="X837" s="1"/>
      <c r="Y837" s="1"/>
    </row>
    <row r="838" spans="1:25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31"/>
      <c r="T838" s="1"/>
      <c r="U838" s="1"/>
      <c r="V838" s="1"/>
      <c r="W838" s="1"/>
      <c r="X838" s="1"/>
      <c r="Y838" s="1"/>
    </row>
    <row r="839" spans="1:25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31"/>
      <c r="T839" s="1"/>
      <c r="U839" s="1"/>
      <c r="V839" s="1"/>
      <c r="W839" s="1"/>
      <c r="X839" s="1"/>
      <c r="Y839" s="1"/>
    </row>
    <row r="840" spans="1:25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31"/>
      <c r="T840" s="1"/>
      <c r="U840" s="1"/>
      <c r="V840" s="1"/>
      <c r="W840" s="1"/>
      <c r="X840" s="1"/>
      <c r="Y840" s="1"/>
    </row>
    <row r="841" spans="1:25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31"/>
      <c r="T841" s="1"/>
      <c r="U841" s="1"/>
      <c r="V841" s="1"/>
      <c r="W841" s="1"/>
      <c r="X841" s="1"/>
      <c r="Y841" s="1"/>
    </row>
    <row r="842" spans="1:25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31"/>
      <c r="T842" s="1"/>
      <c r="U842" s="1"/>
      <c r="V842" s="1"/>
      <c r="W842" s="1"/>
      <c r="X842" s="1"/>
      <c r="Y842" s="1"/>
    </row>
    <row r="843" spans="1:25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31"/>
      <c r="T843" s="1"/>
      <c r="U843" s="1"/>
      <c r="V843" s="1"/>
      <c r="W843" s="1"/>
      <c r="X843" s="1"/>
      <c r="Y843" s="1"/>
    </row>
    <row r="844" spans="1:25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31"/>
      <c r="T844" s="1"/>
      <c r="U844" s="1"/>
      <c r="V844" s="1"/>
      <c r="W844" s="1"/>
      <c r="X844" s="1"/>
      <c r="Y844" s="1"/>
    </row>
    <row r="845" spans="1:2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31"/>
      <c r="T845" s="1"/>
      <c r="U845" s="1"/>
      <c r="V845" s="1"/>
      <c r="W845" s="1"/>
      <c r="X845" s="1"/>
      <c r="Y845" s="1"/>
    </row>
    <row r="846" spans="1:25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31"/>
      <c r="T846" s="1"/>
      <c r="U846" s="1"/>
      <c r="V846" s="1"/>
      <c r="W846" s="1"/>
      <c r="X846" s="1"/>
      <c r="Y846" s="1"/>
    </row>
    <row r="847" spans="1:25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31"/>
      <c r="T847" s="1"/>
      <c r="U847" s="1"/>
      <c r="V847" s="1"/>
      <c r="W847" s="1"/>
      <c r="X847" s="1"/>
      <c r="Y847" s="1"/>
    </row>
    <row r="848" spans="1:25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31"/>
      <c r="T848" s="1"/>
      <c r="U848" s="1"/>
      <c r="V848" s="1"/>
      <c r="W848" s="1"/>
      <c r="X848" s="1"/>
      <c r="Y848" s="1"/>
    </row>
    <row r="849" spans="1:25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31"/>
      <c r="T849" s="1"/>
      <c r="U849" s="1"/>
      <c r="V849" s="1"/>
      <c r="W849" s="1"/>
      <c r="X849" s="1"/>
      <c r="Y849" s="1"/>
    </row>
    <row r="850" spans="1:25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31"/>
      <c r="T850" s="1"/>
      <c r="U850" s="1"/>
      <c r="V850" s="1"/>
      <c r="W850" s="1"/>
      <c r="X850" s="1"/>
      <c r="Y850" s="1"/>
    </row>
    <row r="851" spans="1:25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31"/>
      <c r="T851" s="1"/>
      <c r="U851" s="1"/>
      <c r="V851" s="1"/>
      <c r="W851" s="1"/>
      <c r="X851" s="1"/>
      <c r="Y851" s="1"/>
    </row>
    <row r="852" spans="1:25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31"/>
      <c r="T852" s="1"/>
      <c r="U852" s="1"/>
      <c r="V852" s="1"/>
      <c r="W852" s="1"/>
      <c r="X852" s="1"/>
      <c r="Y852" s="1"/>
    </row>
    <row r="853" spans="1:25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31"/>
      <c r="T853" s="1"/>
      <c r="U853" s="1"/>
      <c r="V853" s="1"/>
      <c r="W853" s="1"/>
      <c r="X853" s="1"/>
      <c r="Y853" s="1"/>
    </row>
    <row r="854" spans="1:25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31"/>
      <c r="T854" s="1"/>
      <c r="U854" s="1"/>
      <c r="V854" s="1"/>
      <c r="W854" s="1"/>
      <c r="X854" s="1"/>
      <c r="Y854" s="1"/>
    </row>
    <row r="855" spans="1:2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31"/>
      <c r="T855" s="1"/>
      <c r="U855" s="1"/>
      <c r="V855" s="1"/>
      <c r="W855" s="1"/>
      <c r="X855" s="1"/>
      <c r="Y855" s="1"/>
    </row>
    <row r="856" spans="1:25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31"/>
      <c r="T856" s="1"/>
      <c r="U856" s="1"/>
      <c r="V856" s="1"/>
      <c r="W856" s="1"/>
      <c r="X856" s="1"/>
      <c r="Y856" s="1"/>
    </row>
    <row r="857" spans="1:25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31"/>
      <c r="T857" s="1"/>
      <c r="U857" s="1"/>
      <c r="V857" s="1"/>
      <c r="W857" s="1"/>
      <c r="X857" s="1"/>
      <c r="Y857" s="1"/>
    </row>
    <row r="858" spans="1:25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31"/>
      <c r="T858" s="1"/>
      <c r="U858" s="1"/>
      <c r="V858" s="1"/>
      <c r="W858" s="1"/>
      <c r="X858" s="1"/>
      <c r="Y858" s="1"/>
    </row>
    <row r="859" spans="1:25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31"/>
      <c r="T859" s="1"/>
      <c r="U859" s="1"/>
      <c r="V859" s="1"/>
      <c r="W859" s="1"/>
      <c r="X859" s="1"/>
      <c r="Y859" s="1"/>
    </row>
    <row r="860" spans="1:25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31"/>
      <c r="T860" s="1"/>
      <c r="U860" s="1"/>
      <c r="V860" s="1"/>
      <c r="W860" s="1"/>
      <c r="X860" s="1"/>
      <c r="Y860" s="1"/>
    </row>
    <row r="861" spans="1:25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31"/>
      <c r="T861" s="1"/>
      <c r="U861" s="1"/>
      <c r="V861" s="1"/>
      <c r="W861" s="1"/>
      <c r="X861" s="1"/>
      <c r="Y861" s="1"/>
    </row>
    <row r="862" spans="1:25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31"/>
      <c r="T862" s="1"/>
      <c r="U862" s="1"/>
      <c r="V862" s="1"/>
      <c r="W862" s="1"/>
      <c r="X862" s="1"/>
      <c r="Y862" s="1"/>
    </row>
    <row r="863" spans="1:25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31"/>
      <c r="T863" s="1"/>
      <c r="U863" s="1"/>
      <c r="V863" s="1"/>
      <c r="W863" s="1"/>
      <c r="X863" s="1"/>
      <c r="Y863" s="1"/>
    </row>
    <row r="864" spans="1:25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31"/>
      <c r="T864" s="1"/>
      <c r="U864" s="1"/>
      <c r="V864" s="1"/>
      <c r="W864" s="1"/>
      <c r="X864" s="1"/>
      <c r="Y864" s="1"/>
    </row>
    <row r="865" spans="1:2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31"/>
      <c r="T865" s="1"/>
      <c r="U865" s="1"/>
      <c r="V865" s="1"/>
      <c r="W865" s="1"/>
      <c r="X865" s="1"/>
      <c r="Y865" s="1"/>
    </row>
    <row r="866" spans="1:25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31"/>
      <c r="T866" s="1"/>
      <c r="U866" s="1"/>
      <c r="V866" s="1"/>
      <c r="W866" s="1"/>
      <c r="X866" s="1"/>
      <c r="Y866" s="1"/>
    </row>
    <row r="867" spans="1:25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31"/>
      <c r="T867" s="1"/>
      <c r="U867" s="1"/>
      <c r="V867" s="1"/>
      <c r="W867" s="1"/>
      <c r="X867" s="1"/>
      <c r="Y867" s="1"/>
    </row>
    <row r="868" spans="1:25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31"/>
      <c r="T868" s="1"/>
      <c r="U868" s="1"/>
      <c r="V868" s="1"/>
      <c r="W868" s="1"/>
      <c r="X868" s="1"/>
      <c r="Y868" s="1"/>
    </row>
    <row r="869" spans="1:25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31"/>
      <c r="T869" s="1"/>
      <c r="U869" s="1"/>
      <c r="V869" s="1"/>
      <c r="W869" s="1"/>
      <c r="X869" s="1"/>
      <c r="Y869" s="1"/>
    </row>
    <row r="870" spans="1:25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31"/>
      <c r="T870" s="1"/>
      <c r="U870" s="1"/>
      <c r="V870" s="1"/>
      <c r="W870" s="1"/>
      <c r="X870" s="1"/>
      <c r="Y870" s="1"/>
    </row>
    <row r="871" spans="1:25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31"/>
      <c r="T871" s="1"/>
      <c r="U871" s="1"/>
      <c r="V871" s="1"/>
      <c r="W871" s="1"/>
      <c r="X871" s="1"/>
      <c r="Y871" s="1"/>
    </row>
    <row r="872" spans="1:25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31"/>
      <c r="T872" s="1"/>
      <c r="U872" s="1"/>
      <c r="V872" s="1"/>
      <c r="W872" s="1"/>
      <c r="X872" s="1"/>
      <c r="Y872" s="1"/>
    </row>
    <row r="873" spans="1:25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31"/>
      <c r="T873" s="1"/>
      <c r="U873" s="1"/>
      <c r="V873" s="1"/>
      <c r="W873" s="1"/>
      <c r="X873" s="1"/>
      <c r="Y873" s="1"/>
    </row>
    <row r="874" spans="1:25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31"/>
      <c r="T874" s="1"/>
      <c r="U874" s="1"/>
      <c r="V874" s="1"/>
      <c r="W874" s="1"/>
      <c r="X874" s="1"/>
      <c r="Y874" s="1"/>
    </row>
    <row r="875" spans="1:2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31"/>
      <c r="T875" s="1"/>
      <c r="U875" s="1"/>
      <c r="V875" s="1"/>
      <c r="W875" s="1"/>
      <c r="X875" s="1"/>
      <c r="Y875" s="1"/>
    </row>
    <row r="876" spans="1:25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31"/>
      <c r="T876" s="1"/>
      <c r="U876" s="1"/>
      <c r="V876" s="1"/>
      <c r="W876" s="1"/>
      <c r="X876" s="1"/>
      <c r="Y876" s="1"/>
    </row>
    <row r="877" spans="1:25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31"/>
      <c r="T877" s="1"/>
      <c r="U877" s="1"/>
      <c r="V877" s="1"/>
      <c r="W877" s="1"/>
      <c r="X877" s="1"/>
      <c r="Y877" s="1"/>
    </row>
    <row r="878" spans="1:25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31"/>
      <c r="T878" s="1"/>
      <c r="U878" s="1"/>
      <c r="V878" s="1"/>
      <c r="W878" s="1"/>
      <c r="X878" s="1"/>
      <c r="Y878" s="1"/>
    </row>
    <row r="879" spans="1:25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31"/>
      <c r="T879" s="1"/>
      <c r="U879" s="1"/>
      <c r="V879" s="1"/>
      <c r="W879" s="1"/>
      <c r="X879" s="1"/>
      <c r="Y879" s="1"/>
    </row>
    <row r="880" spans="1:25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31"/>
      <c r="T880" s="1"/>
      <c r="U880" s="1"/>
      <c r="V880" s="1"/>
      <c r="W880" s="1"/>
      <c r="X880" s="1"/>
      <c r="Y880" s="1"/>
    </row>
    <row r="881" spans="1:25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31"/>
      <c r="T881" s="1"/>
      <c r="U881" s="1"/>
      <c r="V881" s="1"/>
      <c r="W881" s="1"/>
      <c r="X881" s="1"/>
      <c r="Y881" s="1"/>
    </row>
    <row r="882" spans="1:25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31"/>
      <c r="T882" s="1"/>
      <c r="U882" s="1"/>
      <c r="V882" s="1"/>
      <c r="W882" s="1"/>
      <c r="X882" s="1"/>
      <c r="Y882" s="1"/>
    </row>
    <row r="883" spans="1:25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31"/>
      <c r="T883" s="1"/>
      <c r="U883" s="1"/>
      <c r="V883" s="1"/>
      <c r="W883" s="1"/>
      <c r="X883" s="1"/>
      <c r="Y883" s="1"/>
    </row>
    <row r="884" spans="1:25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31"/>
      <c r="T884" s="1"/>
      <c r="U884" s="1"/>
      <c r="V884" s="1"/>
      <c r="W884" s="1"/>
      <c r="X884" s="1"/>
      <c r="Y884" s="1"/>
    </row>
    <row r="885" spans="1:2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31"/>
      <c r="T885" s="1"/>
      <c r="U885" s="1"/>
      <c r="V885" s="1"/>
      <c r="W885" s="1"/>
      <c r="X885" s="1"/>
      <c r="Y885" s="1"/>
    </row>
    <row r="886" spans="1:25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31"/>
      <c r="T886" s="1"/>
      <c r="U886" s="1"/>
      <c r="V886" s="1"/>
      <c r="W886" s="1"/>
      <c r="X886" s="1"/>
      <c r="Y886" s="1"/>
    </row>
    <row r="887" spans="1:25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31"/>
      <c r="T887" s="1"/>
      <c r="U887" s="1"/>
      <c r="V887" s="1"/>
      <c r="W887" s="1"/>
      <c r="X887" s="1"/>
      <c r="Y887" s="1"/>
    </row>
    <row r="888" spans="1:25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31"/>
      <c r="T888" s="1"/>
      <c r="U888" s="1"/>
      <c r="V888" s="1"/>
      <c r="W888" s="1"/>
      <c r="X888" s="1"/>
      <c r="Y888" s="1"/>
    </row>
    <row r="889" spans="1:25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31"/>
      <c r="T889" s="1"/>
      <c r="U889" s="1"/>
      <c r="V889" s="1"/>
      <c r="W889" s="1"/>
      <c r="X889" s="1"/>
      <c r="Y889" s="1"/>
    </row>
    <row r="890" spans="1:25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31"/>
      <c r="T890" s="1"/>
      <c r="U890" s="1"/>
      <c r="V890" s="1"/>
      <c r="W890" s="1"/>
      <c r="X890" s="1"/>
      <c r="Y890" s="1"/>
    </row>
    <row r="891" spans="1:25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31"/>
      <c r="T891" s="1"/>
      <c r="U891" s="1"/>
      <c r="V891" s="1"/>
      <c r="W891" s="1"/>
      <c r="X891" s="1"/>
      <c r="Y891" s="1"/>
    </row>
    <row r="892" spans="1:25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31"/>
      <c r="T892" s="1"/>
      <c r="U892" s="1"/>
      <c r="V892" s="1"/>
      <c r="W892" s="1"/>
      <c r="X892" s="1"/>
      <c r="Y892" s="1"/>
    </row>
    <row r="893" spans="1:25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31"/>
      <c r="T893" s="1"/>
      <c r="U893" s="1"/>
      <c r="V893" s="1"/>
      <c r="W893" s="1"/>
      <c r="X893" s="1"/>
      <c r="Y893" s="1"/>
    </row>
    <row r="894" spans="1:25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31"/>
      <c r="T894" s="1"/>
      <c r="U894" s="1"/>
      <c r="V894" s="1"/>
      <c r="W894" s="1"/>
      <c r="X894" s="1"/>
      <c r="Y894" s="1"/>
    </row>
    <row r="895" spans="1:2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31"/>
      <c r="T895" s="1"/>
      <c r="U895" s="1"/>
      <c r="V895" s="1"/>
      <c r="W895" s="1"/>
      <c r="X895" s="1"/>
      <c r="Y895" s="1"/>
    </row>
    <row r="896" spans="1:25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31"/>
      <c r="T896" s="1"/>
      <c r="U896" s="1"/>
      <c r="V896" s="1"/>
      <c r="W896" s="1"/>
      <c r="X896" s="1"/>
      <c r="Y896" s="1"/>
    </row>
    <row r="897" spans="1:25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31"/>
      <c r="T897" s="1"/>
      <c r="U897" s="1"/>
      <c r="V897" s="1"/>
      <c r="W897" s="1"/>
      <c r="X897" s="1"/>
      <c r="Y897" s="1"/>
    </row>
    <row r="898" spans="1:25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31"/>
      <c r="T898" s="1"/>
      <c r="U898" s="1"/>
      <c r="V898" s="1"/>
      <c r="W898" s="1"/>
      <c r="X898" s="1"/>
      <c r="Y898" s="1"/>
    </row>
    <row r="899" spans="1:25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31"/>
      <c r="T899" s="1"/>
      <c r="U899" s="1"/>
      <c r="V899" s="1"/>
      <c r="W899" s="1"/>
      <c r="X899" s="1"/>
      <c r="Y899" s="1"/>
    </row>
    <row r="900" spans="1:25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31"/>
      <c r="T900" s="1"/>
      <c r="U900" s="1"/>
      <c r="V900" s="1"/>
      <c r="W900" s="1"/>
      <c r="X900" s="1"/>
      <c r="Y900" s="1"/>
    </row>
    <row r="901" spans="1:25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31"/>
      <c r="T901" s="1"/>
      <c r="U901" s="1"/>
      <c r="V901" s="1"/>
      <c r="W901" s="1"/>
      <c r="X901" s="1"/>
      <c r="Y901" s="1"/>
    </row>
    <row r="902" spans="1:25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31"/>
      <c r="T902" s="1"/>
      <c r="U902" s="1"/>
      <c r="V902" s="1"/>
      <c r="W902" s="1"/>
      <c r="X902" s="1"/>
      <c r="Y902" s="1"/>
    </row>
    <row r="903" spans="1:25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31"/>
      <c r="T903" s="1"/>
      <c r="U903" s="1"/>
      <c r="V903" s="1"/>
      <c r="W903" s="1"/>
      <c r="X903" s="1"/>
      <c r="Y903" s="1"/>
    </row>
    <row r="904" spans="1:25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31"/>
      <c r="T904" s="1"/>
      <c r="U904" s="1"/>
      <c r="V904" s="1"/>
      <c r="W904" s="1"/>
      <c r="X904" s="1"/>
      <c r="Y904" s="1"/>
    </row>
    <row r="905" spans="1:2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31"/>
      <c r="T905" s="1"/>
      <c r="U905" s="1"/>
      <c r="V905" s="1"/>
      <c r="W905" s="1"/>
      <c r="X905" s="1"/>
      <c r="Y905" s="1"/>
    </row>
    <row r="906" spans="1:25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31"/>
      <c r="T906" s="1"/>
      <c r="U906" s="1"/>
      <c r="V906" s="1"/>
      <c r="W906" s="1"/>
      <c r="X906" s="1"/>
      <c r="Y906" s="1"/>
    </row>
    <row r="907" spans="1:25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31"/>
      <c r="T907" s="1"/>
      <c r="U907" s="1"/>
      <c r="V907" s="1"/>
      <c r="W907" s="1"/>
      <c r="X907" s="1"/>
      <c r="Y907" s="1"/>
    </row>
    <row r="908" spans="1:25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31"/>
      <c r="T908" s="1"/>
      <c r="U908" s="1"/>
      <c r="V908" s="1"/>
      <c r="W908" s="1"/>
      <c r="X908" s="1"/>
      <c r="Y908" s="1"/>
    </row>
    <row r="909" spans="1:25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31"/>
      <c r="T909" s="1"/>
      <c r="U909" s="1"/>
      <c r="V909" s="1"/>
      <c r="W909" s="1"/>
      <c r="X909" s="1"/>
      <c r="Y909" s="1"/>
    </row>
    <row r="910" spans="1:25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31"/>
      <c r="T910" s="1"/>
      <c r="U910" s="1"/>
      <c r="V910" s="1"/>
      <c r="W910" s="1"/>
      <c r="X910" s="1"/>
      <c r="Y910" s="1"/>
    </row>
    <row r="911" spans="1:25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31"/>
      <c r="T911" s="1"/>
      <c r="U911" s="1"/>
      <c r="V911" s="1"/>
      <c r="W911" s="1"/>
      <c r="X911" s="1"/>
      <c r="Y911" s="1"/>
    </row>
    <row r="912" spans="1:25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31"/>
      <c r="T912" s="1"/>
      <c r="U912" s="1"/>
      <c r="V912" s="1"/>
      <c r="W912" s="1"/>
      <c r="X912" s="1"/>
      <c r="Y912" s="1"/>
    </row>
    <row r="913" spans="1:25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31"/>
      <c r="T913" s="1"/>
      <c r="U913" s="1"/>
      <c r="V913" s="1"/>
      <c r="W913" s="1"/>
      <c r="X913" s="1"/>
      <c r="Y913" s="1"/>
    </row>
    <row r="914" spans="1:25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31"/>
      <c r="T914" s="1"/>
      <c r="U914" s="1"/>
      <c r="V914" s="1"/>
      <c r="W914" s="1"/>
      <c r="X914" s="1"/>
      <c r="Y914" s="1"/>
    </row>
    <row r="915" spans="1:2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31"/>
      <c r="T915" s="1"/>
      <c r="U915" s="1"/>
      <c r="V915" s="1"/>
      <c r="W915" s="1"/>
      <c r="X915" s="1"/>
      <c r="Y915" s="1"/>
    </row>
    <row r="916" spans="1:25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31"/>
      <c r="T916" s="1"/>
      <c r="U916" s="1"/>
      <c r="V916" s="1"/>
      <c r="W916" s="1"/>
      <c r="X916" s="1"/>
      <c r="Y916" s="1"/>
    </row>
    <row r="917" spans="1:25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31"/>
      <c r="T917" s="1"/>
      <c r="U917" s="1"/>
      <c r="V917" s="1"/>
      <c r="W917" s="1"/>
      <c r="X917" s="1"/>
      <c r="Y917" s="1"/>
    </row>
    <row r="918" spans="1:25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31"/>
      <c r="T918" s="1"/>
      <c r="U918" s="1"/>
      <c r="V918" s="1"/>
      <c r="W918" s="1"/>
      <c r="X918" s="1"/>
      <c r="Y918" s="1"/>
    </row>
    <row r="919" spans="1:25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31"/>
      <c r="T919" s="1"/>
      <c r="U919" s="1"/>
      <c r="V919" s="1"/>
      <c r="W919" s="1"/>
      <c r="X919" s="1"/>
      <c r="Y919" s="1"/>
    </row>
    <row r="920" spans="1:25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31"/>
      <c r="T920" s="1"/>
      <c r="U920" s="1"/>
      <c r="V920" s="1"/>
      <c r="W920" s="1"/>
      <c r="X920" s="1"/>
      <c r="Y920" s="1"/>
    </row>
    <row r="921" spans="1:25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31"/>
      <c r="T921" s="1"/>
      <c r="U921" s="1"/>
      <c r="V921" s="1"/>
      <c r="W921" s="1"/>
      <c r="X921" s="1"/>
      <c r="Y921" s="1"/>
    </row>
    <row r="922" spans="1:25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31"/>
      <c r="T922" s="1"/>
      <c r="U922" s="1"/>
      <c r="V922" s="1"/>
      <c r="W922" s="1"/>
      <c r="X922" s="1"/>
      <c r="Y922" s="1"/>
    </row>
    <row r="923" spans="1:25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31"/>
      <c r="T923" s="1"/>
      <c r="U923" s="1"/>
      <c r="V923" s="1"/>
      <c r="W923" s="1"/>
      <c r="X923" s="1"/>
      <c r="Y923" s="1"/>
    </row>
    <row r="924" spans="1:25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31"/>
      <c r="T924" s="1"/>
      <c r="U924" s="1"/>
      <c r="V924" s="1"/>
      <c r="W924" s="1"/>
      <c r="X924" s="1"/>
      <c r="Y924" s="1"/>
    </row>
    <row r="925" spans="1: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31"/>
      <c r="T925" s="1"/>
      <c r="U925" s="1"/>
      <c r="V925" s="1"/>
      <c r="W925" s="1"/>
      <c r="X925" s="1"/>
      <c r="Y925" s="1"/>
    </row>
    <row r="926" spans="1:25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31"/>
      <c r="T926" s="1"/>
      <c r="U926" s="1"/>
      <c r="V926" s="1"/>
      <c r="W926" s="1"/>
      <c r="X926" s="1"/>
      <c r="Y926" s="1"/>
    </row>
    <row r="927" spans="1:25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31"/>
      <c r="T927" s="1"/>
      <c r="U927" s="1"/>
      <c r="V927" s="1"/>
      <c r="W927" s="1"/>
      <c r="X927" s="1"/>
      <c r="Y927" s="1"/>
    </row>
    <row r="928" spans="1:25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31"/>
      <c r="T928" s="1"/>
      <c r="U928" s="1"/>
      <c r="V928" s="1"/>
      <c r="W928" s="1"/>
      <c r="X928" s="1"/>
      <c r="Y928" s="1"/>
    </row>
    <row r="929" spans="1:25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31"/>
      <c r="T929" s="1"/>
      <c r="U929" s="1"/>
      <c r="V929" s="1"/>
      <c r="W929" s="1"/>
      <c r="X929" s="1"/>
      <c r="Y929" s="1"/>
    </row>
    <row r="930" spans="1:25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31"/>
      <c r="T930" s="1"/>
      <c r="U930" s="1"/>
      <c r="V930" s="1"/>
      <c r="W930" s="1"/>
      <c r="X930" s="1"/>
      <c r="Y930" s="1"/>
    </row>
    <row r="931" spans="1:25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31"/>
      <c r="T931" s="1"/>
      <c r="U931" s="1"/>
      <c r="V931" s="1"/>
      <c r="W931" s="1"/>
      <c r="X931" s="1"/>
      <c r="Y931" s="1"/>
    </row>
    <row r="932" spans="1:25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31"/>
      <c r="T932" s="1"/>
      <c r="U932" s="1"/>
      <c r="V932" s="1"/>
      <c r="W932" s="1"/>
      <c r="X932" s="1"/>
      <c r="Y932" s="1"/>
    </row>
    <row r="933" spans="1:25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31"/>
      <c r="T933" s="1"/>
      <c r="U933" s="1"/>
      <c r="V933" s="1"/>
      <c r="W933" s="1"/>
      <c r="X933" s="1"/>
      <c r="Y933" s="1"/>
    </row>
    <row r="934" spans="1:25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31"/>
      <c r="T934" s="1"/>
      <c r="U934" s="1"/>
      <c r="V934" s="1"/>
      <c r="W934" s="1"/>
      <c r="X934" s="1"/>
      <c r="Y934" s="1"/>
    </row>
    <row r="935" spans="1:2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31"/>
      <c r="T935" s="1"/>
      <c r="U935" s="1"/>
      <c r="V935" s="1"/>
      <c r="W935" s="1"/>
      <c r="X935" s="1"/>
      <c r="Y935" s="1"/>
    </row>
    <row r="936" spans="1:25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31"/>
      <c r="T936" s="1"/>
      <c r="U936" s="1"/>
      <c r="V936" s="1"/>
      <c r="W936" s="1"/>
      <c r="X936" s="1"/>
      <c r="Y936" s="1"/>
    </row>
    <row r="937" spans="1:25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31"/>
      <c r="T937" s="1"/>
      <c r="U937" s="1"/>
      <c r="V937" s="1"/>
      <c r="W937" s="1"/>
      <c r="X937" s="1"/>
      <c r="Y937" s="1"/>
    </row>
    <row r="938" spans="1:25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31"/>
      <c r="T938" s="1"/>
      <c r="U938" s="1"/>
      <c r="V938" s="1"/>
      <c r="W938" s="1"/>
      <c r="X938" s="1"/>
      <c r="Y938" s="1"/>
    </row>
    <row r="939" spans="1:25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31"/>
      <c r="T939" s="1"/>
      <c r="U939" s="1"/>
      <c r="V939" s="1"/>
      <c r="W939" s="1"/>
      <c r="X939" s="1"/>
      <c r="Y939" s="1"/>
    </row>
    <row r="940" spans="1:25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31"/>
      <c r="T940" s="1"/>
      <c r="U940" s="1"/>
      <c r="V940" s="1"/>
      <c r="W940" s="1"/>
      <c r="X940" s="1"/>
      <c r="Y940" s="1"/>
    </row>
    <row r="941" spans="1:25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31"/>
      <c r="T941" s="1"/>
      <c r="U941" s="1"/>
      <c r="V941" s="1"/>
      <c r="W941" s="1"/>
      <c r="X941" s="1"/>
      <c r="Y941" s="1"/>
    </row>
    <row r="942" spans="1:25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31"/>
      <c r="T942" s="1"/>
      <c r="U942" s="1"/>
      <c r="V942" s="1"/>
      <c r="W942" s="1"/>
      <c r="X942" s="1"/>
      <c r="Y942" s="1"/>
    </row>
    <row r="943" spans="1:25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31"/>
      <c r="T943" s="1"/>
      <c r="U943" s="1"/>
      <c r="V943" s="1"/>
      <c r="W943" s="1"/>
      <c r="X943" s="1"/>
      <c r="Y943" s="1"/>
    </row>
    <row r="944" spans="1:25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31"/>
      <c r="T944" s="1"/>
      <c r="U944" s="1"/>
      <c r="V944" s="1"/>
      <c r="W944" s="1"/>
      <c r="X944" s="1"/>
      <c r="Y944" s="1"/>
    </row>
    <row r="945" spans="1:2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31"/>
      <c r="T945" s="1"/>
      <c r="U945" s="1"/>
      <c r="V945" s="1"/>
      <c r="W945" s="1"/>
      <c r="X945" s="1"/>
      <c r="Y945" s="1"/>
    </row>
    <row r="946" spans="1:25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31"/>
      <c r="T946" s="1"/>
      <c r="U946" s="1"/>
      <c r="V946" s="1"/>
      <c r="W946" s="1"/>
      <c r="X946" s="1"/>
      <c r="Y946" s="1"/>
    </row>
    <row r="947" spans="1:25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31"/>
      <c r="T947" s="1"/>
      <c r="U947" s="1"/>
      <c r="V947" s="1"/>
      <c r="W947" s="1"/>
      <c r="X947" s="1"/>
      <c r="Y947" s="1"/>
    </row>
    <row r="948" spans="1:25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31"/>
      <c r="T948" s="1"/>
      <c r="U948" s="1"/>
      <c r="V948" s="1"/>
      <c r="W948" s="1"/>
      <c r="X948" s="1"/>
      <c r="Y948" s="1"/>
    </row>
    <row r="949" spans="1:25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31"/>
      <c r="T949" s="1"/>
      <c r="U949" s="1"/>
      <c r="V949" s="1"/>
      <c r="W949" s="1"/>
      <c r="X949" s="1"/>
      <c r="Y949" s="1"/>
    </row>
    <row r="950" spans="1:25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31"/>
      <c r="T950" s="1"/>
      <c r="U950" s="1"/>
      <c r="V950" s="1"/>
      <c r="W950" s="1"/>
      <c r="X950" s="1"/>
      <c r="Y950" s="1"/>
    </row>
    <row r="951" spans="1:25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31"/>
      <c r="T951" s="1"/>
      <c r="U951" s="1"/>
      <c r="V951" s="1"/>
      <c r="W951" s="1"/>
      <c r="X951" s="1"/>
      <c r="Y951" s="1"/>
    </row>
    <row r="952" spans="1:25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31"/>
      <c r="T952" s="1"/>
      <c r="U952" s="1"/>
      <c r="V952" s="1"/>
      <c r="W952" s="1"/>
      <c r="X952" s="1"/>
      <c r="Y952" s="1"/>
    </row>
    <row r="953" spans="1:25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31"/>
      <c r="T953" s="1"/>
      <c r="U953" s="1"/>
      <c r="V953" s="1"/>
      <c r="W953" s="1"/>
      <c r="X953" s="1"/>
      <c r="Y953" s="1"/>
    </row>
    <row r="954" spans="1:25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31"/>
      <c r="T954" s="1"/>
      <c r="U954" s="1"/>
      <c r="V954" s="1"/>
      <c r="W954" s="1"/>
      <c r="X954" s="1"/>
      <c r="Y954" s="1"/>
    </row>
    <row r="955" spans="1:2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31"/>
      <c r="T955" s="1"/>
      <c r="U955" s="1"/>
      <c r="V955" s="1"/>
      <c r="W955" s="1"/>
      <c r="X955" s="1"/>
      <c r="Y955" s="1"/>
    </row>
    <row r="956" spans="1:25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31"/>
      <c r="T956" s="1"/>
      <c r="U956" s="1"/>
      <c r="V956" s="1"/>
      <c r="W956" s="1"/>
      <c r="X956" s="1"/>
      <c r="Y956" s="1"/>
    </row>
    <row r="957" spans="1:25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31"/>
      <c r="T957" s="1"/>
      <c r="U957" s="1"/>
      <c r="V957" s="1"/>
      <c r="W957" s="1"/>
      <c r="X957" s="1"/>
      <c r="Y957" s="1"/>
    </row>
    <row r="958" spans="1:25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31"/>
      <c r="T958" s="1"/>
      <c r="U958" s="1"/>
      <c r="V958" s="1"/>
      <c r="W958" s="1"/>
      <c r="X958" s="1"/>
      <c r="Y958" s="1"/>
    </row>
    <row r="959" spans="1:25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31"/>
      <c r="T959" s="1"/>
      <c r="U959" s="1"/>
      <c r="V959" s="1"/>
      <c r="W959" s="1"/>
      <c r="X959" s="1"/>
      <c r="Y959" s="1"/>
    </row>
    <row r="960" spans="1:25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31"/>
      <c r="T960" s="1"/>
      <c r="U960" s="1"/>
      <c r="V960" s="1"/>
      <c r="W960" s="1"/>
      <c r="X960" s="1"/>
      <c r="Y960" s="1"/>
    </row>
    <row r="961" spans="1:25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31"/>
      <c r="T961" s="1"/>
      <c r="U961" s="1"/>
      <c r="V961" s="1"/>
      <c r="W961" s="1"/>
      <c r="X961" s="1"/>
      <c r="Y961" s="1"/>
    </row>
    <row r="962" spans="1:25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31"/>
      <c r="T962" s="1"/>
      <c r="U962" s="1"/>
      <c r="V962" s="1"/>
      <c r="W962" s="1"/>
      <c r="X962" s="1"/>
      <c r="Y962" s="1"/>
    </row>
    <row r="963" spans="1:25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31"/>
      <c r="T963" s="1"/>
      <c r="U963" s="1"/>
      <c r="V963" s="1"/>
      <c r="W963" s="1"/>
      <c r="X963" s="1"/>
      <c r="Y963" s="1"/>
    </row>
    <row r="964" spans="1:25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31"/>
      <c r="T964" s="1"/>
      <c r="U964" s="1"/>
      <c r="V964" s="1"/>
      <c r="W964" s="1"/>
      <c r="X964" s="1"/>
      <c r="Y964" s="1"/>
    </row>
    <row r="965" spans="1:2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31"/>
      <c r="T965" s="1"/>
      <c r="U965" s="1"/>
      <c r="V965" s="1"/>
      <c r="W965" s="1"/>
      <c r="X965" s="1"/>
      <c r="Y965" s="1"/>
    </row>
    <row r="966" spans="1:25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31"/>
      <c r="T966" s="1"/>
      <c r="U966" s="1"/>
      <c r="V966" s="1"/>
      <c r="W966" s="1"/>
      <c r="X966" s="1"/>
      <c r="Y966" s="1"/>
    </row>
    <row r="967" spans="1:25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31"/>
      <c r="T967" s="1"/>
      <c r="U967" s="1"/>
      <c r="V967" s="1"/>
      <c r="W967" s="1"/>
      <c r="X967" s="1"/>
      <c r="Y967" s="1"/>
    </row>
    <row r="968" spans="1:25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31"/>
      <c r="T968" s="1"/>
      <c r="U968" s="1"/>
      <c r="V968" s="1"/>
      <c r="W968" s="1"/>
      <c r="X968" s="1"/>
      <c r="Y968" s="1"/>
    </row>
    <row r="969" spans="1:25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31"/>
      <c r="T969" s="1"/>
      <c r="U969" s="1"/>
      <c r="V969" s="1"/>
      <c r="W969" s="1"/>
      <c r="X969" s="1"/>
      <c r="Y969" s="1"/>
    </row>
    <row r="970" spans="1:25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31"/>
      <c r="T970" s="1"/>
      <c r="U970" s="1"/>
      <c r="V970" s="1"/>
      <c r="W970" s="1"/>
      <c r="X970" s="1"/>
      <c r="Y970" s="1"/>
    </row>
    <row r="971" spans="1:25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31"/>
      <c r="T971" s="1"/>
      <c r="U971" s="1"/>
      <c r="V971" s="1"/>
      <c r="W971" s="1"/>
      <c r="X971" s="1"/>
      <c r="Y971" s="1"/>
    </row>
    <row r="972" spans="1:25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31"/>
      <c r="T972" s="1"/>
      <c r="U972" s="1"/>
      <c r="V972" s="1"/>
      <c r="W972" s="1"/>
      <c r="X972" s="1"/>
      <c r="Y972" s="1"/>
    </row>
    <row r="973" spans="1:25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31"/>
      <c r="T973" s="1"/>
      <c r="U973" s="1"/>
      <c r="V973" s="1"/>
      <c r="W973" s="1"/>
      <c r="X973" s="1"/>
      <c r="Y973" s="1"/>
    </row>
    <row r="974" spans="1:25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31"/>
      <c r="T974" s="1"/>
      <c r="U974" s="1"/>
      <c r="V974" s="1"/>
      <c r="W974" s="1"/>
      <c r="X974" s="1"/>
      <c r="Y974" s="1"/>
    </row>
    <row r="975" spans="1:2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31"/>
      <c r="T975" s="1"/>
      <c r="U975" s="1"/>
      <c r="V975" s="1"/>
      <c r="W975" s="1"/>
      <c r="X975" s="1"/>
      <c r="Y975" s="1"/>
    </row>
    <row r="976" spans="1:25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31"/>
      <c r="T976" s="1"/>
      <c r="U976" s="1"/>
      <c r="V976" s="1"/>
      <c r="W976" s="1"/>
      <c r="X976" s="1"/>
      <c r="Y976" s="1"/>
    </row>
    <row r="977" spans="1:25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31"/>
      <c r="T977" s="1"/>
      <c r="U977" s="1"/>
      <c r="V977" s="1"/>
      <c r="W977" s="1"/>
      <c r="X977" s="1"/>
      <c r="Y977" s="1"/>
    </row>
    <row r="978" spans="1:25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31"/>
      <c r="T978" s="1"/>
      <c r="U978" s="1"/>
      <c r="V978" s="1"/>
      <c r="W978" s="1"/>
      <c r="X978" s="1"/>
      <c r="Y978" s="1"/>
    </row>
    <row r="979" spans="1:25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31"/>
      <c r="T979" s="1"/>
      <c r="U979" s="1"/>
      <c r="V979" s="1"/>
      <c r="W979" s="1"/>
      <c r="X979" s="1"/>
      <c r="Y979" s="1"/>
    </row>
    <row r="980" spans="1:25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31"/>
      <c r="T980" s="1"/>
      <c r="U980" s="1"/>
      <c r="V980" s="1"/>
      <c r="W980" s="1"/>
      <c r="X980" s="1"/>
      <c r="Y980" s="1"/>
    </row>
    <row r="981" spans="1:25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31"/>
      <c r="T981" s="1"/>
      <c r="U981" s="1"/>
      <c r="V981" s="1"/>
      <c r="W981" s="1"/>
      <c r="X981" s="1"/>
      <c r="Y981" s="1"/>
    </row>
    <row r="982" spans="1:25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31"/>
      <c r="T982" s="1"/>
      <c r="U982" s="1"/>
      <c r="V982" s="1"/>
      <c r="W982" s="1"/>
      <c r="X982" s="1"/>
      <c r="Y982" s="1"/>
    </row>
    <row r="983" spans="1:25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31"/>
      <c r="T983" s="1"/>
      <c r="U983" s="1"/>
      <c r="V983" s="1"/>
      <c r="W983" s="1"/>
      <c r="X983" s="1"/>
      <c r="Y983" s="1"/>
    </row>
    <row r="984" spans="1:25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31"/>
      <c r="T984" s="1"/>
      <c r="U984" s="1"/>
      <c r="V984" s="1"/>
      <c r="W984" s="1"/>
      <c r="X984" s="1"/>
      <c r="Y984" s="1"/>
    </row>
    <row r="985" spans="1:2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31"/>
      <c r="T985" s="1"/>
      <c r="U985" s="1"/>
      <c r="V985" s="1"/>
      <c r="W985" s="1"/>
      <c r="X985" s="1"/>
      <c r="Y985" s="1"/>
    </row>
    <row r="986" spans="1:25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31"/>
      <c r="T986" s="1"/>
      <c r="U986" s="1"/>
      <c r="V986" s="1"/>
      <c r="W986" s="1"/>
      <c r="X986" s="1"/>
      <c r="Y986" s="1"/>
    </row>
    <row r="987" spans="1:25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31"/>
      <c r="T987" s="1"/>
      <c r="U987" s="1"/>
      <c r="V987" s="1"/>
      <c r="W987" s="1"/>
      <c r="X987" s="1"/>
      <c r="Y987" s="1"/>
    </row>
    <row r="988" spans="1:25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31"/>
      <c r="T988" s="1"/>
      <c r="U988" s="1"/>
      <c r="V988" s="1"/>
      <c r="W988" s="1"/>
      <c r="X988" s="1"/>
      <c r="Y988" s="1"/>
    </row>
    <row r="989" spans="1:25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31"/>
      <c r="T989" s="1"/>
      <c r="U989" s="1"/>
      <c r="V989" s="1"/>
      <c r="W989" s="1"/>
      <c r="X989" s="1"/>
      <c r="Y989" s="1"/>
    </row>
    <row r="990" spans="1:25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31"/>
      <c r="T990" s="1"/>
      <c r="U990" s="1"/>
      <c r="V990" s="1"/>
      <c r="W990" s="1"/>
      <c r="X990" s="1"/>
      <c r="Y990" s="1"/>
    </row>
    <row r="991" spans="1:25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31"/>
      <c r="T991" s="1"/>
      <c r="U991" s="1"/>
      <c r="V991" s="1"/>
      <c r="W991" s="1"/>
      <c r="X991" s="1"/>
      <c r="Y991" s="1"/>
    </row>
    <row r="992" spans="1:25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31"/>
      <c r="T992" s="1"/>
      <c r="U992" s="1"/>
      <c r="V992" s="1"/>
      <c r="W992" s="1"/>
      <c r="X992" s="1"/>
      <c r="Y992" s="1"/>
    </row>
    <row r="993" spans="1:25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31"/>
      <c r="T993" s="1"/>
      <c r="U993" s="1"/>
      <c r="V993" s="1"/>
      <c r="W993" s="1"/>
      <c r="X993" s="1"/>
      <c r="Y993" s="1"/>
    </row>
    <row r="994" spans="1:25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31"/>
      <c r="T994" s="1"/>
      <c r="U994" s="1"/>
      <c r="V994" s="1"/>
      <c r="W994" s="1"/>
      <c r="X994" s="1"/>
      <c r="Y994" s="1"/>
    </row>
    <row r="995" spans="1:2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31"/>
      <c r="T995" s="1"/>
      <c r="U995" s="1"/>
      <c r="V995" s="1"/>
      <c r="W995" s="1"/>
      <c r="X995" s="1"/>
      <c r="Y995" s="1"/>
    </row>
    <row r="996" spans="1:25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31"/>
      <c r="T996" s="1"/>
      <c r="U996" s="1"/>
      <c r="V996" s="1"/>
      <c r="W996" s="1"/>
      <c r="X996" s="1"/>
      <c r="Y996" s="1"/>
    </row>
    <row r="997" spans="1:25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31"/>
      <c r="T997" s="1"/>
      <c r="U997" s="1"/>
      <c r="V997" s="1"/>
      <c r="W997" s="1"/>
      <c r="X997" s="1"/>
      <c r="Y997" s="1"/>
    </row>
    <row r="998" spans="1:25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31"/>
      <c r="T998" s="1"/>
      <c r="U998" s="1"/>
      <c r="V998" s="1"/>
      <c r="W998" s="1"/>
      <c r="X998" s="1"/>
      <c r="Y998" s="1"/>
    </row>
    <row r="999" spans="1:25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31"/>
      <c r="T999" s="1"/>
      <c r="U999" s="1"/>
      <c r="V999" s="1"/>
      <c r="W999" s="1"/>
      <c r="X999" s="1"/>
      <c r="Y999" s="1"/>
    </row>
    <row r="1000" spans="1:25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31"/>
      <c r="T1000" s="1"/>
      <c r="U1000" s="1"/>
      <c r="V1000" s="1"/>
      <c r="W1000" s="1"/>
      <c r="X1000" s="1"/>
      <c r="Y1000" s="1"/>
    </row>
    <row r="1001" spans="1:25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31"/>
      <c r="T1001" s="1"/>
      <c r="U1001" s="1"/>
      <c r="V1001" s="1"/>
      <c r="W1001" s="1"/>
      <c r="X1001" s="1"/>
      <c r="Y1001" s="1"/>
    </row>
    <row r="1002" spans="1:25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31"/>
      <c r="T1002" s="1"/>
      <c r="U1002" s="1"/>
      <c r="V1002" s="1"/>
      <c r="W1002" s="1"/>
      <c r="X1002" s="1"/>
      <c r="Y1002" s="1"/>
    </row>
    <row r="1003" spans="1:25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31"/>
      <c r="T1003" s="1"/>
      <c r="U1003" s="1"/>
      <c r="V1003" s="1"/>
      <c r="W1003" s="1"/>
      <c r="X1003" s="1"/>
      <c r="Y1003" s="1"/>
    </row>
    <row r="1004" spans="1:25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31"/>
      <c r="T1004" s="1"/>
      <c r="U1004" s="1"/>
      <c r="V1004" s="1"/>
      <c r="W1004" s="1"/>
      <c r="X1004" s="1"/>
      <c r="Y1004" s="1"/>
    </row>
    <row r="1005" spans="1:25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31"/>
      <c r="T1005" s="1"/>
      <c r="U1005" s="1"/>
      <c r="V1005" s="1"/>
      <c r="W1005" s="1"/>
      <c r="X1005" s="1"/>
      <c r="Y1005" s="1"/>
    </row>
    <row r="1006" spans="1:25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31"/>
      <c r="T1006" s="1"/>
      <c r="U1006" s="1"/>
      <c r="V1006" s="1"/>
      <c r="W1006" s="1"/>
      <c r="X1006" s="1"/>
      <c r="Y1006" s="1"/>
    </row>
    <row r="1007" spans="1:25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31"/>
      <c r="T1007" s="1"/>
      <c r="U1007" s="1"/>
      <c r="V1007" s="1"/>
      <c r="W1007" s="1"/>
      <c r="X1007" s="1"/>
      <c r="Y1007" s="1"/>
    </row>
  </sheetData>
  <autoFilter ref="N18:X18" xr:uid="{00000000-0001-0000-0600-000000000000}"/>
  <mergeCells count="5">
    <mergeCell ref="B1:B3"/>
    <mergeCell ref="D2:G2"/>
    <mergeCell ref="B16:K16"/>
    <mergeCell ref="N16:X16"/>
    <mergeCell ref="Q2:V2"/>
  </mergeCells>
  <pageMargins left="0.7" right="0.7" top="0.75" bottom="0.75" header="0" footer="0"/>
  <pageSetup orientation="landscape"/>
  <ignoredErrors>
    <ignoredError sqref="V19:V269" formula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Stats</vt:lpstr>
      <vt:lpstr>Virat Kholi</vt:lpstr>
      <vt:lpstr>MS Dhoni</vt:lpstr>
      <vt:lpstr>Sachin Tendulkar</vt:lpstr>
      <vt:lpstr>Rohit Sharma</vt:lpstr>
      <vt:lpstr>Shubman Gill</vt:lpstr>
      <vt:lpstr>Virender Sehwag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sheetal rawat</cp:lastModifiedBy>
  <dcterms:created xsi:type="dcterms:W3CDTF">2015-06-05T18:17:20Z</dcterms:created>
  <dcterms:modified xsi:type="dcterms:W3CDTF">2026-02-22T15:30:29Z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2025-09-06T15:52:35Z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1a6f0dca-a84d-4101-9b73-6f27300a9083</vt:lpwstr>
  </property>
  <property fmtid="{D5CDD505-2E9C-101B-9397-08002B2CF9AE}" pid="7" name="MSIP_Label_defa4170-0d19-0005-0004-bc88714345d2_ActionId">
    <vt:lpwstr>d5d0d9ab-2104-46a0-88c5-624089069402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